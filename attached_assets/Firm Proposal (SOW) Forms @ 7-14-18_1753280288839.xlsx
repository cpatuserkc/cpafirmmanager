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T:\Internal Processes &amp; Forms\"/>
    </mc:Choice>
  </mc:AlternateContent>
  <xr:revisionPtr revIDLastSave="0" documentId="13_ncr:1_{3815F9BC-CF89-43C6-B3FD-15839D8C8997}" xr6:coauthVersionLast="34" xr6:coauthVersionMax="34" xr10:uidLastSave="{00000000-0000-0000-0000-000000000000}"/>
  <bookViews>
    <workbookView xWindow="0" yWindow="0" windowWidth="20490" windowHeight="7545" activeTab="1" xr2:uid="{00000000-000D-0000-FFFF-FFFF00000000}"/>
  </bookViews>
  <sheets>
    <sheet name="MO Client SOW &amp; Est" sheetId="1" r:id="rId1"/>
    <sheet name="Special Project SOW &amp; Est" sheetId="5" r:id="rId2"/>
    <sheet name="Tax Returns &amp; Consult SOW &amp; Est" sheetId="7" r:id="rId3"/>
  </sheets>
  <definedNames>
    <definedName name="_xlnm.Print_Area" localSheetId="0">'MO Client SOW &amp; Est'!$A$1:$K$78</definedName>
    <definedName name="_xlnm.Print_Area" localSheetId="1">'Special Project SOW &amp; Est'!$A$1:$H$40</definedName>
    <definedName name="_xlnm.Print_Area" localSheetId="2">'Tax Returns &amp; Consult SOW &amp; Est'!$A$1:$H$45</definedName>
    <definedName name="_xlnm.Print_Titles" localSheetId="0">'MO Client SOW &amp; Est'!$1:$2</definedName>
    <definedName name="_xlnm.Print_Titles" localSheetId="1">'Special Project SOW &amp; Est'!$1:$1</definedName>
    <definedName name="_xlnm.Print_Titles" localSheetId="2">'Tax Returns &amp; Consult SOW &amp; Est'!$1:$1</definedName>
    <definedName name="Z_5061F855_4D70_4651_B8EA_25EA8B4FD770_.wvu.Cols" localSheetId="0" hidden="1">'MO Client SOW &amp; Est'!$N:$P</definedName>
    <definedName name="Z_5061F855_4D70_4651_B8EA_25EA8B4FD770_.wvu.Cols" localSheetId="1" hidden="1">'Special Project SOW &amp; Est'!$L:$N</definedName>
    <definedName name="Z_5061F855_4D70_4651_B8EA_25EA8B4FD770_.wvu.Cols" localSheetId="2" hidden="1">'Tax Returns &amp; Consult SOW &amp; Est'!$L:$N</definedName>
    <definedName name="Z_5061F855_4D70_4651_B8EA_25EA8B4FD770_.wvu.PrintArea" localSheetId="0" hidden="1">'MO Client SOW &amp; Est'!$A$1:$J$77</definedName>
    <definedName name="Z_5061F855_4D70_4651_B8EA_25EA8B4FD770_.wvu.PrintArea" localSheetId="1" hidden="1">'Special Project SOW &amp; Est'!$A$1:$I$37</definedName>
    <definedName name="Z_5061F855_4D70_4651_B8EA_25EA8B4FD770_.wvu.PrintArea" localSheetId="2" hidden="1">'Tax Returns &amp; Consult SOW &amp; Est'!$A$1:$I$34</definedName>
    <definedName name="Z_5061F855_4D70_4651_B8EA_25EA8B4FD770_.wvu.PrintTitles" localSheetId="0" hidden="1">'MO Client SOW &amp; Est'!$1:$1</definedName>
    <definedName name="Z_5061F855_4D70_4651_B8EA_25EA8B4FD770_.wvu.PrintTitles" localSheetId="1" hidden="1">'Special Project SOW &amp; Est'!$1:$1</definedName>
    <definedName name="Z_5061F855_4D70_4651_B8EA_25EA8B4FD770_.wvu.PrintTitles" localSheetId="2" hidden="1">'Tax Returns &amp; Consult SOW &amp; Est'!$1:$1</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3" i="5" l="1"/>
  <c r="C22" i="5"/>
  <c r="L51" i="1" l="1"/>
  <c r="L50" i="1"/>
  <c r="L49" i="1"/>
  <c r="L48" i="1"/>
  <c r="P44" i="1"/>
  <c r="P45" i="1" s="1"/>
  <c r="L45" i="1"/>
  <c r="L44" i="1"/>
  <c r="B10" i="7"/>
  <c r="C11" i="7"/>
  <c r="B11" i="7"/>
  <c r="H55" i="7"/>
  <c r="B12" i="7"/>
  <c r="C12" i="7"/>
  <c r="B13" i="7"/>
  <c r="C13" i="7"/>
  <c r="C10" i="7"/>
  <c r="B16" i="7"/>
  <c r="B15" i="7"/>
  <c r="B14" i="7"/>
  <c r="B26" i="7"/>
  <c r="B25" i="7"/>
  <c r="B24" i="7"/>
  <c r="B23" i="7"/>
  <c r="G45" i="7"/>
  <c r="H44" i="7"/>
  <c r="H43" i="7"/>
  <c r="H42" i="7"/>
  <c r="H41" i="7"/>
  <c r="H40" i="7"/>
  <c r="H39" i="7"/>
  <c r="H38" i="7"/>
  <c r="H37" i="7"/>
  <c r="H36" i="7"/>
  <c r="H35" i="7"/>
  <c r="K63" i="7"/>
  <c r="L75" i="7" s="1"/>
  <c r="K64" i="7"/>
  <c r="L76" i="7" s="1"/>
  <c r="K65" i="7"/>
  <c r="K66" i="7"/>
  <c r="M66" i="7" s="1"/>
  <c r="K67" i="7"/>
  <c r="L79" i="7" s="1"/>
  <c r="K68" i="7"/>
  <c r="L80" i="7" s="1"/>
  <c r="K69" i="7"/>
  <c r="L81" i="7" s="1"/>
  <c r="G68" i="7"/>
  <c r="H67" i="7"/>
  <c r="H66" i="7"/>
  <c r="H65" i="7"/>
  <c r="H64" i="7"/>
  <c r="H63" i="7"/>
  <c r="H62" i="7"/>
  <c r="H61" i="7"/>
  <c r="H60" i="7"/>
  <c r="H59" i="7"/>
  <c r="H58" i="7"/>
  <c r="H57" i="7"/>
  <c r="H56" i="7"/>
  <c r="C16" i="5"/>
  <c r="B16" i="5"/>
  <c r="K27" i="5"/>
  <c r="K26" i="5"/>
  <c r="K25" i="5"/>
  <c r="K24" i="5"/>
  <c r="K23" i="5"/>
  <c r="K22" i="5"/>
  <c r="K21" i="5"/>
  <c r="B15" i="5"/>
  <c r="B14" i="5"/>
  <c r="B13" i="5"/>
  <c r="B12" i="5"/>
  <c r="B11" i="5"/>
  <c r="B10" i="5"/>
  <c r="H39" i="5"/>
  <c r="H38" i="5"/>
  <c r="H37" i="5"/>
  <c r="H36" i="5"/>
  <c r="H35" i="5"/>
  <c r="H34" i="5"/>
  <c r="H33" i="5"/>
  <c r="H32" i="5"/>
  <c r="H31" i="5"/>
  <c r="H30" i="5"/>
  <c r="H29" i="5"/>
  <c r="H28" i="5"/>
  <c r="B17" i="5" l="1"/>
  <c r="B27" i="7"/>
  <c r="B17" i="7"/>
  <c r="B19" i="7" s="1"/>
  <c r="C23" i="7"/>
  <c r="C25" i="7"/>
  <c r="C24" i="7"/>
  <c r="C26" i="7"/>
  <c r="H45" i="7"/>
  <c r="C15" i="7"/>
  <c r="P64" i="7"/>
  <c r="M68" i="7"/>
  <c r="L78" i="7"/>
  <c r="M64" i="7"/>
  <c r="M63" i="7"/>
  <c r="L77" i="7"/>
  <c r="K70" i="7"/>
  <c r="L65" i="7" s="1"/>
  <c r="M69" i="7"/>
  <c r="M67" i="7"/>
  <c r="M65" i="7"/>
  <c r="P63" i="7"/>
  <c r="H68" i="7"/>
  <c r="C14" i="7"/>
  <c r="C16" i="7"/>
  <c r="C15" i="5"/>
  <c r="C12" i="5"/>
  <c r="C13" i="5"/>
  <c r="C14" i="5"/>
  <c r="C11" i="5"/>
  <c r="G40" i="5"/>
  <c r="H27" i="5"/>
  <c r="P27" i="5"/>
  <c r="M26" i="5"/>
  <c r="L37" i="5"/>
  <c r="L36" i="5"/>
  <c r="M23" i="5"/>
  <c r="M22" i="5"/>
  <c r="L33" i="5"/>
  <c r="F72" i="1"/>
  <c r="F71" i="1"/>
  <c r="F70" i="1"/>
  <c r="F69" i="1"/>
  <c r="F68" i="1"/>
  <c r="F67" i="1"/>
  <c r="F66" i="1"/>
  <c r="C64" i="1"/>
  <c r="D64" i="1"/>
  <c r="E64" i="1"/>
  <c r="F54" i="1"/>
  <c r="F53" i="1"/>
  <c r="F52" i="1"/>
  <c r="F51" i="1"/>
  <c r="F50" i="1"/>
  <c r="F49" i="1"/>
  <c r="F48" i="1"/>
  <c r="F47" i="1"/>
  <c r="F63" i="1"/>
  <c r="F62" i="1"/>
  <c r="F61" i="1"/>
  <c r="F60" i="1"/>
  <c r="F59" i="1"/>
  <c r="F58" i="1"/>
  <c r="F57" i="1"/>
  <c r="C55" i="1"/>
  <c r="D55" i="1"/>
  <c r="E55" i="1"/>
  <c r="L4" i="1"/>
  <c r="C27" i="7" l="1"/>
  <c r="C28" i="7" s="1"/>
  <c r="C29" i="7" s="1"/>
  <c r="L82" i="7"/>
  <c r="L64" i="7"/>
  <c r="L66" i="7"/>
  <c r="L68" i="7"/>
  <c r="L63" i="7"/>
  <c r="M70" i="7"/>
  <c r="L69" i="7"/>
  <c r="L67" i="7"/>
  <c r="C17" i="7"/>
  <c r="C18" i="7" s="1"/>
  <c r="C19" i="7" s="1"/>
  <c r="H40" i="5"/>
  <c r="C10" i="5"/>
  <c r="C17" i="5" s="1"/>
  <c r="C18" i="5" s="1"/>
  <c r="C19" i="5" s="1"/>
  <c r="M27" i="5"/>
  <c r="P22" i="5"/>
  <c r="P21" i="5"/>
  <c r="M24" i="5"/>
  <c r="L34" i="5"/>
  <c r="L38" i="5"/>
  <c r="M25" i="5"/>
  <c r="L35" i="5"/>
  <c r="L39" i="5"/>
  <c r="M21" i="5"/>
  <c r="K28" i="5"/>
  <c r="L23" i="5" s="1"/>
  <c r="L70" i="7" l="1"/>
  <c r="N64" i="7"/>
  <c r="O64" i="7" s="1"/>
  <c r="K76" i="7" s="1"/>
  <c r="N66" i="7"/>
  <c r="O66" i="7" s="1"/>
  <c r="N68" i="7"/>
  <c r="O68" i="7" s="1"/>
  <c r="N69" i="7"/>
  <c r="O69" i="7" s="1"/>
  <c r="N65" i="7"/>
  <c r="O65" i="7" s="1"/>
  <c r="N63" i="7"/>
  <c r="N67" i="7"/>
  <c r="O67" i="7" s="1"/>
  <c r="L40" i="5"/>
  <c r="L27" i="5"/>
  <c r="L21" i="5"/>
  <c r="L22" i="5"/>
  <c r="L24" i="5"/>
  <c r="L26" i="5"/>
  <c r="L25" i="5"/>
  <c r="M28" i="5"/>
  <c r="N21" i="5" s="1"/>
  <c r="O21" i="5" s="1"/>
  <c r="K81" i="7" l="1"/>
  <c r="M81" i="7" s="1"/>
  <c r="N81" i="7" s="1"/>
  <c r="P69" i="7"/>
  <c r="O63" i="7"/>
  <c r="N70" i="7"/>
  <c r="P68" i="7"/>
  <c r="K80" i="7"/>
  <c r="M80" i="7" s="1"/>
  <c r="K77" i="7"/>
  <c r="P65" i="7"/>
  <c r="K78" i="7"/>
  <c r="P66" i="7"/>
  <c r="K79" i="7"/>
  <c r="M79" i="7" s="1"/>
  <c r="P67" i="7"/>
  <c r="M76" i="7"/>
  <c r="N24" i="5"/>
  <c r="O24" i="5" s="1"/>
  <c r="N25" i="5"/>
  <c r="L28" i="5"/>
  <c r="N27" i="5"/>
  <c r="N26" i="5"/>
  <c r="O26" i="5" s="1"/>
  <c r="N23" i="5"/>
  <c r="O23" i="5" s="1"/>
  <c r="N22" i="5"/>
  <c r="P81" i="7" l="1"/>
  <c r="N79" i="7"/>
  <c r="P79" i="7" s="1"/>
  <c r="M77" i="7"/>
  <c r="N76" i="7"/>
  <c r="P76" i="7"/>
  <c r="M78" i="7"/>
  <c r="N80" i="7"/>
  <c r="P80" i="7" s="1"/>
  <c r="O70" i="7"/>
  <c r="K75" i="7"/>
  <c r="K82" i="7" s="1"/>
  <c r="O22" i="5"/>
  <c r="K34" i="5" s="1"/>
  <c r="M34" i="5" s="1"/>
  <c r="O25" i="5"/>
  <c r="P25" i="5" s="1"/>
  <c r="O27" i="5"/>
  <c r="K39" i="5" s="1"/>
  <c r="M39" i="5" s="1"/>
  <c r="P39" i="5" s="1"/>
  <c r="K36" i="5"/>
  <c r="M36" i="5" s="1"/>
  <c r="N36" i="5" s="1"/>
  <c r="P24" i="5"/>
  <c r="K35" i="5"/>
  <c r="M35" i="5" s="1"/>
  <c r="P23" i="5"/>
  <c r="K33" i="5"/>
  <c r="N28" i="5"/>
  <c r="P26" i="5"/>
  <c r="K38" i="5"/>
  <c r="M38" i="5" s="1"/>
  <c r="O28" i="5" l="1"/>
  <c r="N39" i="5"/>
  <c r="N78" i="7"/>
  <c r="P78" i="7" s="1"/>
  <c r="N77" i="7"/>
  <c r="M75" i="7"/>
  <c r="M82" i="7" s="1"/>
  <c r="P34" i="5"/>
  <c r="N34" i="5"/>
  <c r="K37" i="5"/>
  <c r="M37" i="5" s="1"/>
  <c r="N37" i="5" s="1"/>
  <c r="P37" i="5" s="1"/>
  <c r="P36" i="5"/>
  <c r="N38" i="5"/>
  <c r="P38" i="5" s="1"/>
  <c r="M33" i="5"/>
  <c r="N35" i="5"/>
  <c r="P35" i="5" s="1"/>
  <c r="K40" i="5" l="1"/>
  <c r="P77" i="7"/>
  <c r="N75" i="7"/>
  <c r="P75" i="7"/>
  <c r="P33" i="5"/>
  <c r="M40" i="5"/>
  <c r="N33" i="5"/>
  <c r="M26" i="1" l="1"/>
  <c r="O26" i="1" s="1"/>
  <c r="M25" i="1"/>
  <c r="O25" i="1" s="1"/>
  <c r="M24" i="1"/>
  <c r="N36" i="1" s="1"/>
  <c r="M23" i="1"/>
  <c r="O23" i="1" s="1"/>
  <c r="M22" i="1"/>
  <c r="O22" i="1" s="1"/>
  <c r="M21" i="1"/>
  <c r="O21" i="1" s="1"/>
  <c r="M20" i="1"/>
  <c r="N32" i="1" s="1"/>
  <c r="D35" i="1"/>
  <c r="D34" i="1"/>
  <c r="D33" i="1"/>
  <c r="C35" i="1"/>
  <c r="C34" i="1"/>
  <c r="C33" i="1"/>
  <c r="B34" i="1"/>
  <c r="B35" i="1"/>
  <c r="B33" i="1"/>
  <c r="R26" i="1" l="1"/>
  <c r="N33" i="1"/>
  <c r="N37" i="1"/>
  <c r="O20" i="1"/>
  <c r="R20" i="1"/>
  <c r="O24" i="1"/>
  <c r="R21" i="1"/>
  <c r="N34" i="1"/>
  <c r="N38" i="1"/>
  <c r="N35" i="1"/>
  <c r="M27" i="1"/>
  <c r="N26" i="1" s="1"/>
  <c r="O27" i="1" l="1"/>
  <c r="P23" i="1" s="1"/>
  <c r="Q23" i="1" s="1"/>
  <c r="R23" i="1" s="1"/>
  <c r="N39" i="1"/>
  <c r="N21" i="1"/>
  <c r="N23" i="1"/>
  <c r="N20" i="1"/>
  <c r="N24" i="1"/>
  <c r="N22" i="1"/>
  <c r="N25" i="1"/>
  <c r="P20" i="1" l="1"/>
  <c r="Q20" i="1" s="1"/>
  <c r="P25" i="1"/>
  <c r="Q25" i="1" s="1"/>
  <c r="R25" i="1" s="1"/>
  <c r="P24" i="1"/>
  <c r="Q24" i="1" s="1"/>
  <c r="R24" i="1" s="1"/>
  <c r="P21" i="1"/>
  <c r="Q21" i="1" s="1"/>
  <c r="M33" i="1" s="1"/>
  <c r="O33" i="1" s="1"/>
  <c r="R33" i="1" s="1"/>
  <c r="P22" i="1"/>
  <c r="Q22" i="1" s="1"/>
  <c r="R22" i="1" s="1"/>
  <c r="P26" i="1"/>
  <c r="Q26" i="1" s="1"/>
  <c r="M35" i="1"/>
  <c r="O35" i="1" s="1"/>
  <c r="P35" i="1" s="1"/>
  <c r="R35" i="1" s="1"/>
  <c r="M32" i="1"/>
  <c r="M36" i="1"/>
  <c r="O36" i="1" s="1"/>
  <c r="M37" i="1"/>
  <c r="O37" i="1" s="1"/>
  <c r="N27" i="1"/>
  <c r="M34" i="1" l="1"/>
  <c r="O34" i="1" s="1"/>
  <c r="P27" i="1"/>
  <c r="Q27" i="1"/>
  <c r="M38" i="1"/>
  <c r="O38" i="1" s="1"/>
  <c r="R38" i="1" s="1"/>
  <c r="P33" i="1"/>
  <c r="P37" i="1"/>
  <c r="R37" i="1" s="1"/>
  <c r="P36" i="1"/>
  <c r="R36" i="1" s="1"/>
  <c r="P34" i="1"/>
  <c r="R34" i="1" s="1"/>
  <c r="O32" i="1"/>
  <c r="M39" i="1" l="1"/>
  <c r="P38" i="1"/>
  <c r="R32" i="1"/>
  <c r="P32" i="1"/>
  <c r="O39" i="1"/>
  <c r="H31" i="1" l="1"/>
  <c r="B38" i="1" l="1"/>
  <c r="G28" i="1" l="1"/>
  <c r="D28" i="1" l="1"/>
  <c r="C28" i="1"/>
  <c r="F28" i="1" s="1"/>
  <c r="B28" i="1"/>
  <c r="E28" i="1" s="1"/>
  <c r="H32" i="1"/>
  <c r="E77" i="1"/>
  <c r="D77" i="1"/>
  <c r="C77" i="1"/>
  <c r="D23" i="1"/>
  <c r="G23" i="1" s="1"/>
  <c r="C23" i="1"/>
  <c r="F23" i="1" s="1"/>
  <c r="D40" i="1"/>
  <c r="C40" i="1"/>
  <c r="D39" i="1"/>
  <c r="C39" i="1"/>
  <c r="B39" i="1"/>
  <c r="D38" i="1"/>
  <c r="C38" i="1"/>
  <c r="D27" i="1"/>
  <c r="G27" i="1" s="1"/>
  <c r="C27" i="1"/>
  <c r="F27" i="1" s="1"/>
  <c r="B27" i="1"/>
  <c r="E27" i="1" s="1"/>
  <c r="D26" i="1"/>
  <c r="G26" i="1" s="1"/>
  <c r="C26" i="1"/>
  <c r="F26" i="1" s="1"/>
  <c r="B26" i="1"/>
  <c r="E26" i="1" s="1"/>
  <c r="D25" i="1"/>
  <c r="G25" i="1" s="1"/>
  <c r="C25" i="1"/>
  <c r="F25" i="1" s="1"/>
  <c r="B25" i="1"/>
  <c r="E25" i="1" s="1"/>
  <c r="C24" i="1"/>
  <c r="F24" i="1" s="1"/>
  <c r="B24" i="1"/>
  <c r="E24" i="1" s="1"/>
  <c r="B23" i="1"/>
  <c r="E23" i="1" s="1"/>
  <c r="D22" i="1"/>
  <c r="G22" i="1" s="1"/>
  <c r="B22" i="1"/>
  <c r="E22" i="1" s="1"/>
  <c r="D21" i="1"/>
  <c r="G21" i="1" s="1"/>
  <c r="C21" i="1"/>
  <c r="F21" i="1" s="1"/>
  <c r="D24" i="1" l="1"/>
  <c r="F55" i="1"/>
  <c r="B21" i="1"/>
  <c r="F64" i="1"/>
  <c r="F75" i="1"/>
  <c r="H23" i="1"/>
  <c r="H28" i="1"/>
  <c r="C22" i="1"/>
  <c r="C36" i="1"/>
  <c r="C41" i="1" s="1"/>
  <c r="H25" i="1"/>
  <c r="H27" i="1"/>
  <c r="E33" i="1"/>
  <c r="E35" i="1"/>
  <c r="H26" i="1"/>
  <c r="E39" i="1"/>
  <c r="D36" i="1"/>
  <c r="D41" i="1" s="1"/>
  <c r="B36" i="1"/>
  <c r="B41" i="1" s="1"/>
  <c r="E34" i="1"/>
  <c r="B40" i="1"/>
  <c r="E40" i="1" s="1"/>
  <c r="E38" i="1"/>
  <c r="E21" i="1" l="1"/>
  <c r="E29" i="1" s="1"/>
  <c r="F22" i="1"/>
  <c r="H22" i="1" s="1"/>
  <c r="G24" i="1"/>
  <c r="G29" i="1" s="1"/>
  <c r="F77" i="1"/>
  <c r="E36" i="1"/>
  <c r="E41" i="1"/>
  <c r="H24" i="1" l="1"/>
  <c r="F29" i="1"/>
  <c r="H21" i="1"/>
  <c r="H29" i="1" l="1"/>
  <c r="H30" i="1" s="1"/>
  <c r="H33" i="1" s="1"/>
</calcChain>
</file>

<file path=xl/sharedStrings.xml><?xml version="1.0" encoding="utf-8"?>
<sst xmlns="http://schemas.openxmlformats.org/spreadsheetml/2006/main" count="618" uniqueCount="229">
  <si>
    <t>BK</t>
  </si>
  <si>
    <t>CPA1</t>
  </si>
  <si>
    <t>Admin Items</t>
  </si>
  <si>
    <t>CPA2</t>
  </si>
  <si>
    <t>Client Info</t>
  </si>
  <si>
    <t>Business Organized As</t>
  </si>
  <si>
    <t>(our system, client system, QB's online or other?)</t>
  </si>
  <si>
    <t>Services Provided</t>
  </si>
  <si>
    <t>Services &amp; Details</t>
  </si>
  <si>
    <t>Yes/No/Other</t>
  </si>
  <si>
    <t>Notes/Details</t>
  </si>
  <si>
    <t>Yes</t>
  </si>
  <si>
    <t>PAYROLL</t>
  </si>
  <si>
    <t>INCOME TAX</t>
  </si>
  <si>
    <t>SALES TAX</t>
  </si>
  <si>
    <t>No</t>
  </si>
  <si>
    <t>TX PROPERTY TAX</t>
  </si>
  <si>
    <t>MISC/OTHER</t>
  </si>
  <si>
    <t>N/A</t>
  </si>
  <si>
    <t>TBD</t>
  </si>
  <si>
    <t>Time &amp; Cost Summary for Client - Recurring Monthly Service</t>
  </si>
  <si>
    <t>By Task</t>
  </si>
  <si>
    <t>Mo</t>
  </si>
  <si>
    <t>Qtrly</t>
  </si>
  <si>
    <t>Annual</t>
  </si>
  <si>
    <t>TOTAL MO</t>
  </si>
  <si>
    <t>TOTAL QTR</t>
  </si>
  <si>
    <t>TOTAL ANN</t>
  </si>
  <si>
    <t>Grand Total</t>
  </si>
  <si>
    <t>Cost</t>
  </si>
  <si>
    <t>Total Annual Internal Cost</t>
  </si>
  <si>
    <t>By Individual</t>
  </si>
  <si>
    <t>Total</t>
  </si>
  <si>
    <t>Annualized</t>
  </si>
  <si>
    <t>Total Time Annually</t>
  </si>
  <si>
    <t>Time and Cost Budget Details</t>
  </si>
  <si>
    <t>Monthly Tasks</t>
  </si>
  <si>
    <t>Who</t>
  </si>
  <si>
    <t>Qtr</t>
  </si>
  <si>
    <t>Activity Detail</t>
  </si>
  <si>
    <t>Total Monthly Tasks Cost (Annualized)</t>
  </si>
  <si>
    <t>Quarterly Tasks</t>
  </si>
  <si>
    <t>Detailed Tax Est &amp; Est Pmt Voucher</t>
  </si>
  <si>
    <t>Total Quarterly Tasks Cost (Annualized)</t>
  </si>
  <si>
    <t>Annual Tasks</t>
  </si>
  <si>
    <t>Total Annual Tasks Cost</t>
  </si>
  <si>
    <t>MNTHLY/QTRL PACKET</t>
  </si>
  <si>
    <t>ACCT &amp; BKKEEPING</t>
  </si>
  <si>
    <t>Monthly client discount, # srvs x 5%</t>
  </si>
  <si>
    <t>Consulting/Planning</t>
  </si>
  <si>
    <t>Built in consluting/planning</t>
  </si>
  <si>
    <t>BK2</t>
  </si>
  <si>
    <t>Review and prepare quarteryl financials/packet</t>
  </si>
  <si>
    <t>Project</t>
  </si>
  <si>
    <t>Task</t>
  </si>
  <si>
    <t>8 hrs of consulting/planning built in</t>
  </si>
  <si>
    <t>Review packet/tax estimate and finalize</t>
  </si>
  <si>
    <t>AJE's / book to tax differences, annual updates</t>
  </si>
  <si>
    <t>Review &amp; Finalize P&amp;L</t>
  </si>
  <si>
    <t>Prepare business - federal &amp; state tax returns</t>
  </si>
  <si>
    <t>Est Monthly Fee</t>
  </si>
  <si>
    <t>Reconcile bank/add missing transactions, review coding - 3 bank accts, LOC &amp; CC's</t>
  </si>
  <si>
    <t>Total Est YRL Cost - HOURLY - See Pg 1 for discounted MO Rate/Fee</t>
  </si>
  <si>
    <t>1x 1040 - Avg Personal Tax Return w/ schedule C/E - Prep and review/sign off</t>
  </si>
  <si>
    <t>Processing payroll MO</t>
  </si>
  <si>
    <t>File annual fed/state PR reports &amp; 1099s</t>
  </si>
  <si>
    <t>Reconcile &amp; File Fed/State Qtr Reports</t>
  </si>
  <si>
    <t>Internal items/notes (DO NOT PRINT OR SHOW)</t>
  </si>
  <si>
    <t>Accounting System Setup (If Present)</t>
  </si>
  <si>
    <t>BUSINESS NAME</t>
  </si>
  <si>
    <t>Individual's Name</t>
  </si>
  <si>
    <t>Code</t>
  </si>
  <si>
    <t>Rate</t>
  </si>
  <si>
    <t>Description</t>
  </si>
  <si>
    <t>Admin</t>
  </si>
  <si>
    <t>Internal Position Title</t>
  </si>
  <si>
    <t>Bookkeeper</t>
  </si>
  <si>
    <t>Accountant</t>
  </si>
  <si>
    <t>Tax Preparer</t>
  </si>
  <si>
    <t>Tax Reviewer</t>
  </si>
  <si>
    <t>Tax Partner</t>
  </si>
  <si>
    <t>CPA3</t>
  </si>
  <si>
    <t>Internal Cost Rate</t>
  </si>
  <si>
    <t>MONTHLY CLIENT</t>
  </si>
  <si>
    <t>SOW TYPE:</t>
  </si>
  <si>
    <t>Last Updated:</t>
  </si>
  <si>
    <t>KC - 7/14/18</t>
  </si>
  <si>
    <t>MO FEE (Rounded)</t>
  </si>
  <si>
    <t>CPA 1/2/3</t>
  </si>
  <si>
    <t>BK/BK2/Acct</t>
  </si>
  <si>
    <t>Acct</t>
  </si>
  <si>
    <t>Accounting Ptr</t>
  </si>
  <si>
    <t>Total by Category</t>
  </si>
  <si>
    <t>Total Hrs/Yr</t>
  </si>
  <si>
    <t>Total Hrs</t>
  </si>
  <si>
    <t>% of Total Hrs</t>
  </si>
  <si>
    <t>Raw Fee</t>
  </si>
  <si>
    <t>% of Fee</t>
  </si>
  <si>
    <t>Net Fee</t>
  </si>
  <si>
    <t>Tota Ann Cost</t>
  </si>
  <si>
    <t>Profitability</t>
  </si>
  <si>
    <t>Gross Profit %</t>
  </si>
  <si>
    <t>General Hourly Bill &amp; Cost Rates</t>
  </si>
  <si>
    <t>N/A - Captured in Admin</t>
  </si>
  <si>
    <t>Act Hrly Rate</t>
  </si>
  <si>
    <t>Realized Hourly Rate (After Discount)</t>
  </si>
  <si>
    <t># services used (Determines Discount)</t>
  </si>
  <si>
    <t>Profitability &amp; Gross/Net Profit %</t>
  </si>
  <si>
    <t>Est G&amp;A Exp %</t>
  </si>
  <si>
    <t>Take Home %</t>
  </si>
  <si>
    <t>Initial Cost/MO</t>
  </si>
  <si>
    <t>Formula</t>
  </si>
  <si>
    <t>SPECIAL PROJECTS &amp; CONSULTING</t>
  </si>
  <si>
    <t>Budgeted Hrs</t>
  </si>
  <si>
    <t>Projects Included</t>
  </si>
  <si>
    <t>Budgeted Hours</t>
  </si>
  <si>
    <t>Accounting Cleanup &amp; Related</t>
  </si>
  <si>
    <t>Budgeted Cost</t>
  </si>
  <si>
    <t>Level</t>
  </si>
  <si>
    <t>Task Details</t>
  </si>
  <si>
    <t>Other</t>
  </si>
  <si>
    <t>Budget or Related Notes</t>
  </si>
  <si>
    <t>Amount Due With Engagement Signing</t>
  </si>
  <si>
    <t>*Balance Due Upon Completion</t>
  </si>
  <si>
    <t>Amended Tax Returns 15-16</t>
  </si>
  <si>
    <t>2017 S Corp</t>
  </si>
  <si>
    <t>2017 1040</t>
  </si>
  <si>
    <t>Realized Hourly Rate (After Discount if Any)</t>
  </si>
  <si>
    <t>Prepared By:</t>
  </si>
  <si>
    <t xml:space="preserve">Date: </t>
  </si>
  <si>
    <t>How to use Tool:</t>
  </si>
  <si>
    <t>"Under Monthly Tasks"</t>
  </si>
  <si>
    <t>Copy and paste one of the 7 services we offer from cells A10-17 for each individual item or service</t>
  </si>
  <si>
    <t>Discount</t>
  </si>
  <si>
    <t>Total Budgeted Hrs/Cost</t>
  </si>
  <si>
    <t>Totals</t>
  </si>
  <si>
    <t>TAX RETURNS ONLY</t>
  </si>
  <si>
    <t>General Tax Return Pricing</t>
  </si>
  <si>
    <t>1040 EZ</t>
  </si>
  <si>
    <t>1040 Complex</t>
  </si>
  <si>
    <t>1040 Sched E</t>
  </si>
  <si>
    <t>1120 EZ</t>
  </si>
  <si>
    <t>Rate Type</t>
  </si>
  <si>
    <t>Fixed</t>
  </si>
  <si>
    <t>Hourly</t>
  </si>
  <si>
    <t>1040 Sched C - Basic</t>
  </si>
  <si>
    <t>1040 Sched C - Mid Range</t>
  </si>
  <si>
    <t>1040 Sched C - Complex</t>
  </si>
  <si>
    <t>1040 EZ Form</t>
  </si>
  <si>
    <t>1040 with itemization, no sched C or E</t>
  </si>
  <si>
    <t>Low</t>
  </si>
  <si>
    <t>High</t>
  </si>
  <si>
    <t>Bsuiness Name/Client Name</t>
  </si>
  <si>
    <t>Tax Consulting or Related</t>
  </si>
  <si>
    <t>1120 Basic</t>
  </si>
  <si>
    <t>1120 Mid-level</t>
  </si>
  <si>
    <t>1120 Complex</t>
  </si>
  <si>
    <t>1120 Misc</t>
  </si>
  <si>
    <t>1120S EZ</t>
  </si>
  <si>
    <t>1120S Basic</t>
  </si>
  <si>
    <t>1120S Mid-level</t>
  </si>
  <si>
    <t>1120S Complex</t>
  </si>
  <si>
    <t>1120S Misc</t>
  </si>
  <si>
    <t>1065 EZ</t>
  </si>
  <si>
    <t>1065 Basic</t>
  </si>
  <si>
    <t>1065 Mid-level</t>
  </si>
  <si>
    <t>1065 Complex</t>
  </si>
  <si>
    <t>1065 Misc</t>
  </si>
  <si>
    <t>1040 Mid-level</t>
  </si>
  <si>
    <t>1040 Basic</t>
  </si>
  <si>
    <t>Est CPA Hrs</t>
  </si>
  <si>
    <t>Tax Returns</t>
  </si>
  <si>
    <t>1040 Misc</t>
  </si>
  <si>
    <t>TX FTR - NTD</t>
  </si>
  <si>
    <t>TX FTR - Tax Due - Basic</t>
  </si>
  <si>
    <t>TX FTR - Tax Due - Mid Range</t>
  </si>
  <si>
    <t>TX FTR - Tax Due - Complex</t>
  </si>
  <si>
    <t>Fee Range</t>
  </si>
  <si>
    <t>Total Est Fee Range</t>
  </si>
  <si>
    <t>Additional Tax Related Projects or Consulting</t>
  </si>
  <si>
    <t>HOURLY TAX WORK</t>
  </si>
  <si>
    <t>Tax Return Only/Hourly Rate</t>
  </si>
  <si>
    <t>Return Details or Complexities</t>
  </si>
  <si>
    <t>Modify the Following:</t>
  </si>
  <si>
    <t>A1 - Business name (or individuals name if no business name present)</t>
  </si>
  <si>
    <t>A2 &amp; B2 - Enter Date/Prepared By</t>
  </si>
  <si>
    <t xml:space="preserve">*START BY DOING A "SAVE AS" on this workbook to save it to the client preparing it for. </t>
  </si>
  <si>
    <t>Desired Goal &amp; Break Even</t>
  </si>
  <si>
    <t>*DON'T Modify anything in GREY as those are calculated fields</t>
  </si>
  <si>
    <t>A10 - 16 - Name each "Project" you are quoting (EX: Accounting cleanup &amp; related) then to enter the tasks, time/budget and who will perform the tasks that makeup the project in cells A27 - as many rows as needed.)</t>
  </si>
  <si>
    <t xml:space="preserve">NOTE - Copy and paste the exact same project name from A10-16 to the detail area in A27 and below. </t>
  </si>
  <si>
    <t>NOTE - A single project can have MANY tasks, if the project has multiple tasks then you will repeat the "project name" in the detail area (A27 - …) and then each "task" of the project you will list in detail in the related line in columb B, see example below</t>
  </si>
  <si>
    <t>Acct Cleanup</t>
  </si>
  <si>
    <t>Reconcile Banks</t>
  </si>
  <si>
    <t>Reconcile CC's</t>
  </si>
  <si>
    <t>Review P&amp;L</t>
  </si>
  <si>
    <t>"these 3 tasks" make up the single "project" "Acct Cleanup" and will be totaled (time and cost) in the top/summary are in cell A10</t>
  </si>
  <si>
    <t>A27 - … - This is the detail area for the projects/tasks, copy and paste the project name from above (Cell A10-…) and paste the project name in Column A and the detail/task by line item in columb b</t>
  </si>
  <si>
    <t>F27 - … - Here you will enter the level/function required for the task</t>
  </si>
  <si>
    <t>G27 - … - Here you will enter the est hours for the particular task</t>
  </si>
  <si>
    <t>NOTE - Once you enter all the tasks, levels and budgeted hours by task line item for the project the total for each project will sum and pull to the top area (B/C 10 - …)</t>
  </si>
  <si>
    <t>Dept</t>
  </si>
  <si>
    <t>Tax</t>
  </si>
  <si>
    <t>ACCT - Desired Profitability (take home) % for project</t>
  </si>
  <si>
    <t>Overall %</t>
  </si>
  <si>
    <t>ACCT - Actual % Take Home</t>
  </si>
  <si>
    <t>ACCT - Desired Profitability (take home) %</t>
  </si>
  <si>
    <t>Over (+) / Under (-) Goal</t>
  </si>
  <si>
    <t>TAX - Desired Profitability (take home) %</t>
  </si>
  <si>
    <t>TAX - Actual % Take Home</t>
  </si>
  <si>
    <t>Overall Fee Dept Allocation</t>
  </si>
  <si>
    <t>NOTE - Enter a "name" for each project ONLY as the hours and cost will build from the detail section</t>
  </si>
  <si>
    <t>Tota Project Cost</t>
  </si>
  <si>
    <t>Project Profitability</t>
  </si>
  <si>
    <t>Hackbart &amp; Companies</t>
  </si>
  <si>
    <t>Date: 7/29/18</t>
  </si>
  <si>
    <t>Prepared By: KC</t>
  </si>
  <si>
    <t>Mybeck Accounting</t>
  </si>
  <si>
    <t>10/10 Accounting</t>
  </si>
  <si>
    <t>Hackbart Personal Return</t>
  </si>
  <si>
    <t>Accounting &amp; Bookkeeping - Basic Prep</t>
  </si>
  <si>
    <t>Accounting &amp; Bookkeeping - Review</t>
  </si>
  <si>
    <t>2017 Mybeck Tax Returns -Fed/State</t>
  </si>
  <si>
    <t>2017 10/10 Tax Returns - Fed/State</t>
  </si>
  <si>
    <t>Former MO Client Discount</t>
  </si>
  <si>
    <t>Rounded</t>
  </si>
  <si>
    <t>Prep &amp; Review</t>
  </si>
  <si>
    <t>Kevin Hackbart</t>
  </si>
  <si>
    <t>Total Fee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</si>
</sst>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_);[Red]\(#,##0.0\)"/>
  </numFmts>
  <fonts count="43" x14ac:knownFonts="1">
    <font>
      <sz val="11"/>
      <color theme="1"/>
      <name val="Calibri"/>
      <family val="2"/>
      <scheme val="minor"/>
    </font>
    <font>
      <sz val="11"/>
      <color theme="1"/>
      <name val="Calibri"/>
      <family val="2"/>
      <scheme val="minor"/>
    </font>
    <font>
      <u/>
      <sz val="9.35"/>
      <color theme="10"/>
      <name val="Calibri"/>
      <family val="2"/>
    </font>
    <font>
      <b/>
      <sz val="18"/>
      <color theme="1"/>
      <name val="Calibri"/>
      <family val="2"/>
      <scheme val="minor"/>
    </font>
    <font>
      <sz val="11"/>
      <color theme="1"/>
      <name val="Calibri"/>
      <family val="2"/>
      <scheme val="minor"/>
    </font>
    <font>
      <u/>
      <sz val="12"/>
      <color theme="10"/>
      <name val="Calibri"/>
      <family val="2"/>
    </font>
    <font>
      <u/>
      <sz val="8"/>
      <color theme="10"/>
      <name val="Calibri"/>
      <family val="2"/>
    </font>
    <font>
      <sz val="11"/>
      <name val="Calibri"/>
      <family val="2"/>
      <scheme val="minor"/>
    </font>
    <font>
      <b/>
      <sz val="11"/>
      <color theme="1"/>
      <name val="Calibri"/>
      <family val="2"/>
      <scheme val="minor"/>
    </font>
    <font>
      <b/>
      <u/>
      <sz val="22"/>
      <color rgb="FF0070C0"/>
      <name val="Calibri"/>
      <family val="2"/>
      <scheme val="minor"/>
    </font>
    <font>
      <b/>
      <sz val="14"/>
      <color theme="1"/>
      <name val="Calibri"/>
      <family val="2"/>
      <scheme val="minor"/>
    </font>
    <font>
      <b/>
      <sz val="11"/>
      <name val="Calibri"/>
      <family val="2"/>
      <scheme val="minor"/>
    </font>
    <font>
      <b/>
      <sz val="14"/>
      <color rgb="FFFF0000"/>
      <name val="Calibri"/>
      <family val="2"/>
      <scheme val="minor"/>
    </font>
    <font>
      <u/>
      <sz val="11"/>
      <color theme="1"/>
      <name val="Calibri"/>
      <family val="2"/>
      <scheme val="minor"/>
    </font>
    <font>
      <u/>
      <sz val="11"/>
      <name val="Calibri"/>
      <family val="2"/>
      <scheme val="minor"/>
    </font>
    <font>
      <b/>
      <sz val="11"/>
      <color theme="9" tint="-0.249977111117893"/>
      <name val="Calibri"/>
      <family val="2"/>
      <scheme val="minor"/>
    </font>
    <font>
      <b/>
      <sz val="11"/>
      <color rgb="FF7030A0"/>
      <name val="Calibri"/>
      <family val="2"/>
      <scheme val="minor"/>
    </font>
    <font>
      <b/>
      <sz val="11"/>
      <color rgb="FFFF0000"/>
      <name val="Calibri"/>
      <family val="2"/>
      <scheme val="minor"/>
    </font>
    <font>
      <b/>
      <sz val="11"/>
      <color rgb="FF0070C0"/>
      <name val="Calibri"/>
      <family val="2"/>
      <scheme val="minor"/>
    </font>
    <font>
      <b/>
      <sz val="11"/>
      <color rgb="FF00B050"/>
      <name val="Calibri"/>
      <family val="2"/>
      <scheme val="minor"/>
    </font>
    <font>
      <b/>
      <sz val="11"/>
      <color theme="1" tint="0.249977111117893"/>
      <name val="Calibri"/>
      <family val="2"/>
      <scheme val="minor"/>
    </font>
    <font>
      <i/>
      <sz val="11"/>
      <color theme="1"/>
      <name val="Calibri"/>
      <family val="2"/>
      <scheme val="minor"/>
    </font>
    <font>
      <sz val="8"/>
      <color theme="1"/>
      <name val="Calibri"/>
      <family val="2"/>
      <scheme val="minor"/>
    </font>
    <font>
      <b/>
      <sz val="20"/>
      <color rgb="FF00B050"/>
      <name val="Calibri"/>
      <family val="2"/>
      <scheme val="minor"/>
    </font>
    <font>
      <b/>
      <sz val="14"/>
      <name val="Calibri"/>
      <family val="2"/>
      <scheme val="minor"/>
    </font>
    <font>
      <sz val="14"/>
      <color theme="1"/>
      <name val="Calibri"/>
      <family val="2"/>
      <scheme val="minor"/>
    </font>
    <font>
      <u/>
      <sz val="14"/>
      <color theme="1"/>
      <name val="Calibri"/>
      <family val="2"/>
      <scheme val="minor"/>
    </font>
    <font>
      <b/>
      <i/>
      <sz val="11"/>
      <color theme="1" tint="0.249977111117893"/>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
      <b/>
      <sz val="14"/>
      <color rgb="FF0070C0"/>
      <name val="Calibri"/>
      <family val="2"/>
      <scheme val="minor"/>
    </font>
    <font>
      <b/>
      <sz val="14"/>
      <color rgb="FF00B050"/>
      <name val="Calibri"/>
      <family val="2"/>
      <scheme val="minor"/>
    </font>
    <font>
      <b/>
      <sz val="10"/>
      <color rgb="FF0070C0"/>
      <name val="Calibri"/>
      <family val="2"/>
      <scheme val="minor"/>
    </font>
    <font>
      <b/>
      <sz val="12"/>
      <name val="Calibri"/>
      <family val="2"/>
      <scheme val="minor"/>
    </font>
    <font>
      <sz val="14"/>
      <name val="Calibri"/>
      <family val="2"/>
      <scheme val="minor"/>
    </font>
    <font>
      <sz val="16"/>
      <color theme="1"/>
      <name val="Calibri"/>
      <family val="2"/>
      <scheme val="minor"/>
    </font>
    <font>
      <sz val="18"/>
      <color theme="1"/>
      <name val="Calibri"/>
      <family val="2"/>
      <scheme val="minor"/>
    </font>
    <font>
      <sz val="18"/>
      <name val="Calibri"/>
      <family val="2"/>
      <scheme val="minor"/>
    </font>
    <font>
      <u/>
      <sz val="12"/>
      <color theme="1"/>
      <name val="Calibri"/>
      <family val="2"/>
      <scheme val="minor"/>
    </font>
    <font>
      <b/>
      <sz val="22"/>
      <name val="Calibri"/>
      <family val="2"/>
      <scheme val="minor"/>
    </font>
    <font>
      <b/>
      <u/>
      <sz val="22"/>
      <color rgb="FF00B050"/>
      <name val="Calibri"/>
      <family val="2"/>
      <scheme val="minor"/>
    </font>
    <font>
      <u/>
      <sz val="24"/>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196">
    <xf numFmtId="0" fontId="0" fillId="0" borderId="0" xfId="0"/>
    <xf numFmtId="0" fontId="3" fillId="2" borderId="0" xfId="0" applyFont="1" applyFill="1"/>
    <xf numFmtId="0" fontId="4" fillId="2" borderId="0" xfId="0" applyFont="1" applyFill="1"/>
    <xf numFmtId="0" fontId="4" fillId="0" borderId="0" xfId="0" applyFont="1"/>
    <xf numFmtId="0" fontId="5" fillId="0" borderId="0" xfId="3" applyFont="1" applyAlignment="1" applyProtection="1">
      <alignment horizontal="center"/>
    </xf>
    <xf numFmtId="0" fontId="6" fillId="0" borderId="0" xfId="3" applyFont="1" applyAlignment="1" applyProtection="1">
      <alignment horizontal="center" vertical="center"/>
    </xf>
    <xf numFmtId="0" fontId="7" fillId="0" borderId="0" xfId="0" applyFont="1"/>
    <xf numFmtId="0" fontId="7" fillId="7" borderId="0" xfId="0" applyFont="1" applyFill="1"/>
    <xf numFmtId="0" fontId="8" fillId="0" borderId="0" xfId="0" applyFont="1"/>
    <xf numFmtId="0" fontId="9" fillId="0" borderId="0" xfId="0" applyFont="1"/>
    <xf numFmtId="0" fontId="10" fillId="0" borderId="0" xfId="0" applyFont="1" applyAlignment="1">
      <alignment horizontal="center"/>
    </xf>
    <xf numFmtId="0" fontId="11" fillId="0" borderId="0" xfId="0" applyFont="1" applyFill="1"/>
    <xf numFmtId="0" fontId="12" fillId="0" borderId="0" xfId="0" applyFont="1"/>
    <xf numFmtId="14" fontId="8" fillId="0" borderId="0" xfId="0" applyNumberFormat="1" applyFont="1"/>
    <xf numFmtId="0" fontId="12" fillId="0" borderId="0" xfId="0" applyFont="1" applyFill="1"/>
    <xf numFmtId="0" fontId="4" fillId="0" borderId="0" xfId="0" applyFont="1" applyFill="1"/>
    <xf numFmtId="0" fontId="4" fillId="3" borderId="0" xfId="0" applyFont="1" applyFill="1"/>
    <xf numFmtId="0" fontId="7" fillId="0" borderId="0" xfId="0" applyFont="1" applyFill="1"/>
    <xf numFmtId="0" fontId="13" fillId="0" borderId="0" xfId="0" applyFont="1"/>
    <xf numFmtId="0" fontId="7" fillId="0" borderId="0" xfId="0" applyFont="1" applyAlignment="1">
      <alignment horizontal="left"/>
    </xf>
    <xf numFmtId="0" fontId="4" fillId="7" borderId="0" xfId="0" applyFont="1" applyFill="1"/>
    <xf numFmtId="0" fontId="11" fillId="0" borderId="0" xfId="0" applyFont="1" applyAlignment="1">
      <alignment vertical="top"/>
    </xf>
    <xf numFmtId="0" fontId="4" fillId="3" borderId="0" xfId="0" applyFont="1" applyFill="1" applyAlignment="1">
      <alignment horizontal="left" vertical="center"/>
    </xf>
    <xf numFmtId="0" fontId="4" fillId="0" borderId="0" xfId="0" applyFont="1" applyAlignment="1">
      <alignment vertical="top"/>
    </xf>
    <xf numFmtId="0" fontId="7" fillId="0" borderId="0" xfId="0" applyFont="1" applyAlignment="1">
      <alignment vertical="top"/>
    </xf>
    <xf numFmtId="0" fontId="14" fillId="0" borderId="0" xfId="0" applyFont="1"/>
    <xf numFmtId="0" fontId="15" fillId="0" borderId="0" xfId="0" applyFont="1" applyAlignment="1">
      <alignment vertical="top"/>
    </xf>
    <xf numFmtId="0" fontId="4" fillId="0" borderId="0" xfId="0" applyFont="1" applyAlignment="1">
      <alignment horizontal="left"/>
    </xf>
    <xf numFmtId="0" fontId="16" fillId="0" borderId="0" xfId="0" applyFont="1" applyAlignment="1">
      <alignment vertical="top"/>
    </xf>
    <xf numFmtId="0" fontId="17" fillId="0" borderId="0" xfId="0" applyFont="1" applyAlignment="1">
      <alignment vertical="top"/>
    </xf>
    <xf numFmtId="0" fontId="18" fillId="0" borderId="0" xfId="0" applyFont="1" applyAlignment="1">
      <alignment horizontal="left" vertical="top"/>
    </xf>
    <xf numFmtId="0" fontId="4" fillId="0" borderId="0" xfId="0" applyFont="1" applyAlignment="1">
      <alignment horizontal="left" vertical="top"/>
    </xf>
    <xf numFmtId="0" fontId="19" fillId="0" borderId="0" xfId="0" applyFont="1" applyAlignment="1">
      <alignment horizontal="left" vertical="top"/>
    </xf>
    <xf numFmtId="0" fontId="20" fillId="0" borderId="0" xfId="0" applyFont="1" applyAlignment="1">
      <alignment horizontal="left" vertical="top"/>
    </xf>
    <xf numFmtId="0" fontId="21" fillId="0" borderId="0" xfId="0" applyFont="1" applyAlignment="1">
      <alignment horizontal="left" vertical="top"/>
    </xf>
    <xf numFmtId="0" fontId="22" fillId="0" borderId="0" xfId="0" applyFont="1"/>
    <xf numFmtId="0" fontId="23" fillId="0" borderId="0" xfId="0" applyFont="1" applyBorder="1" applyAlignment="1">
      <alignment horizontal="left"/>
    </xf>
    <xf numFmtId="0" fontId="13" fillId="7" borderId="0" xfId="0" applyFont="1" applyFill="1"/>
    <xf numFmtId="0" fontId="24" fillId="0" borderId="0" xfId="0" applyFont="1" applyBorder="1" applyAlignment="1">
      <alignment horizontal="left" vertical="center"/>
    </xf>
    <xf numFmtId="0" fontId="25" fillId="4" borderId="1" xfId="0" applyFont="1" applyFill="1" applyBorder="1" applyAlignment="1">
      <alignment horizontal="center"/>
    </xf>
    <xf numFmtId="0" fontId="25" fillId="4" borderId="2" xfId="0" applyFont="1" applyFill="1" applyBorder="1" applyAlignment="1">
      <alignment horizontal="center"/>
    </xf>
    <xf numFmtId="0" fontId="25" fillId="4" borderId="3" xfId="0" applyFont="1" applyFill="1" applyBorder="1" applyAlignment="1">
      <alignment horizontal="center"/>
    </xf>
    <xf numFmtId="164" fontId="4" fillId="5" borderId="4" xfId="1" applyNumberFormat="1" applyFont="1" applyFill="1" applyBorder="1" applyAlignment="1">
      <alignment horizontal="center"/>
    </xf>
    <xf numFmtId="164" fontId="4" fillId="5" borderId="5" xfId="1" applyNumberFormat="1" applyFont="1" applyFill="1" applyBorder="1" applyAlignment="1">
      <alignment horizontal="center"/>
    </xf>
    <xf numFmtId="164" fontId="4" fillId="5" borderId="6" xfId="0" applyNumberFormat="1" applyFont="1" applyFill="1" applyBorder="1"/>
    <xf numFmtId="164" fontId="4" fillId="5" borderId="7" xfId="1" applyNumberFormat="1" applyFont="1" applyFill="1" applyBorder="1" applyAlignment="1">
      <alignment horizontal="center"/>
    </xf>
    <xf numFmtId="164" fontId="4" fillId="5" borderId="8" xfId="1" applyNumberFormat="1" applyFont="1" applyFill="1" applyBorder="1" applyAlignment="1">
      <alignment horizontal="center"/>
    </xf>
    <xf numFmtId="164" fontId="4" fillId="5" borderId="9" xfId="0" applyNumberFormat="1" applyFont="1" applyFill="1" applyBorder="1"/>
    <xf numFmtId="0" fontId="27" fillId="0" borderId="0" xfId="0" applyFont="1" applyAlignment="1">
      <alignment horizontal="left" vertical="top"/>
    </xf>
    <xf numFmtId="164" fontId="21" fillId="5" borderId="7" xfId="1" applyNumberFormat="1" applyFont="1" applyFill="1" applyBorder="1" applyAlignment="1">
      <alignment horizontal="center"/>
    </xf>
    <xf numFmtId="164" fontId="21" fillId="5" borderId="8" xfId="1" applyNumberFormat="1" applyFont="1" applyFill="1" applyBorder="1" applyAlignment="1">
      <alignment horizontal="center"/>
    </xf>
    <xf numFmtId="164" fontId="21" fillId="5" borderId="9" xfId="0" applyNumberFormat="1" applyFont="1" applyFill="1" applyBorder="1"/>
    <xf numFmtId="0" fontId="18" fillId="0" borderId="0" xfId="0" applyFont="1"/>
    <xf numFmtId="164" fontId="4" fillId="5" borderId="10" xfId="0" applyNumberFormat="1" applyFont="1" applyFill="1" applyBorder="1"/>
    <xf numFmtId="164" fontId="4" fillId="5" borderId="11" xfId="0" applyNumberFormat="1" applyFont="1" applyFill="1" applyBorder="1"/>
    <xf numFmtId="164" fontId="8" fillId="5" borderId="11" xfId="1" applyNumberFormat="1" applyFont="1" applyFill="1" applyBorder="1" applyAlignment="1">
      <alignment horizontal="center"/>
    </xf>
    <xf numFmtId="44" fontId="8" fillId="7" borderId="0" xfId="1" applyFont="1" applyFill="1" applyAlignment="1">
      <alignment horizontal="center"/>
    </xf>
    <xf numFmtId="40" fontId="4" fillId="0" borderId="0" xfId="0" applyNumberFormat="1" applyFont="1" applyAlignment="1">
      <alignment horizontal="center"/>
    </xf>
    <xf numFmtId="44" fontId="28" fillId="5" borderId="0" xfId="0" applyNumberFormat="1" applyFont="1" applyFill="1"/>
    <xf numFmtId="0" fontId="29" fillId="0" borderId="0" xfId="0" applyFont="1"/>
    <xf numFmtId="0" fontId="24" fillId="0" borderId="0" xfId="0" applyFont="1" applyBorder="1" applyAlignment="1">
      <alignment horizontal="left"/>
    </xf>
    <xf numFmtId="10" fontId="30" fillId="3" borderId="0" xfId="2" applyNumberFormat="1" applyFont="1" applyFill="1"/>
    <xf numFmtId="0" fontId="30" fillId="0" borderId="0" xfId="0" applyFont="1"/>
    <xf numFmtId="165" fontId="4" fillId="5" borderId="6" xfId="0" applyNumberFormat="1" applyFont="1" applyFill="1" applyBorder="1" applyAlignment="1">
      <alignment horizontal="center"/>
    </xf>
    <xf numFmtId="44" fontId="10" fillId="5" borderId="1" xfId="0" applyNumberFormat="1" applyFont="1" applyFill="1" applyBorder="1"/>
    <xf numFmtId="0" fontId="10" fillId="0" borderId="2" xfId="0" applyFont="1" applyBorder="1"/>
    <xf numFmtId="0" fontId="4" fillId="0" borderId="3" xfId="0" applyFont="1" applyBorder="1"/>
    <xf numFmtId="165" fontId="4" fillId="5" borderId="7" xfId="0" applyNumberFormat="1" applyFont="1" applyFill="1" applyBorder="1" applyAlignment="1">
      <alignment horizontal="center"/>
    </xf>
    <xf numFmtId="165" fontId="4" fillId="5" borderId="8" xfId="0" applyNumberFormat="1" applyFont="1" applyFill="1" applyBorder="1" applyAlignment="1">
      <alignment horizontal="center"/>
    </xf>
    <xf numFmtId="165" fontId="4" fillId="5" borderId="9" xfId="0" applyNumberFormat="1" applyFont="1" applyFill="1" applyBorder="1" applyAlignment="1">
      <alignment horizontal="center"/>
    </xf>
    <xf numFmtId="0" fontId="10" fillId="6" borderId="0" xfId="0" applyFont="1" applyFill="1"/>
    <xf numFmtId="0" fontId="8" fillId="0" borderId="0" xfId="0" applyFont="1" applyAlignment="1">
      <alignment horizontal="left"/>
    </xf>
    <xf numFmtId="165" fontId="8" fillId="5" borderId="7" xfId="0" applyNumberFormat="1" applyFont="1" applyFill="1" applyBorder="1" applyAlignment="1">
      <alignment horizontal="center"/>
    </xf>
    <xf numFmtId="165" fontId="8" fillId="5" borderId="8" xfId="0" applyNumberFormat="1" applyFont="1" applyFill="1" applyBorder="1" applyAlignment="1">
      <alignment horizontal="center"/>
    </xf>
    <xf numFmtId="165" fontId="8" fillId="5" borderId="9" xfId="0" applyNumberFormat="1" applyFont="1" applyFill="1" applyBorder="1" applyAlignment="1">
      <alignment horizontal="center"/>
    </xf>
    <xf numFmtId="38" fontId="4" fillId="5" borderId="7" xfId="0" applyNumberFormat="1" applyFont="1" applyFill="1" applyBorder="1" applyAlignment="1">
      <alignment horizontal="center"/>
    </xf>
    <xf numFmtId="38" fontId="4" fillId="5" borderId="8" xfId="0" applyNumberFormat="1" applyFont="1" applyFill="1" applyBorder="1" applyAlignment="1">
      <alignment horizontal="center"/>
    </xf>
    <xf numFmtId="44" fontId="4" fillId="0" borderId="0" xfId="1" applyFont="1"/>
    <xf numFmtId="165" fontId="8" fillId="5" borderId="10" xfId="0" applyNumberFormat="1" applyFont="1" applyFill="1" applyBorder="1" applyAlignment="1">
      <alignment horizontal="center"/>
    </xf>
    <xf numFmtId="165" fontId="8" fillId="5" borderId="11" xfId="0" applyNumberFormat="1" applyFont="1" applyFill="1" applyBorder="1" applyAlignment="1">
      <alignment horizontal="center"/>
    </xf>
    <xf numFmtId="165" fontId="8" fillId="5" borderId="12" xfId="0" applyNumberFormat="1" applyFont="1" applyFill="1" applyBorder="1" applyAlignment="1">
      <alignment horizontal="center"/>
    </xf>
    <xf numFmtId="0" fontId="3" fillId="6" borderId="1" xfId="0" applyFont="1" applyFill="1" applyBorder="1" applyAlignment="1"/>
    <xf numFmtId="0" fontId="3" fillId="6" borderId="2" xfId="0" applyFont="1" applyFill="1" applyBorder="1" applyAlignment="1"/>
    <xf numFmtId="0" fontId="3" fillId="6" borderId="3" xfId="0" applyFont="1" applyFill="1" applyBorder="1" applyAlignment="1"/>
    <xf numFmtId="0" fontId="31" fillId="4" borderId="0" xfId="0" applyFont="1" applyFill="1" applyAlignment="1">
      <alignment horizontal="right"/>
    </xf>
    <xf numFmtId="0" fontId="26" fillId="4" borderId="0" xfId="0" applyFont="1" applyFill="1" applyAlignment="1">
      <alignment horizontal="center"/>
    </xf>
    <xf numFmtId="0" fontId="26" fillId="4" borderId="0" xfId="0" applyFont="1" applyFill="1" applyAlignment="1">
      <alignment horizontal="left"/>
    </xf>
    <xf numFmtId="0" fontId="11" fillId="0" borderId="0" xfId="0" applyFont="1" applyAlignment="1">
      <alignment horizontal="right" vertical="top"/>
    </xf>
    <xf numFmtId="0" fontId="29" fillId="0" borderId="0" xfId="0" applyFont="1" applyAlignment="1">
      <alignment horizontal="left"/>
    </xf>
    <xf numFmtId="0" fontId="15" fillId="0" borderId="0" xfId="0" applyFont="1" applyAlignment="1">
      <alignment horizontal="right" vertical="top"/>
    </xf>
    <xf numFmtId="0" fontId="32" fillId="4" borderId="0" xfId="0" applyFont="1" applyFill="1" applyAlignment="1">
      <alignment horizontal="right"/>
    </xf>
    <xf numFmtId="0" fontId="16" fillId="0" borderId="0" xfId="0" applyFont="1" applyAlignment="1">
      <alignment horizontal="right" vertical="top"/>
    </xf>
    <xf numFmtId="0" fontId="17" fillId="0" borderId="0" xfId="0" applyFont="1" applyAlignment="1">
      <alignment horizontal="right" vertical="top"/>
    </xf>
    <xf numFmtId="0" fontId="12" fillId="4" borderId="0" xfId="0" applyFont="1" applyFill="1" applyAlignment="1">
      <alignment horizontal="right"/>
    </xf>
    <xf numFmtId="0" fontId="0" fillId="3" borderId="0" xfId="0" applyFont="1" applyFill="1"/>
    <xf numFmtId="0" fontId="0" fillId="3" borderId="0" xfId="0" applyFont="1" applyFill="1" applyAlignment="1">
      <alignment horizontal="left" vertical="center"/>
    </xf>
    <xf numFmtId="0" fontId="0" fillId="0" borderId="0" xfId="0" applyFont="1"/>
    <xf numFmtId="0" fontId="0" fillId="0" borderId="0" xfId="0" quotePrefix="1" applyFont="1"/>
    <xf numFmtId="0" fontId="33" fillId="0" borderId="0" xfId="0" applyFont="1"/>
    <xf numFmtId="0" fontId="13" fillId="0" borderId="0" xfId="0" quotePrefix="1" applyFont="1"/>
    <xf numFmtId="0" fontId="29" fillId="0" borderId="0" xfId="0" applyFont="1" applyAlignment="1">
      <alignment horizontal="left" vertical="top" wrapText="1"/>
    </xf>
    <xf numFmtId="0" fontId="0" fillId="7" borderId="0" xfId="0" applyFont="1" applyFill="1"/>
    <xf numFmtId="44" fontId="4" fillId="7" borderId="0" xfId="1" applyFont="1" applyFill="1" applyAlignment="1">
      <alignment horizontal="left"/>
    </xf>
    <xf numFmtId="44" fontId="7" fillId="7" borderId="0" xfId="1" applyFont="1" applyFill="1" applyAlignment="1">
      <alignment horizontal="left"/>
    </xf>
    <xf numFmtId="0" fontId="34" fillId="7" borderId="0" xfId="0" applyFont="1" applyFill="1"/>
    <xf numFmtId="0" fontId="14" fillId="7" borderId="0" xfId="0" applyFont="1" applyFill="1"/>
    <xf numFmtId="0" fontId="36" fillId="7" borderId="0" xfId="0" applyFont="1" applyFill="1"/>
    <xf numFmtId="0" fontId="37" fillId="7" borderId="0" xfId="0" applyFont="1" applyFill="1"/>
    <xf numFmtId="0" fontId="38" fillId="7" borderId="0" xfId="0" applyFont="1" applyFill="1"/>
    <xf numFmtId="44" fontId="10" fillId="6" borderId="0" xfId="1" applyFont="1" applyFill="1"/>
    <xf numFmtId="0" fontId="8" fillId="7" borderId="0" xfId="0" applyFont="1" applyFill="1"/>
    <xf numFmtId="9" fontId="4" fillId="7" borderId="0" xfId="2" applyFont="1" applyFill="1" applyAlignment="1">
      <alignment horizontal="center"/>
    </xf>
    <xf numFmtId="9" fontId="8" fillId="7" borderId="0" xfId="2" applyFont="1" applyFill="1" applyAlignment="1">
      <alignment horizontal="center"/>
    </xf>
    <xf numFmtId="44" fontId="4" fillId="7" borderId="0" xfId="0" applyNumberFormat="1" applyFont="1" applyFill="1" applyAlignment="1">
      <alignment horizontal="center"/>
    </xf>
    <xf numFmtId="0" fontId="0" fillId="6" borderId="0" xfId="0" applyFont="1" applyFill="1"/>
    <xf numFmtId="0" fontId="26" fillId="2" borderId="0" xfId="0" applyFont="1" applyFill="1"/>
    <xf numFmtId="44" fontId="35" fillId="2" borderId="0" xfId="1" applyFont="1" applyFill="1" applyAlignment="1">
      <alignment horizontal="left"/>
    </xf>
    <xf numFmtId="0" fontId="35" fillId="2" borderId="0" xfId="0" applyFont="1" applyFill="1"/>
    <xf numFmtId="9" fontId="35" fillId="2" borderId="0" xfId="2" applyFont="1" applyFill="1" applyAlignment="1">
      <alignment horizontal="left"/>
    </xf>
    <xf numFmtId="0" fontId="36" fillId="4" borderId="0" xfId="0" applyFont="1" applyFill="1"/>
    <xf numFmtId="0" fontId="4" fillId="4" borderId="0" xfId="0" applyFont="1" applyFill="1"/>
    <xf numFmtId="9" fontId="4" fillId="4" borderId="0" xfId="2" applyFont="1" applyFill="1" applyAlignment="1">
      <alignment horizontal="center"/>
    </xf>
    <xf numFmtId="44" fontId="4" fillId="4" borderId="0" xfId="0" applyNumberFormat="1" applyFont="1" applyFill="1" applyAlignment="1">
      <alignment horizontal="center"/>
    </xf>
    <xf numFmtId="0" fontId="8" fillId="4" borderId="0" xfId="0" applyFont="1" applyFill="1"/>
    <xf numFmtId="9" fontId="8" fillId="4" borderId="0" xfId="2" applyFont="1" applyFill="1" applyAlignment="1">
      <alignment horizontal="center"/>
    </xf>
    <xf numFmtId="44" fontId="8" fillId="4" borderId="0" xfId="1" applyFont="1" applyFill="1" applyAlignment="1">
      <alignment horizontal="center"/>
    </xf>
    <xf numFmtId="0" fontId="7" fillId="4" borderId="0" xfId="0" applyFont="1" applyFill="1"/>
    <xf numFmtId="0" fontId="0" fillId="3" borderId="8" xfId="0" applyFont="1" applyFill="1" applyBorder="1" applyAlignment="1">
      <alignment horizontal="center"/>
    </xf>
    <xf numFmtId="0" fontId="0" fillId="0" borderId="0" xfId="0" applyFont="1" applyAlignment="1">
      <alignment horizontal="right"/>
    </xf>
    <xf numFmtId="40" fontId="0" fillId="3" borderId="8" xfId="0" applyNumberFormat="1" applyFont="1" applyFill="1" applyBorder="1" applyAlignment="1">
      <alignment horizontal="center"/>
    </xf>
    <xf numFmtId="44" fontId="0" fillId="5" borderId="8" xfId="1" applyFont="1" applyFill="1" applyBorder="1" applyAlignment="1">
      <alignment horizontal="center"/>
    </xf>
    <xf numFmtId="44" fontId="0" fillId="0" borderId="0" xfId="1" applyFont="1"/>
    <xf numFmtId="0" fontId="0" fillId="0" borderId="0" xfId="0" applyFont="1" applyAlignment="1">
      <alignment horizontal="left"/>
    </xf>
    <xf numFmtId="0" fontId="0" fillId="0" borderId="0" xfId="0" applyFont="1" applyAlignment="1">
      <alignment vertical="top" wrapText="1"/>
    </xf>
    <xf numFmtId="0" fontId="0" fillId="0" borderId="13" xfId="0" applyFont="1" applyBorder="1" applyAlignment="1">
      <alignment horizontal="left" vertical="top"/>
    </xf>
    <xf numFmtId="0" fontId="0" fillId="0" borderId="0" xfId="0" applyFont="1" applyAlignment="1">
      <alignment horizontal="left" vertical="top"/>
    </xf>
    <xf numFmtId="0" fontId="0" fillId="0" borderId="13" xfId="0" applyFont="1" applyBorder="1" applyAlignment="1">
      <alignment wrapText="1"/>
    </xf>
    <xf numFmtId="0" fontId="0" fillId="0" borderId="0" xfId="0" applyFont="1" applyAlignment="1">
      <alignment wrapText="1"/>
    </xf>
    <xf numFmtId="0" fontId="0" fillId="0" borderId="0" xfId="0" applyFont="1" applyAlignment="1">
      <alignment horizontal="center"/>
    </xf>
    <xf numFmtId="40" fontId="8" fillId="5" borderId="0" xfId="0" applyNumberFormat="1" applyFont="1" applyFill="1" applyAlignment="1">
      <alignment horizontal="center"/>
    </xf>
    <xf numFmtId="44" fontId="8" fillId="5" borderId="0" xfId="1" applyFont="1" applyFill="1" applyAlignment="1">
      <alignment horizontal="center"/>
    </xf>
    <xf numFmtId="0" fontId="0" fillId="3" borderId="8" xfId="0" applyFont="1" applyFill="1" applyBorder="1"/>
    <xf numFmtId="165" fontId="0" fillId="3" borderId="8" xfId="0" applyNumberFormat="1" applyFont="1" applyFill="1" applyBorder="1" applyAlignment="1">
      <alignment horizontal="center"/>
    </xf>
    <xf numFmtId="165" fontId="0" fillId="3" borderId="8" xfId="0" applyNumberFormat="1" applyFont="1" applyFill="1" applyBorder="1" applyAlignment="1">
      <alignment horizontal="center" vertical="center"/>
    </xf>
    <xf numFmtId="40" fontId="0" fillId="3" borderId="8" xfId="0" applyNumberFormat="1" applyFont="1" applyFill="1" applyBorder="1" applyAlignment="1">
      <alignment horizontal="center" vertical="center"/>
    </xf>
    <xf numFmtId="0" fontId="0" fillId="0" borderId="13" xfId="0" applyFont="1" applyBorder="1" applyAlignment="1">
      <alignment vertical="top"/>
    </xf>
    <xf numFmtId="0" fontId="0" fillId="0" borderId="0" xfId="0" applyFont="1" applyBorder="1" applyAlignment="1">
      <alignment vertical="top"/>
    </xf>
    <xf numFmtId="0" fontId="0" fillId="0" borderId="13" xfId="0" applyFont="1" applyBorder="1" applyAlignment="1">
      <alignment horizontal="left" wrapText="1"/>
    </xf>
    <xf numFmtId="0" fontId="0" fillId="0" borderId="0" xfId="0" applyFont="1" applyBorder="1" applyAlignment="1">
      <alignment horizontal="left" wrapText="1"/>
    </xf>
    <xf numFmtId="44" fontId="4" fillId="3" borderId="0" xfId="1" applyFont="1" applyFill="1" applyAlignment="1">
      <alignment horizontal="left" vertical="center"/>
    </xf>
    <xf numFmtId="0" fontId="39" fillId="0" borderId="0" xfId="0" applyFont="1"/>
    <xf numFmtId="44" fontId="4" fillId="4" borderId="0" xfId="1" applyFont="1" applyFill="1"/>
    <xf numFmtId="0" fontId="4" fillId="3" borderId="0" xfId="0" applyFont="1" applyFill="1" applyAlignment="1">
      <alignment horizontal="center" vertical="center"/>
    </xf>
    <xf numFmtId="44" fontId="8" fillId="3" borderId="0" xfId="1" applyFont="1" applyFill="1" applyAlignment="1">
      <alignment horizontal="left" vertical="center"/>
    </xf>
    <xf numFmtId="0" fontId="8" fillId="3" borderId="0" xfId="0" applyFont="1" applyFill="1" applyAlignment="1">
      <alignment horizontal="center" vertical="center"/>
    </xf>
    <xf numFmtId="14" fontId="0" fillId="0" borderId="0" xfId="0" applyNumberFormat="1" applyFont="1" applyAlignment="1">
      <alignment horizontal="left"/>
    </xf>
    <xf numFmtId="0" fontId="0" fillId="0" borderId="13" xfId="0" applyFont="1" applyBorder="1" applyAlignment="1">
      <alignment horizontal="left" vertical="top" wrapText="1"/>
    </xf>
    <xf numFmtId="44" fontId="8" fillId="5" borderId="8" xfId="1" applyFont="1" applyFill="1" applyBorder="1" applyAlignment="1">
      <alignment horizontal="center"/>
    </xf>
    <xf numFmtId="0" fontId="0" fillId="7" borderId="0" xfId="0" quotePrefix="1" applyFont="1" applyFill="1"/>
    <xf numFmtId="0" fontId="40" fillId="7" borderId="0" xfId="0" applyFont="1" applyFill="1"/>
    <xf numFmtId="0" fontId="41" fillId="0" borderId="0" xfId="0" applyFont="1"/>
    <xf numFmtId="0" fontId="4" fillId="4" borderId="0" xfId="0" applyFont="1" applyFill="1" applyAlignment="1">
      <alignment horizontal="center"/>
    </xf>
    <xf numFmtId="9" fontId="1" fillId="3" borderId="0" xfId="2" applyFont="1" applyFill="1" applyAlignment="1">
      <alignment horizontal="center" vertical="center"/>
    </xf>
    <xf numFmtId="44" fontId="1" fillId="3" borderId="0" xfId="1" applyFont="1" applyFill="1" applyAlignment="1">
      <alignment horizontal="left" vertical="center"/>
    </xf>
    <xf numFmtId="0" fontId="8" fillId="4" borderId="0" xfId="0" applyFont="1" applyFill="1" applyAlignment="1">
      <alignment horizontal="center"/>
    </xf>
    <xf numFmtId="0" fontId="8" fillId="0" borderId="0" xfId="0" applyFont="1" applyAlignment="1">
      <alignment horizontal="right"/>
    </xf>
    <xf numFmtId="0" fontId="0" fillId="7" borderId="0" xfId="0" applyFont="1" applyFill="1" applyAlignment="1">
      <alignment horizontal="left"/>
    </xf>
    <xf numFmtId="0" fontId="0" fillId="7" borderId="0" xfId="0" applyFont="1" applyFill="1" applyAlignment="1">
      <alignment horizontal="center"/>
    </xf>
    <xf numFmtId="0" fontId="39" fillId="0" borderId="0" xfId="0" applyFont="1" applyAlignment="1">
      <alignment horizontal="center"/>
    </xf>
    <xf numFmtId="9" fontId="1" fillId="3" borderId="0" xfId="2" applyFont="1" applyFill="1" applyAlignment="1">
      <alignment horizontal="left" vertical="center"/>
    </xf>
    <xf numFmtId="0" fontId="0" fillId="0" borderId="0" xfId="0" applyFont="1" applyFill="1" applyAlignment="1">
      <alignment horizontal="left"/>
    </xf>
    <xf numFmtId="0" fontId="0" fillId="0" borderId="0" xfId="0" applyFont="1" applyFill="1"/>
    <xf numFmtId="44" fontId="0" fillId="3" borderId="0" xfId="1" applyFont="1" applyFill="1" applyAlignment="1">
      <alignment horizontal="left" vertical="center"/>
    </xf>
    <xf numFmtId="44" fontId="0" fillId="4" borderId="8" xfId="1" applyFont="1" applyFill="1" applyBorder="1" applyAlignment="1">
      <alignment horizontal="center"/>
    </xf>
    <xf numFmtId="0" fontId="0" fillId="8" borderId="8" xfId="0" applyFont="1" applyFill="1" applyBorder="1" applyAlignment="1">
      <alignment horizontal="center"/>
    </xf>
    <xf numFmtId="40" fontId="0" fillId="8" borderId="8" xfId="0" applyNumberFormat="1" applyFont="1" applyFill="1" applyBorder="1" applyAlignment="1">
      <alignment horizontal="center"/>
    </xf>
    <xf numFmtId="9" fontId="1" fillId="8" borderId="0" xfId="2" applyFont="1" applyFill="1" applyAlignment="1">
      <alignment horizontal="center" vertical="center"/>
    </xf>
    <xf numFmtId="0" fontId="0" fillId="8" borderId="0" xfId="0" applyFont="1" applyFill="1"/>
    <xf numFmtId="0" fontId="0" fillId="9" borderId="0" xfId="0" applyFont="1" applyFill="1"/>
    <xf numFmtId="0" fontId="4" fillId="9" borderId="0" xfId="0" applyFont="1" applyFill="1"/>
    <xf numFmtId="9" fontId="4" fillId="8" borderId="0" xfId="2" applyFont="1" applyFill="1" applyAlignment="1">
      <alignment horizontal="center"/>
    </xf>
    <xf numFmtId="9" fontId="1" fillId="7" borderId="0" xfId="2" applyFont="1" applyFill="1" applyAlignment="1">
      <alignment horizontal="center"/>
    </xf>
    <xf numFmtId="0" fontId="42" fillId="7" borderId="0" xfId="0" applyFont="1" applyFill="1"/>
    <xf numFmtId="0" fontId="8" fillId="0" borderId="0" xfId="0" applyFont="1" applyAlignment="1">
      <alignment horizontal="left" vertical="top" wrapText="1"/>
    </xf>
    <xf numFmtId="0" fontId="4" fillId="0" borderId="0" xfId="0" applyFont="1" applyAlignment="1">
      <alignment horizontal="left"/>
    </xf>
    <xf numFmtId="0" fontId="4" fillId="0" borderId="14" xfId="0" applyFont="1" applyBorder="1" applyAlignment="1">
      <alignment horizontal="left"/>
    </xf>
    <xf numFmtId="0" fontId="4" fillId="0" borderId="0" xfId="0" applyFont="1" applyAlignment="1">
      <alignment horizontal="left" vertical="top"/>
    </xf>
    <xf numFmtId="0" fontId="4" fillId="0" borderId="0" xfId="0" applyFont="1" applyAlignment="1">
      <alignment horizontal="center"/>
    </xf>
    <xf numFmtId="0" fontId="4" fillId="0" borderId="14" xfId="0" applyFont="1" applyBorder="1" applyAlignment="1">
      <alignment horizontal="center"/>
    </xf>
    <xf numFmtId="0" fontId="4" fillId="0" borderId="0" xfId="0" applyFont="1" applyAlignment="1">
      <alignment horizontal="center" vertical="top"/>
    </xf>
    <xf numFmtId="0" fontId="8" fillId="0" borderId="0" xfId="0" applyFont="1" applyAlignment="1">
      <alignment horizontal="center"/>
    </xf>
    <xf numFmtId="0" fontId="0" fillId="0" borderId="0" xfId="0" applyFont="1" applyAlignment="1">
      <alignment horizontal="left"/>
    </xf>
    <xf numFmtId="0" fontId="0" fillId="0" borderId="0" xfId="0" applyFont="1" applyAlignment="1">
      <alignment horizontal="left" vertical="top"/>
    </xf>
    <xf numFmtId="0" fontId="24" fillId="0" borderId="0" xfId="0" applyFont="1" applyAlignment="1">
      <alignment vertical="top"/>
    </xf>
    <xf numFmtId="0" fontId="25" fillId="0" borderId="0" xfId="0" applyFont="1"/>
    <xf numFmtId="44" fontId="10" fillId="3" borderId="0" xfId="1" applyFont="1" applyFill="1" applyAlignment="1">
      <alignment horizontal="left" vertical="center"/>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95250</xdr:rowOff>
    </xdr:from>
    <xdr:to>
      <xdr:col>7</xdr:col>
      <xdr:colOff>977476</xdr:colOff>
      <xdr:row>3</xdr:row>
      <xdr:rowOff>326899</xdr:rowOff>
    </xdr:to>
    <xdr:pic>
      <xdr:nvPicPr>
        <xdr:cNvPr id="5" name="Picture 4">
          <a:extLst>
            <a:ext uri="{FF2B5EF4-FFF2-40B4-BE49-F238E27FC236}">
              <a16:creationId xmlns:a16="http://schemas.microsoft.com/office/drawing/2014/main" id="{2E96FB88-BF05-42A4-AA80-7DBFBA8745B8}"/>
            </a:ext>
          </a:extLst>
        </xdr:cNvPr>
        <xdr:cNvPicPr>
          <a:picLocks noChangeAspect="1"/>
        </xdr:cNvPicPr>
      </xdr:nvPicPr>
      <xdr:blipFill>
        <a:blip xmlns:r="http://schemas.openxmlformats.org/officeDocument/2006/relationships" r:embed="rId1"/>
        <a:stretch>
          <a:fillRect/>
        </a:stretch>
      </xdr:blipFill>
      <xdr:spPr>
        <a:xfrm>
          <a:off x="8731250" y="95250"/>
          <a:ext cx="3390476" cy="10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95250</xdr:rowOff>
    </xdr:from>
    <xdr:to>
      <xdr:col>7</xdr:col>
      <xdr:colOff>977476</xdr:colOff>
      <xdr:row>3</xdr:row>
      <xdr:rowOff>326899</xdr:rowOff>
    </xdr:to>
    <xdr:pic>
      <xdr:nvPicPr>
        <xdr:cNvPr id="2" name="Picture 1">
          <a:extLst>
            <a:ext uri="{FF2B5EF4-FFF2-40B4-BE49-F238E27FC236}">
              <a16:creationId xmlns:a16="http://schemas.microsoft.com/office/drawing/2014/main" id="{A27A351D-B9DB-461F-8DE6-1C8F6FD5D5B6}"/>
            </a:ext>
          </a:extLst>
        </xdr:cNvPr>
        <xdr:cNvPicPr>
          <a:picLocks noChangeAspect="1"/>
        </xdr:cNvPicPr>
      </xdr:nvPicPr>
      <xdr:blipFill>
        <a:blip xmlns:r="http://schemas.openxmlformats.org/officeDocument/2006/relationships" r:embed="rId1"/>
        <a:stretch>
          <a:fillRect/>
        </a:stretch>
      </xdr:blipFill>
      <xdr:spPr>
        <a:xfrm>
          <a:off x="8734425" y="95250"/>
          <a:ext cx="3396826" cy="10063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8"/>
  <sheetViews>
    <sheetView showGridLines="0" topLeftCell="A37" zoomScale="70" zoomScaleNormal="70" workbookViewId="0">
      <selection activeCell="F71" sqref="F71"/>
    </sheetView>
  </sheetViews>
  <sheetFormatPr defaultColWidth="8.85546875" defaultRowHeight="15" x14ac:dyDescent="0.25"/>
  <cols>
    <col min="1" max="1" width="32.42578125" style="3" customWidth="1"/>
    <col min="2" max="2" width="14.28515625" style="3" customWidth="1"/>
    <col min="3" max="3" width="10" style="3" customWidth="1"/>
    <col min="4" max="5" width="13.7109375" style="3" customWidth="1"/>
    <col min="6" max="6" width="16.5703125" style="3" customWidth="1"/>
    <col min="7" max="7" width="17.85546875" style="3" customWidth="1"/>
    <col min="8" max="8" width="15.28515625" style="3" customWidth="1"/>
    <col min="9" max="9" width="14.140625" style="3" customWidth="1"/>
    <col min="10" max="10" width="25.7109375" style="3" customWidth="1"/>
    <col min="11" max="11" width="14.5703125" style="3" customWidth="1"/>
    <col min="12" max="12" width="17.140625" style="20" customWidth="1"/>
    <col min="13" max="13" width="16.140625" style="20" customWidth="1"/>
    <col min="14" max="14" width="20.140625" style="20" customWidth="1"/>
    <col min="15" max="15" width="22.140625" style="20" customWidth="1"/>
    <col min="16" max="16" width="15" style="20" customWidth="1"/>
    <col min="17" max="17" width="16.85546875" style="20" customWidth="1"/>
    <col min="18" max="18" width="14.140625" style="3" customWidth="1"/>
    <col min="19" max="19" width="11.5703125" style="3" customWidth="1"/>
    <col min="20" max="20" width="17.140625" style="3" customWidth="1"/>
    <col min="21" max="21" width="14.5703125" style="3" customWidth="1"/>
    <col min="22" max="22" width="13.85546875" style="3" bestFit="1" customWidth="1"/>
    <col min="23" max="23" width="14.140625" style="3" bestFit="1" customWidth="1"/>
    <col min="24" max="24" width="13.5703125" style="3" customWidth="1"/>
    <col min="25" max="25" width="10.7109375" style="3" customWidth="1"/>
    <col min="26" max="16384" width="8.85546875" style="3"/>
  </cols>
  <sheetData>
    <row r="1" spans="1:19" ht="31.5" x14ac:dyDescent="0.5">
      <c r="A1" s="1" t="s">
        <v>69</v>
      </c>
      <c r="B1" s="1"/>
      <c r="C1" s="2"/>
      <c r="D1" s="1"/>
      <c r="E1" s="4"/>
      <c r="F1" s="5"/>
      <c r="G1" s="5"/>
      <c r="H1" s="6"/>
      <c r="I1" s="6"/>
      <c r="K1" s="6"/>
      <c r="L1" s="182" t="s">
        <v>67</v>
      </c>
      <c r="O1" s="7"/>
      <c r="P1" s="7"/>
      <c r="Q1" s="126" t="s">
        <v>111</v>
      </c>
      <c r="R1" s="7"/>
      <c r="S1" s="7"/>
    </row>
    <row r="2" spans="1:19" x14ac:dyDescent="0.25">
      <c r="A2" s="155" t="s">
        <v>129</v>
      </c>
      <c r="B2" s="155" t="s">
        <v>128</v>
      </c>
      <c r="H2" s="6"/>
      <c r="I2" s="6"/>
      <c r="K2" s="6"/>
      <c r="L2" s="101" t="s">
        <v>85</v>
      </c>
      <c r="M2" s="101" t="s">
        <v>86</v>
      </c>
      <c r="O2" s="7"/>
      <c r="P2" s="7"/>
      <c r="Q2" s="7"/>
      <c r="R2" s="7"/>
      <c r="S2" s="7"/>
    </row>
    <row r="3" spans="1:19" ht="23.25" customHeight="1" x14ac:dyDescent="0.35">
      <c r="L3" s="107" t="s">
        <v>84</v>
      </c>
      <c r="M3" s="108" t="s">
        <v>83</v>
      </c>
      <c r="N3" s="7"/>
      <c r="O3" s="7"/>
      <c r="P3" s="7"/>
      <c r="Q3" s="7"/>
      <c r="R3" s="7"/>
      <c r="S3" s="7"/>
    </row>
    <row r="4" spans="1:19" ht="28.5" x14ac:dyDescent="0.45">
      <c r="A4" s="9" t="s">
        <v>2</v>
      </c>
      <c r="F4" s="10"/>
      <c r="H4" s="6"/>
      <c r="I4" s="11"/>
      <c r="L4" s="119">
        <f>COUNTIF(B10:B16,"Yes")</f>
        <v>3</v>
      </c>
      <c r="M4" s="106" t="s">
        <v>106</v>
      </c>
      <c r="N4" s="7"/>
      <c r="O4" s="7"/>
      <c r="P4" s="7"/>
      <c r="Q4" s="7"/>
      <c r="R4" s="7"/>
      <c r="S4" s="7"/>
    </row>
    <row r="5" spans="1:19" ht="18.75" x14ac:dyDescent="0.3">
      <c r="A5" s="12" t="s">
        <v>4</v>
      </c>
      <c r="B5" s="13"/>
      <c r="C5" s="12" t="s">
        <v>5</v>
      </c>
      <c r="D5" s="14"/>
      <c r="E5" s="15"/>
      <c r="F5" s="12" t="s">
        <v>68</v>
      </c>
      <c r="H5" s="6"/>
      <c r="I5" s="6"/>
      <c r="R5" s="7"/>
      <c r="S5" s="7"/>
    </row>
    <row r="6" spans="1:19" x14ac:dyDescent="0.25">
      <c r="A6" s="94" t="s">
        <v>70</v>
      </c>
      <c r="C6" s="94" t="s">
        <v>19</v>
      </c>
      <c r="D6" s="15"/>
      <c r="E6" s="15"/>
      <c r="F6" s="3" t="s">
        <v>6</v>
      </c>
      <c r="H6" s="6"/>
      <c r="I6" s="17"/>
      <c r="O6" s="7"/>
      <c r="P6" s="7"/>
      <c r="Q6" s="7"/>
      <c r="R6" s="7"/>
      <c r="S6" s="7"/>
    </row>
    <row r="7" spans="1:19" ht="15.75" x14ac:dyDescent="0.25">
      <c r="A7" s="15"/>
      <c r="D7" s="15"/>
      <c r="E7" s="15"/>
      <c r="F7" s="94" t="s">
        <v>19</v>
      </c>
      <c r="G7" s="16"/>
      <c r="H7" s="6"/>
      <c r="I7" s="6"/>
      <c r="J7" s="6"/>
      <c r="K7" s="6"/>
      <c r="L7" s="104" t="s">
        <v>102</v>
      </c>
      <c r="M7" s="7"/>
      <c r="N7" s="7"/>
      <c r="O7" s="7"/>
      <c r="P7" s="7"/>
      <c r="Q7" s="7"/>
      <c r="R7" s="7"/>
      <c r="S7" s="7"/>
    </row>
    <row r="8" spans="1:19" ht="28.5" x14ac:dyDescent="0.45">
      <c r="A8" s="9" t="s">
        <v>7</v>
      </c>
      <c r="H8" s="6"/>
      <c r="I8" s="6"/>
      <c r="J8" s="6"/>
      <c r="K8" s="19"/>
      <c r="L8" s="37" t="s">
        <v>71</v>
      </c>
      <c r="M8" s="105" t="s">
        <v>72</v>
      </c>
      <c r="N8" s="105" t="s">
        <v>73</v>
      </c>
      <c r="O8" s="37" t="s">
        <v>75</v>
      </c>
      <c r="P8" s="37" t="s">
        <v>82</v>
      </c>
      <c r="R8" s="7"/>
      <c r="S8" s="7"/>
    </row>
    <row r="9" spans="1:19" ht="18.75" x14ac:dyDescent="0.3">
      <c r="A9" s="12" t="s">
        <v>8</v>
      </c>
      <c r="B9" s="18" t="s">
        <v>9</v>
      </c>
      <c r="C9" s="18" t="s">
        <v>10</v>
      </c>
      <c r="H9" s="6"/>
      <c r="I9" s="6"/>
      <c r="J9" s="6"/>
      <c r="K9" s="25"/>
      <c r="L9" s="101" t="s">
        <v>74</v>
      </c>
      <c r="M9" s="102">
        <v>40</v>
      </c>
      <c r="N9" s="101" t="s">
        <v>74</v>
      </c>
      <c r="O9" s="101" t="s">
        <v>74</v>
      </c>
      <c r="P9" s="102">
        <v>16</v>
      </c>
      <c r="R9" s="7"/>
      <c r="S9" s="7"/>
    </row>
    <row r="10" spans="1:19" x14ac:dyDescent="0.25">
      <c r="A10" s="21" t="s">
        <v>47</v>
      </c>
      <c r="B10" s="22" t="s">
        <v>11</v>
      </c>
      <c r="C10" s="16" t="s">
        <v>19</v>
      </c>
      <c r="D10" s="23"/>
      <c r="E10" s="23"/>
      <c r="F10" s="23"/>
      <c r="G10" s="23"/>
      <c r="H10" s="24"/>
      <c r="I10" s="6"/>
      <c r="J10" s="6"/>
      <c r="K10" s="19"/>
      <c r="L10" s="7" t="s">
        <v>0</v>
      </c>
      <c r="M10" s="103">
        <v>45</v>
      </c>
      <c r="N10" s="101" t="s">
        <v>76</v>
      </c>
      <c r="O10" s="101" t="s">
        <v>76</v>
      </c>
      <c r="P10" s="103">
        <v>18</v>
      </c>
      <c r="R10" s="7"/>
      <c r="S10" s="7"/>
    </row>
    <row r="11" spans="1:19" x14ac:dyDescent="0.25">
      <c r="A11" s="26" t="s">
        <v>46</v>
      </c>
      <c r="B11" s="22" t="s">
        <v>11</v>
      </c>
      <c r="C11" s="16" t="s">
        <v>19</v>
      </c>
      <c r="D11" s="23"/>
      <c r="E11" s="23"/>
      <c r="F11" s="23"/>
      <c r="G11" s="23"/>
      <c r="H11" s="23"/>
      <c r="I11" s="6"/>
      <c r="J11" s="6"/>
      <c r="K11" s="17"/>
      <c r="L11" s="7" t="s">
        <v>51</v>
      </c>
      <c r="M11" s="103">
        <v>65</v>
      </c>
      <c r="N11" s="101" t="s">
        <v>77</v>
      </c>
      <c r="O11" s="101" t="s">
        <v>77</v>
      </c>
      <c r="P11" s="103">
        <v>20</v>
      </c>
      <c r="R11" s="7"/>
      <c r="S11" s="7"/>
    </row>
    <row r="12" spans="1:19" x14ac:dyDescent="0.25">
      <c r="A12" s="28" t="s">
        <v>12</v>
      </c>
      <c r="B12" s="22" t="s">
        <v>15</v>
      </c>
      <c r="C12" s="16" t="s">
        <v>18</v>
      </c>
      <c r="D12" s="23"/>
      <c r="E12" s="23"/>
      <c r="F12" s="23"/>
      <c r="G12" s="23"/>
      <c r="H12" s="23"/>
      <c r="I12" s="6"/>
      <c r="J12" s="6"/>
      <c r="K12" s="6"/>
      <c r="L12" s="7" t="s">
        <v>90</v>
      </c>
      <c r="M12" s="103">
        <v>70</v>
      </c>
      <c r="N12" s="101" t="s">
        <v>91</v>
      </c>
      <c r="O12" s="101" t="s">
        <v>91</v>
      </c>
      <c r="P12" s="103">
        <v>0</v>
      </c>
      <c r="Q12" s="101" t="s">
        <v>103</v>
      </c>
      <c r="R12" s="7"/>
      <c r="S12" s="7"/>
    </row>
    <row r="13" spans="1:19" x14ac:dyDescent="0.25">
      <c r="A13" s="29" t="s">
        <v>13</v>
      </c>
      <c r="B13" s="22" t="s">
        <v>11</v>
      </c>
      <c r="C13" s="16" t="s">
        <v>19</v>
      </c>
      <c r="D13" s="23"/>
      <c r="E13" s="23"/>
      <c r="F13" s="23"/>
      <c r="G13" s="23"/>
      <c r="H13" s="23"/>
      <c r="I13" s="6"/>
      <c r="J13" s="6"/>
      <c r="K13" s="6"/>
      <c r="L13" s="7" t="s">
        <v>1</v>
      </c>
      <c r="M13" s="103">
        <v>121</v>
      </c>
      <c r="N13" s="101" t="s">
        <v>78</v>
      </c>
      <c r="O13" s="101" t="s">
        <v>78</v>
      </c>
      <c r="P13" s="103">
        <v>25</v>
      </c>
      <c r="R13" s="7"/>
      <c r="S13" s="7"/>
    </row>
    <row r="14" spans="1:19" x14ac:dyDescent="0.25">
      <c r="A14" s="30" t="s">
        <v>14</v>
      </c>
      <c r="B14" s="95" t="s">
        <v>15</v>
      </c>
      <c r="C14" s="16" t="s">
        <v>18</v>
      </c>
      <c r="D14" s="31"/>
      <c r="E14" s="31"/>
      <c r="F14" s="31"/>
      <c r="G14" s="31"/>
      <c r="H14" s="31"/>
      <c r="I14" s="6"/>
      <c r="J14" s="6"/>
      <c r="K14" s="6"/>
      <c r="L14" s="7" t="s">
        <v>3</v>
      </c>
      <c r="M14" s="103">
        <v>135</v>
      </c>
      <c r="N14" s="101" t="s">
        <v>79</v>
      </c>
      <c r="O14" s="101" t="s">
        <v>79</v>
      </c>
      <c r="P14" s="103">
        <v>30</v>
      </c>
      <c r="R14" s="7"/>
      <c r="S14" s="7"/>
    </row>
    <row r="15" spans="1:19" x14ac:dyDescent="0.25">
      <c r="A15" s="32" t="s">
        <v>16</v>
      </c>
      <c r="B15" s="95" t="s">
        <v>15</v>
      </c>
      <c r="C15" s="16" t="s">
        <v>18</v>
      </c>
      <c r="D15" s="31"/>
      <c r="E15" s="31"/>
      <c r="F15" s="31"/>
      <c r="G15" s="31"/>
      <c r="H15" s="31"/>
      <c r="I15" s="6"/>
      <c r="J15" s="6"/>
      <c r="K15" s="6"/>
      <c r="L15" s="101" t="s">
        <v>81</v>
      </c>
      <c r="M15" s="103">
        <v>150</v>
      </c>
      <c r="N15" s="101" t="s">
        <v>80</v>
      </c>
      <c r="O15" s="101" t="s">
        <v>80</v>
      </c>
      <c r="P15" s="103">
        <v>0</v>
      </c>
      <c r="Q15" s="101" t="s">
        <v>103</v>
      </c>
      <c r="R15" s="7"/>
      <c r="S15" s="7"/>
    </row>
    <row r="16" spans="1:19" x14ac:dyDescent="0.25">
      <c r="A16" s="33" t="s">
        <v>17</v>
      </c>
      <c r="B16" s="22" t="s">
        <v>15</v>
      </c>
      <c r="C16" s="16" t="s">
        <v>18</v>
      </c>
      <c r="D16" s="31"/>
      <c r="E16" s="31"/>
      <c r="F16" s="31"/>
      <c r="G16" s="31"/>
      <c r="H16" s="31"/>
      <c r="I16" s="6"/>
      <c r="J16" s="6"/>
      <c r="K16" s="6"/>
      <c r="R16" s="7"/>
      <c r="S16" s="7"/>
    </row>
    <row r="17" spans="1:21" x14ac:dyDescent="0.25">
      <c r="A17" s="34" t="s">
        <v>19</v>
      </c>
      <c r="B17" s="22"/>
      <c r="C17" s="16"/>
      <c r="D17" s="31"/>
      <c r="E17" s="31"/>
      <c r="F17" s="31"/>
      <c r="G17" s="31"/>
      <c r="H17" s="31"/>
      <c r="I17" s="6"/>
      <c r="R17" s="7"/>
      <c r="S17" s="7"/>
    </row>
    <row r="18" spans="1:21" ht="15.75" x14ac:dyDescent="0.25">
      <c r="D18" s="35"/>
      <c r="L18" s="104" t="s">
        <v>105</v>
      </c>
      <c r="R18" s="7"/>
      <c r="S18" s="7"/>
    </row>
    <row r="19" spans="1:21" ht="27" thickBot="1" x14ac:dyDescent="0.45">
      <c r="A19" s="36" t="s">
        <v>20</v>
      </c>
      <c r="L19" s="37" t="s">
        <v>71</v>
      </c>
      <c r="M19" s="37" t="s">
        <v>94</v>
      </c>
      <c r="N19" s="37" t="s">
        <v>95</v>
      </c>
      <c r="O19" s="37" t="s">
        <v>96</v>
      </c>
      <c r="P19" s="37" t="s">
        <v>97</v>
      </c>
      <c r="Q19" s="37" t="s">
        <v>98</v>
      </c>
      <c r="R19" s="115" t="s">
        <v>104</v>
      </c>
      <c r="S19" s="37" t="s">
        <v>201</v>
      </c>
    </row>
    <row r="20" spans="1:21" ht="19.5" thickBot="1" x14ac:dyDescent="0.35">
      <c r="A20" s="38" t="s">
        <v>21</v>
      </c>
      <c r="B20" s="39" t="s">
        <v>22</v>
      </c>
      <c r="C20" s="40" t="s">
        <v>23</v>
      </c>
      <c r="D20" s="40" t="s">
        <v>24</v>
      </c>
      <c r="E20" s="40" t="s">
        <v>25</v>
      </c>
      <c r="F20" s="40" t="s">
        <v>26</v>
      </c>
      <c r="G20" s="40" t="s">
        <v>27</v>
      </c>
      <c r="H20" s="41" t="s">
        <v>28</v>
      </c>
      <c r="L20" s="101" t="s">
        <v>74</v>
      </c>
      <c r="M20" s="120">
        <f t="shared" ref="M20:M26" si="0">(SUMIF($B$47:$B$76,L20,$C$47:$C$76)*12)+(SUMIF($B$47:$B$76,L20,$D$47:$D$76)*4)+SUMIF($B$47:$B$76,L20,$E$47:$E$76)</f>
        <v>0</v>
      </c>
      <c r="N20" s="121">
        <f t="shared" ref="N20:N26" si="1">+M20/$M$27</f>
        <v>0</v>
      </c>
      <c r="O20" s="122">
        <f t="shared" ref="O20:O26" si="2">+M20*M9</f>
        <v>0</v>
      </c>
      <c r="P20" s="121">
        <f t="shared" ref="P20:P26" si="3">+O20/$O$27</f>
        <v>0</v>
      </c>
      <c r="Q20" s="122">
        <f>(+$H$34*12)*P20</f>
        <v>0</v>
      </c>
      <c r="R20" s="116">
        <f t="shared" ref="R20:R26" si="4">IF(M20&gt;0,+Q20/M20,0)</f>
        <v>0</v>
      </c>
      <c r="S20" s="7" t="s">
        <v>74</v>
      </c>
    </row>
    <row r="21" spans="1:21" ht="18.75" x14ac:dyDescent="0.3">
      <c r="A21" s="21" t="s">
        <v>47</v>
      </c>
      <c r="B21" s="42">
        <f t="shared" ref="B21:B28" si="5">SUMIF($A$47:$A$55,A21,$F$47:$F$55)</f>
        <v>446</v>
      </c>
      <c r="C21" s="43">
        <f t="shared" ref="C21:C28" si="6">SUMIF($A$57:$A$64,A21,$F$57:$F$64)</f>
        <v>121</v>
      </c>
      <c r="D21" s="43">
        <f t="shared" ref="D21:D28" si="7">SUMIF($A$66:$A$76,A21,$F$66:$F$76)</f>
        <v>242</v>
      </c>
      <c r="E21" s="43">
        <f>+B21*12</f>
        <v>5352</v>
      </c>
      <c r="F21" s="43">
        <f>+C21*4</f>
        <v>484</v>
      </c>
      <c r="G21" s="43">
        <f t="shared" ref="G21:G27" si="8">+D21*1</f>
        <v>242</v>
      </c>
      <c r="H21" s="44">
        <f t="shared" ref="H21:H27" si="9">SUM(E21:G21)</f>
        <v>6078</v>
      </c>
      <c r="L21" s="7" t="s">
        <v>0</v>
      </c>
      <c r="M21" s="120">
        <f t="shared" si="0"/>
        <v>0</v>
      </c>
      <c r="N21" s="121">
        <f t="shared" si="1"/>
        <v>0</v>
      </c>
      <c r="O21" s="122">
        <f t="shared" si="2"/>
        <v>0</v>
      </c>
      <c r="P21" s="121">
        <f t="shared" si="3"/>
        <v>0</v>
      </c>
      <c r="Q21" s="122">
        <f t="shared" ref="Q21:Q26" si="10">(+$H$34*12)*P21</f>
        <v>0</v>
      </c>
      <c r="R21" s="116">
        <f t="shared" si="4"/>
        <v>0</v>
      </c>
      <c r="S21" s="7" t="s">
        <v>90</v>
      </c>
    </row>
    <row r="22" spans="1:21" ht="18.75" x14ac:dyDescent="0.3">
      <c r="A22" s="26" t="s">
        <v>46</v>
      </c>
      <c r="B22" s="45">
        <f t="shared" si="5"/>
        <v>0</v>
      </c>
      <c r="C22" s="46">
        <f t="shared" si="6"/>
        <v>65</v>
      </c>
      <c r="D22" s="46">
        <f t="shared" si="7"/>
        <v>0</v>
      </c>
      <c r="E22" s="43">
        <f t="shared" ref="E22:E27" si="11">+B22*12</f>
        <v>0</v>
      </c>
      <c r="F22" s="43">
        <f t="shared" ref="F22:F27" si="12">+C22*4</f>
        <v>260</v>
      </c>
      <c r="G22" s="43">
        <f t="shared" si="8"/>
        <v>0</v>
      </c>
      <c r="H22" s="47">
        <f t="shared" si="9"/>
        <v>260</v>
      </c>
      <c r="L22" s="7" t="s">
        <v>51</v>
      </c>
      <c r="M22" s="120">
        <f t="shared" si="0"/>
        <v>89</v>
      </c>
      <c r="N22" s="121">
        <f t="shared" si="1"/>
        <v>0.73251028806584362</v>
      </c>
      <c r="O22" s="122">
        <f t="shared" si="2"/>
        <v>5785</v>
      </c>
      <c r="P22" s="121">
        <f t="shared" si="3"/>
        <v>0.59021578329847468</v>
      </c>
      <c r="Q22" s="122">
        <f t="shared" si="10"/>
        <v>5134.8773146967296</v>
      </c>
      <c r="R22" s="116">
        <f t="shared" si="4"/>
        <v>57.695250726929544</v>
      </c>
      <c r="S22" s="7" t="s">
        <v>90</v>
      </c>
    </row>
    <row r="23" spans="1:21" ht="18.75" x14ac:dyDescent="0.3">
      <c r="A23" s="28" t="s">
        <v>12</v>
      </c>
      <c r="B23" s="45">
        <f t="shared" si="5"/>
        <v>65</v>
      </c>
      <c r="C23" s="46">
        <f t="shared" si="6"/>
        <v>130</v>
      </c>
      <c r="D23" s="46">
        <f t="shared" si="7"/>
        <v>325</v>
      </c>
      <c r="E23" s="43">
        <f t="shared" si="11"/>
        <v>780</v>
      </c>
      <c r="F23" s="43">
        <f t="shared" si="12"/>
        <v>520</v>
      </c>
      <c r="G23" s="43">
        <f t="shared" si="8"/>
        <v>325</v>
      </c>
      <c r="H23" s="47">
        <f t="shared" si="9"/>
        <v>1625</v>
      </c>
      <c r="L23" s="7" t="s">
        <v>90</v>
      </c>
      <c r="M23" s="120">
        <f t="shared" si="0"/>
        <v>0</v>
      </c>
      <c r="N23" s="121">
        <f t="shared" si="1"/>
        <v>0</v>
      </c>
      <c r="O23" s="122">
        <f t="shared" si="2"/>
        <v>0</v>
      </c>
      <c r="P23" s="121">
        <f t="shared" si="3"/>
        <v>0</v>
      </c>
      <c r="Q23" s="122">
        <f t="shared" si="10"/>
        <v>0</v>
      </c>
      <c r="R23" s="116">
        <f t="shared" si="4"/>
        <v>0</v>
      </c>
      <c r="S23" s="7" t="s">
        <v>90</v>
      </c>
    </row>
    <row r="24" spans="1:21" ht="18.75" x14ac:dyDescent="0.3">
      <c r="A24" s="29" t="s">
        <v>13</v>
      </c>
      <c r="B24" s="45">
        <f t="shared" si="5"/>
        <v>0</v>
      </c>
      <c r="C24" s="46">
        <f t="shared" si="6"/>
        <v>121</v>
      </c>
      <c r="D24" s="46">
        <f t="shared" si="7"/>
        <v>1354.5</v>
      </c>
      <c r="E24" s="43">
        <f t="shared" si="11"/>
        <v>0</v>
      </c>
      <c r="F24" s="43">
        <f t="shared" si="12"/>
        <v>484</v>
      </c>
      <c r="G24" s="43">
        <f t="shared" si="8"/>
        <v>1354.5</v>
      </c>
      <c r="H24" s="47">
        <f t="shared" si="9"/>
        <v>1838.5</v>
      </c>
      <c r="L24" s="7" t="s">
        <v>1</v>
      </c>
      <c r="M24" s="120">
        <f t="shared" si="0"/>
        <v>26.5</v>
      </c>
      <c r="N24" s="121">
        <f t="shared" si="1"/>
        <v>0.21810699588477367</v>
      </c>
      <c r="O24" s="122">
        <f t="shared" si="2"/>
        <v>3206.5</v>
      </c>
      <c r="P24" s="121">
        <f t="shared" si="3"/>
        <v>0.32714380451971636</v>
      </c>
      <c r="Q24" s="122">
        <f t="shared" si="10"/>
        <v>2846.1510993215325</v>
      </c>
      <c r="R24" s="116">
        <f t="shared" si="4"/>
        <v>107.40192827628424</v>
      </c>
      <c r="S24" s="7" t="s">
        <v>202</v>
      </c>
    </row>
    <row r="25" spans="1:21" ht="18.75" x14ac:dyDescent="0.3">
      <c r="A25" s="30" t="s">
        <v>14</v>
      </c>
      <c r="B25" s="45">
        <f t="shared" si="5"/>
        <v>0</v>
      </c>
      <c r="C25" s="46">
        <f t="shared" si="6"/>
        <v>0</v>
      </c>
      <c r="D25" s="46">
        <f t="shared" si="7"/>
        <v>0</v>
      </c>
      <c r="E25" s="43">
        <f t="shared" si="11"/>
        <v>0</v>
      </c>
      <c r="F25" s="43">
        <f t="shared" si="12"/>
        <v>0</v>
      </c>
      <c r="G25" s="43">
        <f t="shared" si="8"/>
        <v>0</v>
      </c>
      <c r="H25" s="47">
        <f t="shared" si="9"/>
        <v>0</v>
      </c>
      <c r="L25" s="7" t="s">
        <v>3</v>
      </c>
      <c r="M25" s="120">
        <f t="shared" si="0"/>
        <v>6</v>
      </c>
      <c r="N25" s="121">
        <f t="shared" si="1"/>
        <v>4.9382716049382713E-2</v>
      </c>
      <c r="O25" s="122">
        <f t="shared" si="2"/>
        <v>810</v>
      </c>
      <c r="P25" s="121">
        <f t="shared" si="3"/>
        <v>8.2640412181808912E-2</v>
      </c>
      <c r="Q25" s="122">
        <f t="shared" si="10"/>
        <v>718.97158598173758</v>
      </c>
      <c r="R25" s="116">
        <f t="shared" si="4"/>
        <v>119.82859766362293</v>
      </c>
      <c r="S25" s="7" t="s">
        <v>202</v>
      </c>
    </row>
    <row r="26" spans="1:21" ht="18.75" x14ac:dyDescent="0.3">
      <c r="A26" s="32" t="s">
        <v>16</v>
      </c>
      <c r="B26" s="45">
        <f t="shared" si="5"/>
        <v>0</v>
      </c>
      <c r="C26" s="46">
        <f t="shared" si="6"/>
        <v>0</v>
      </c>
      <c r="D26" s="46">
        <f t="shared" si="7"/>
        <v>0</v>
      </c>
      <c r="E26" s="43">
        <f t="shared" si="11"/>
        <v>0</v>
      </c>
      <c r="F26" s="43">
        <f t="shared" si="12"/>
        <v>0</v>
      </c>
      <c r="G26" s="43">
        <f t="shared" si="8"/>
        <v>0</v>
      </c>
      <c r="H26" s="47">
        <f t="shared" si="9"/>
        <v>0</v>
      </c>
      <c r="L26" s="101" t="s">
        <v>81</v>
      </c>
      <c r="M26" s="120">
        <f t="shared" si="0"/>
        <v>0</v>
      </c>
      <c r="N26" s="121">
        <f t="shared" si="1"/>
        <v>0</v>
      </c>
      <c r="O26" s="122">
        <f t="shared" si="2"/>
        <v>0</v>
      </c>
      <c r="P26" s="121">
        <f t="shared" si="3"/>
        <v>0</v>
      </c>
      <c r="Q26" s="122">
        <f t="shared" si="10"/>
        <v>0</v>
      </c>
      <c r="R26" s="116">
        <f t="shared" si="4"/>
        <v>0</v>
      </c>
      <c r="S26" s="7" t="s">
        <v>202</v>
      </c>
    </row>
    <row r="27" spans="1:21" ht="18.75" x14ac:dyDescent="0.3">
      <c r="A27" s="33" t="s">
        <v>17</v>
      </c>
      <c r="B27" s="45">
        <f t="shared" si="5"/>
        <v>0</v>
      </c>
      <c r="C27" s="46">
        <f t="shared" si="6"/>
        <v>0</v>
      </c>
      <c r="D27" s="46">
        <f t="shared" si="7"/>
        <v>0</v>
      </c>
      <c r="E27" s="43">
        <f t="shared" si="11"/>
        <v>0</v>
      </c>
      <c r="F27" s="43">
        <f t="shared" si="12"/>
        <v>0</v>
      </c>
      <c r="G27" s="46">
        <f t="shared" si="8"/>
        <v>0</v>
      </c>
      <c r="H27" s="47">
        <f t="shared" si="9"/>
        <v>0</v>
      </c>
      <c r="L27" s="110" t="s">
        <v>93</v>
      </c>
      <c r="M27" s="123">
        <f>SUM(M20:M26)</f>
        <v>121.5</v>
      </c>
      <c r="N27" s="124">
        <f>SUM(N20:N26)</f>
        <v>1</v>
      </c>
      <c r="O27" s="125">
        <f>SUM(O20:O26)</f>
        <v>9801.5</v>
      </c>
      <c r="P27" s="124">
        <f>SUM(P20:P26)</f>
        <v>1</v>
      </c>
      <c r="Q27" s="125">
        <f>SUM(Q20:Q26)</f>
        <v>8700</v>
      </c>
      <c r="R27" s="117"/>
      <c r="S27" s="7"/>
    </row>
    <row r="28" spans="1:21" x14ac:dyDescent="0.25">
      <c r="A28" s="48" t="s">
        <v>49</v>
      </c>
      <c r="B28" s="49">
        <f t="shared" si="5"/>
        <v>0</v>
      </c>
      <c r="C28" s="50">
        <f t="shared" si="6"/>
        <v>0</v>
      </c>
      <c r="D28" s="50">
        <f t="shared" si="7"/>
        <v>0</v>
      </c>
      <c r="E28" s="50">
        <f>+B28*N27</f>
        <v>0</v>
      </c>
      <c r="F28" s="50">
        <f>+C28*O27</f>
        <v>0</v>
      </c>
      <c r="G28" s="50">
        <f>10*150</f>
        <v>1500</v>
      </c>
      <c r="H28" s="51">
        <f t="shared" ref="H28" si="13">SUM(E28:G28)</f>
        <v>1500</v>
      </c>
      <c r="I28" s="98" t="s">
        <v>55</v>
      </c>
      <c r="R28" s="7"/>
      <c r="S28" s="7"/>
    </row>
    <row r="29" spans="1:21" ht="15.75" thickBot="1" x14ac:dyDescent="0.3">
      <c r="A29" s="8" t="s">
        <v>29</v>
      </c>
      <c r="B29" s="53"/>
      <c r="C29" s="54"/>
      <c r="D29" s="54"/>
      <c r="E29" s="55">
        <f>SUM(E21:E27)</f>
        <v>6132</v>
      </c>
      <c r="F29" s="55">
        <f>SUM(F21:F27)</f>
        <v>1748</v>
      </c>
      <c r="G29" s="55">
        <f>SUM(G21:G28)</f>
        <v>3421.5</v>
      </c>
      <c r="H29" s="55">
        <f>SUM(H21:H28)</f>
        <v>11301.5</v>
      </c>
      <c r="I29" s="3" t="s">
        <v>30</v>
      </c>
      <c r="N29" s="56"/>
      <c r="R29" s="7"/>
      <c r="S29" s="7"/>
    </row>
    <row r="30" spans="1:21" ht="15.75" x14ac:dyDescent="0.25">
      <c r="B30" s="57"/>
      <c r="C30" s="57"/>
      <c r="D30" s="57"/>
      <c r="H30" s="58">
        <f>+H29/12</f>
        <v>941.79166666666663</v>
      </c>
      <c r="I30" s="59" t="s">
        <v>110</v>
      </c>
      <c r="L30" s="104" t="s">
        <v>107</v>
      </c>
      <c r="R30" s="7"/>
      <c r="S30" s="7"/>
    </row>
    <row r="31" spans="1:21" ht="16.5" thickBot="1" x14ac:dyDescent="0.3">
      <c r="B31" s="57"/>
      <c r="C31" s="57"/>
      <c r="D31" s="57"/>
      <c r="H31" s="58">
        <f>(-150*8)/12</f>
        <v>-100</v>
      </c>
      <c r="I31" s="52" t="s">
        <v>50</v>
      </c>
      <c r="J31" s="59"/>
      <c r="L31" s="37" t="s">
        <v>71</v>
      </c>
      <c r="M31" s="37" t="s">
        <v>98</v>
      </c>
      <c r="N31" s="37" t="s">
        <v>99</v>
      </c>
      <c r="O31" s="37" t="s">
        <v>100</v>
      </c>
      <c r="P31" s="37" t="s">
        <v>101</v>
      </c>
      <c r="Q31" s="37" t="s">
        <v>108</v>
      </c>
      <c r="R31" s="37" t="s">
        <v>109</v>
      </c>
      <c r="S31" s="37" t="s">
        <v>201</v>
      </c>
    </row>
    <row r="32" spans="1:21" ht="19.5" thickBot="1" x14ac:dyDescent="0.35">
      <c r="A32" s="60" t="s">
        <v>31</v>
      </c>
      <c r="B32" s="39" t="s">
        <v>22</v>
      </c>
      <c r="C32" s="40" t="s">
        <v>23</v>
      </c>
      <c r="D32" s="40" t="s">
        <v>24</v>
      </c>
      <c r="E32" s="41" t="s">
        <v>32</v>
      </c>
      <c r="H32" s="61">
        <f>+L4*-0.05</f>
        <v>-0.15000000000000002</v>
      </c>
      <c r="I32" s="62" t="s">
        <v>48</v>
      </c>
      <c r="J32" s="59"/>
      <c r="L32" s="101" t="s">
        <v>74</v>
      </c>
      <c r="M32" s="113">
        <f t="shared" ref="M32:M38" si="14">+Q20</f>
        <v>0</v>
      </c>
      <c r="N32" s="113">
        <f t="shared" ref="N32:N38" si="15">+M20*P9</f>
        <v>0</v>
      </c>
      <c r="O32" s="116">
        <f>+M32-N32</f>
        <v>0</v>
      </c>
      <c r="P32" s="118" t="str">
        <f t="shared" ref="P32:P38" si="16">IF(O32&gt;0,O32/M32,"-")</f>
        <v>-</v>
      </c>
      <c r="Q32" s="111">
        <v>0.38</v>
      </c>
      <c r="R32" s="118" t="str">
        <f t="shared" ref="R32:R38" si="17">IF(O32&gt;0,P32-Q32,"-")</f>
        <v>-</v>
      </c>
      <c r="S32" s="7" t="s">
        <v>74</v>
      </c>
      <c r="U32" s="8"/>
    </row>
    <row r="33" spans="1:21" ht="19.5" thickBot="1" x14ac:dyDescent="0.35">
      <c r="A33" s="96" t="s">
        <v>74</v>
      </c>
      <c r="B33" s="67">
        <f>SUMIF($B$47:$B$77,"Admin",$C$47:$C$77)</f>
        <v>0</v>
      </c>
      <c r="C33" s="67">
        <f>SUMIF($B$47:$B$77,"Admin",$D$47:$D$77)</f>
        <v>0</v>
      </c>
      <c r="D33" s="67">
        <f>SUMIF($B$47:$B$77,"Admin",$E$47:$E$77)</f>
        <v>0</v>
      </c>
      <c r="E33" s="63">
        <f>SUM(B33:D33)</f>
        <v>0</v>
      </c>
      <c r="H33" s="64">
        <f>(H30+H31)*(1+H32)</f>
        <v>715.52291666666656</v>
      </c>
      <c r="I33" s="65" t="s">
        <v>60</v>
      </c>
      <c r="J33" s="66"/>
      <c r="L33" s="7" t="s">
        <v>0</v>
      </c>
      <c r="M33" s="113">
        <f t="shared" si="14"/>
        <v>0</v>
      </c>
      <c r="N33" s="113">
        <f t="shared" si="15"/>
        <v>0</v>
      </c>
      <c r="O33" s="116">
        <f t="shared" ref="O33:O38" si="18">+M33-N33</f>
        <v>0</v>
      </c>
      <c r="P33" s="118" t="str">
        <f t="shared" si="16"/>
        <v>-</v>
      </c>
      <c r="Q33" s="111">
        <v>0.38</v>
      </c>
      <c r="R33" s="118" t="str">
        <f t="shared" si="17"/>
        <v>-</v>
      </c>
      <c r="S33" s="7" t="s">
        <v>90</v>
      </c>
      <c r="U33" s="99"/>
    </row>
    <row r="34" spans="1:21" ht="18.75" x14ac:dyDescent="0.3">
      <c r="A34" s="96" t="s">
        <v>89</v>
      </c>
      <c r="B34" s="67">
        <f>SUMIF($B$47:$B$77,"BK2",$C$47:$C$77)+SUMIF($B$47:$B$77,"BK",$C$47:$C$77)+SUMIF($B$47:$B$77,"Acct",$C$47:$C$77)</f>
        <v>6</v>
      </c>
      <c r="C34" s="67">
        <f>SUMIF($B$47:$B$77,"BK2",$D$47:$D$77)+SUMIF($B$47:$B$77,"BK",$D$47:$D$77)+SUMIF($B$47:$B$77,"Acct",$D$47:$D$77)</f>
        <v>3</v>
      </c>
      <c r="D34" s="67">
        <f>SUMIF($B$47:$B$77,"BK2",$E$47:$E$77)+SUMIF($B$47:$B$77,"BK",$E$47:$E$77)+SUMIF($B$47:$B$77,"Acct",$E$47:$E$77)</f>
        <v>5</v>
      </c>
      <c r="E34" s="69">
        <f>SUM(B34:D34)</f>
        <v>14</v>
      </c>
      <c r="H34" s="109">
        <v>725</v>
      </c>
      <c r="I34" s="70" t="s">
        <v>87</v>
      </c>
      <c r="J34" s="70"/>
      <c r="L34" s="7" t="s">
        <v>51</v>
      </c>
      <c r="M34" s="113">
        <f t="shared" si="14"/>
        <v>5134.8773146967296</v>
      </c>
      <c r="N34" s="113">
        <f t="shared" si="15"/>
        <v>1780</v>
      </c>
      <c r="O34" s="116">
        <f t="shared" si="18"/>
        <v>3354.8773146967296</v>
      </c>
      <c r="P34" s="118">
        <f t="shared" si="16"/>
        <v>0.65335101679929264</v>
      </c>
      <c r="Q34" s="111">
        <v>0.38</v>
      </c>
      <c r="R34" s="118">
        <f t="shared" si="17"/>
        <v>0.27335101679929263</v>
      </c>
      <c r="S34" s="7" t="s">
        <v>90</v>
      </c>
      <c r="U34" s="97"/>
    </row>
    <row r="35" spans="1:21" ht="18.75" x14ac:dyDescent="0.3">
      <c r="A35" s="96" t="s">
        <v>88</v>
      </c>
      <c r="B35" s="67">
        <f>SUMIF($B$47:$B$77,"CPA1",$C$47:$C$77)+SUMIF($B$47:$B$77,"CPA2",$C$47:$C$77)+SUMIF($B$47:$B$77,"CPA3",$C$47:$C$77)</f>
        <v>1</v>
      </c>
      <c r="C35" s="67">
        <f>SUMIF($B$47:$B$77,"CPA1",$D$47:$D$77)+SUMIF($B$47:$B$77,"CPA2",$D$47:$D$77)+SUMIF($B$47:$B$77,"CPA3",$D$47:$D$77)</f>
        <v>2</v>
      </c>
      <c r="D35" s="67">
        <f>SUMIF($B$47:$B$77,"CPA1",$E$47:$E$77)+SUMIF($B$47:$B$77,"CPA2",$E$47:$E$77)+SUMIF($B$47:$B$77,"CPA3",$E$47:$E$77)</f>
        <v>12.5</v>
      </c>
      <c r="E35" s="69">
        <f>SUM(B35:D35)</f>
        <v>15.5</v>
      </c>
      <c r="L35" s="7" t="s">
        <v>90</v>
      </c>
      <c r="M35" s="113">
        <f t="shared" si="14"/>
        <v>0</v>
      </c>
      <c r="N35" s="113">
        <f t="shared" si="15"/>
        <v>0</v>
      </c>
      <c r="O35" s="116">
        <f t="shared" si="18"/>
        <v>0</v>
      </c>
      <c r="P35" s="118" t="str">
        <f t="shared" si="16"/>
        <v>-</v>
      </c>
      <c r="Q35" s="111">
        <v>0.38</v>
      </c>
      <c r="R35" s="118" t="str">
        <f t="shared" si="17"/>
        <v>-</v>
      </c>
      <c r="S35" s="7" t="s">
        <v>90</v>
      </c>
      <c r="U35" s="96"/>
    </row>
    <row r="36" spans="1:21" ht="18.75" x14ac:dyDescent="0.3">
      <c r="A36" s="71" t="s">
        <v>92</v>
      </c>
      <c r="B36" s="72">
        <f>SUM(B33:B35)</f>
        <v>7</v>
      </c>
      <c r="C36" s="73">
        <f>SUM(C33:C35)</f>
        <v>5</v>
      </c>
      <c r="D36" s="73">
        <f>SUM(D33:D35)</f>
        <v>17.5</v>
      </c>
      <c r="E36" s="74">
        <f>SUM(E33:E35)</f>
        <v>29.5</v>
      </c>
      <c r="L36" s="7" t="s">
        <v>1</v>
      </c>
      <c r="M36" s="113">
        <f t="shared" si="14"/>
        <v>2846.1510993215325</v>
      </c>
      <c r="N36" s="113">
        <f t="shared" si="15"/>
        <v>662.5</v>
      </c>
      <c r="O36" s="116">
        <f t="shared" si="18"/>
        <v>2183.6510993215325</v>
      </c>
      <c r="P36" s="118">
        <f t="shared" si="16"/>
        <v>0.76722950508216969</v>
      </c>
      <c r="Q36" s="111">
        <v>0.38</v>
      </c>
      <c r="R36" s="118">
        <f t="shared" si="17"/>
        <v>0.38722950508216969</v>
      </c>
      <c r="S36" s="7" t="s">
        <v>202</v>
      </c>
      <c r="U36" s="96"/>
    </row>
    <row r="37" spans="1:21" ht="18.75" x14ac:dyDescent="0.3">
      <c r="A37" s="27" t="s">
        <v>33</v>
      </c>
      <c r="B37" s="75">
        <v>12</v>
      </c>
      <c r="C37" s="76">
        <v>4</v>
      </c>
      <c r="D37" s="76">
        <v>1</v>
      </c>
      <c r="E37" s="69"/>
      <c r="L37" s="7" t="s">
        <v>3</v>
      </c>
      <c r="M37" s="113">
        <f t="shared" si="14"/>
        <v>718.97158598173758</v>
      </c>
      <c r="N37" s="113">
        <f t="shared" si="15"/>
        <v>180</v>
      </c>
      <c r="O37" s="116">
        <f t="shared" si="18"/>
        <v>538.97158598173758</v>
      </c>
      <c r="P37" s="118">
        <f t="shared" si="16"/>
        <v>0.74964240102171142</v>
      </c>
      <c r="Q37" s="111">
        <v>0.38</v>
      </c>
      <c r="R37" s="118">
        <f t="shared" si="17"/>
        <v>0.36964240102171142</v>
      </c>
      <c r="S37" s="7" t="s">
        <v>202</v>
      </c>
      <c r="U37" s="96"/>
    </row>
    <row r="38" spans="1:21" ht="18.75" x14ac:dyDescent="0.3">
      <c r="A38" s="96" t="s">
        <v>74</v>
      </c>
      <c r="B38" s="67">
        <f>+B33*B37</f>
        <v>0</v>
      </c>
      <c r="C38" s="68">
        <f>+C33*C37</f>
        <v>0</v>
      </c>
      <c r="D38" s="68">
        <f>+D33*D37</f>
        <v>0</v>
      </c>
      <c r="E38" s="69">
        <f>SUM(B38:D38)</f>
        <v>0</v>
      </c>
      <c r="L38" s="101" t="s">
        <v>81</v>
      </c>
      <c r="M38" s="113">
        <f t="shared" si="14"/>
        <v>0</v>
      </c>
      <c r="N38" s="113">
        <f t="shared" si="15"/>
        <v>0</v>
      </c>
      <c r="O38" s="116">
        <f t="shared" si="18"/>
        <v>0</v>
      </c>
      <c r="P38" s="118" t="str">
        <f t="shared" si="16"/>
        <v>-</v>
      </c>
      <c r="Q38" s="111">
        <v>0.38</v>
      </c>
      <c r="R38" s="118" t="str">
        <f t="shared" si="17"/>
        <v>-</v>
      </c>
      <c r="S38" s="7" t="s">
        <v>202</v>
      </c>
      <c r="U38" s="96"/>
    </row>
    <row r="39" spans="1:21" x14ac:dyDescent="0.25">
      <c r="A39" s="96" t="s">
        <v>89</v>
      </c>
      <c r="B39" s="67">
        <f>+B34*B37</f>
        <v>72</v>
      </c>
      <c r="C39" s="68">
        <f>+C34*C37</f>
        <v>12</v>
      </c>
      <c r="D39" s="68">
        <f>+D34*D37</f>
        <v>5</v>
      </c>
      <c r="E39" s="69">
        <f>SUM(B39:D39)</f>
        <v>89</v>
      </c>
      <c r="J39" s="77"/>
      <c r="L39" s="110" t="s">
        <v>93</v>
      </c>
      <c r="M39" s="56">
        <f>SUM(M32:M38)</f>
        <v>8700</v>
      </c>
      <c r="N39" s="56">
        <f>SUM(N32:N38)</f>
        <v>2622.5</v>
      </c>
      <c r="O39" s="56">
        <f>SUM(O32:O38)</f>
        <v>6077.5</v>
      </c>
      <c r="P39" s="56"/>
      <c r="Q39" s="113"/>
      <c r="R39" s="7"/>
      <c r="S39" s="7"/>
      <c r="U39" s="97"/>
    </row>
    <row r="40" spans="1:21" x14ac:dyDescent="0.25">
      <c r="A40" s="96" t="s">
        <v>88</v>
      </c>
      <c r="B40" s="67">
        <f>+B35*B37</f>
        <v>12</v>
      </c>
      <c r="C40" s="68">
        <f>+C35*C37</f>
        <v>8</v>
      </c>
      <c r="D40" s="68">
        <f>+D35*D37</f>
        <v>12.5</v>
      </c>
      <c r="E40" s="69">
        <f>SUM(B40:D40)</f>
        <v>32.5</v>
      </c>
      <c r="J40" s="77"/>
      <c r="Q40" s="113"/>
      <c r="R40" s="7"/>
      <c r="S40" s="7"/>
    </row>
    <row r="41" spans="1:21" ht="15.75" thickBot="1" x14ac:dyDescent="0.3">
      <c r="A41" s="8" t="s">
        <v>34</v>
      </c>
      <c r="B41" s="78">
        <f>+B36*B37</f>
        <v>84</v>
      </c>
      <c r="C41" s="79">
        <f>+C36*C37</f>
        <v>20</v>
      </c>
      <c r="D41" s="79">
        <f>+D36*D37</f>
        <v>17.5</v>
      </c>
      <c r="E41" s="80">
        <f>SUM(B41:D41)</f>
        <v>121.5</v>
      </c>
      <c r="J41" s="77"/>
      <c r="Q41" s="113"/>
      <c r="R41" s="7"/>
      <c r="S41" s="7"/>
      <c r="U41" s="96"/>
    </row>
    <row r="42" spans="1:21" ht="15.75" x14ac:dyDescent="0.25">
      <c r="J42" s="77"/>
      <c r="L42" s="104" t="s">
        <v>187</v>
      </c>
      <c r="Q42" s="56"/>
      <c r="R42" s="7"/>
      <c r="S42" s="7"/>
      <c r="U42" s="96"/>
    </row>
    <row r="43" spans="1:21" x14ac:dyDescent="0.25">
      <c r="J43" s="77"/>
      <c r="L43" s="111">
        <v>0.25</v>
      </c>
      <c r="M43" s="101" t="s">
        <v>206</v>
      </c>
      <c r="P43" s="111">
        <v>0.25</v>
      </c>
      <c r="Q43" s="101" t="s">
        <v>208</v>
      </c>
      <c r="R43" s="7"/>
      <c r="S43" s="7"/>
      <c r="U43" s="96"/>
    </row>
    <row r="44" spans="1:21" ht="15.75" thickBot="1" x14ac:dyDescent="0.3">
      <c r="J44" s="77"/>
      <c r="L44" s="111">
        <f>AVERAGE(R33:R35)</f>
        <v>0.27335101679929263</v>
      </c>
      <c r="M44" s="101" t="s">
        <v>205</v>
      </c>
      <c r="P44" s="111">
        <f>AVERAGE(R36:R38)</f>
        <v>0.37843595305194055</v>
      </c>
      <c r="Q44" s="101" t="s">
        <v>209</v>
      </c>
      <c r="R44" s="7"/>
      <c r="S44" s="7"/>
      <c r="U44" s="96"/>
    </row>
    <row r="45" spans="1:21" ht="24" thickBot="1" x14ac:dyDescent="0.4">
      <c r="A45" s="81" t="s">
        <v>35</v>
      </c>
      <c r="B45" s="82"/>
      <c r="C45" s="82"/>
      <c r="D45" s="82"/>
      <c r="E45" s="82"/>
      <c r="F45" s="82"/>
      <c r="G45" s="82"/>
      <c r="H45" s="83"/>
      <c r="I45" s="77"/>
      <c r="L45" s="112">
        <f>+L44-L43</f>
        <v>2.3351016799292634E-2</v>
      </c>
      <c r="M45" s="110" t="s">
        <v>207</v>
      </c>
      <c r="P45" s="112">
        <f>+P44-P43</f>
        <v>0.12843595305194055</v>
      </c>
      <c r="Q45" s="110" t="s">
        <v>207</v>
      </c>
      <c r="R45" s="7"/>
      <c r="S45" s="7"/>
      <c r="U45" s="96"/>
    </row>
    <row r="46" spans="1:21" ht="18.75" x14ac:dyDescent="0.3">
      <c r="A46" s="84" t="s">
        <v>36</v>
      </c>
      <c r="B46" s="85" t="s">
        <v>37</v>
      </c>
      <c r="C46" s="85" t="s">
        <v>22</v>
      </c>
      <c r="D46" s="85" t="s">
        <v>38</v>
      </c>
      <c r="E46" s="85" t="s">
        <v>24</v>
      </c>
      <c r="F46" s="85" t="s">
        <v>29</v>
      </c>
      <c r="G46" s="86" t="s">
        <v>39</v>
      </c>
      <c r="H46" s="86"/>
      <c r="I46" s="77"/>
      <c r="R46" s="7"/>
      <c r="S46" s="7"/>
    </row>
    <row r="47" spans="1:21" ht="15.75" x14ac:dyDescent="0.25">
      <c r="A47" s="128"/>
      <c r="B47" s="127"/>
      <c r="C47" s="129"/>
      <c r="D47" s="129"/>
      <c r="E47" s="129"/>
      <c r="F47" s="130" t="str">
        <f t="shared" ref="F47:F54" si="19">IF(B47="Admin",$M$9*C47,IF(B47="BK",$M$10*C47,IF(B47="BK2",$M$11*C47,IF(B47="Acct",$M$12*C47,IF(B47="CPA1",$M$13*C47,IF(B47="CPA2",$M$14*C47,IF(B47="CPA3",$M$15*C47,"")))))))</f>
        <v/>
      </c>
      <c r="G47" s="96"/>
      <c r="H47" s="96"/>
      <c r="I47" s="131"/>
      <c r="L47" s="104" t="s">
        <v>210</v>
      </c>
      <c r="R47" s="7"/>
      <c r="S47" s="7"/>
    </row>
    <row r="48" spans="1:21" x14ac:dyDescent="0.25">
      <c r="A48" s="87"/>
      <c r="B48" s="127"/>
      <c r="C48" s="129"/>
      <c r="D48" s="129"/>
      <c r="E48" s="129"/>
      <c r="F48" s="130" t="str">
        <f t="shared" si="19"/>
        <v/>
      </c>
      <c r="G48" s="132"/>
      <c r="H48" s="133"/>
      <c r="I48" s="133"/>
      <c r="L48" s="181">
        <f>SUMIF($S$20:$S$26,M48,$P$20:$P$26)</f>
        <v>0</v>
      </c>
      <c r="M48" s="101" t="s">
        <v>74</v>
      </c>
      <c r="R48" s="7"/>
      <c r="S48" s="7"/>
      <c r="U48" s="18"/>
    </row>
    <row r="49" spans="1:21" x14ac:dyDescent="0.25">
      <c r="A49" s="87" t="s">
        <v>47</v>
      </c>
      <c r="B49" s="127" t="s">
        <v>51</v>
      </c>
      <c r="C49" s="129">
        <v>5</v>
      </c>
      <c r="D49" s="129"/>
      <c r="E49" s="129"/>
      <c r="F49" s="130">
        <f t="shared" si="19"/>
        <v>325</v>
      </c>
      <c r="G49" s="134" t="s">
        <v>61</v>
      </c>
      <c r="H49" s="135"/>
      <c r="I49" s="135"/>
      <c r="L49" s="181">
        <f>SUMIF($S$20:$S$26,M49,$P$20:$P$26)</f>
        <v>0.59021578329847468</v>
      </c>
      <c r="M49" s="101" t="s">
        <v>90</v>
      </c>
      <c r="R49" s="7"/>
      <c r="S49" s="7"/>
      <c r="U49" s="96"/>
    </row>
    <row r="50" spans="1:21" x14ac:dyDescent="0.25">
      <c r="A50" s="91"/>
      <c r="B50" s="127"/>
      <c r="C50" s="129"/>
      <c r="D50" s="129"/>
      <c r="E50" s="129"/>
      <c r="F50" s="130" t="str">
        <f t="shared" si="19"/>
        <v/>
      </c>
      <c r="G50" s="136"/>
      <c r="H50" s="137"/>
      <c r="I50" s="137"/>
      <c r="L50" s="181">
        <f>SUMIF($S$20:$S$26,M50,$P$20:$P$26)</f>
        <v>0.40978421670152526</v>
      </c>
      <c r="M50" s="101" t="s">
        <v>202</v>
      </c>
      <c r="R50" s="7"/>
      <c r="S50" s="7"/>
      <c r="U50" s="96"/>
    </row>
    <row r="51" spans="1:21" x14ac:dyDescent="0.25">
      <c r="A51" s="87" t="s">
        <v>47</v>
      </c>
      <c r="B51" s="127" t="s">
        <v>1</v>
      </c>
      <c r="C51" s="129">
        <v>1</v>
      </c>
      <c r="D51" s="129"/>
      <c r="E51" s="129"/>
      <c r="F51" s="130">
        <f t="shared" si="19"/>
        <v>121</v>
      </c>
      <c r="G51" s="96" t="s">
        <v>58</v>
      </c>
      <c r="H51" s="96"/>
      <c r="I51" s="131"/>
      <c r="L51" s="112">
        <f>SUM(L48:L50)</f>
        <v>1</v>
      </c>
      <c r="M51" s="110" t="s">
        <v>32</v>
      </c>
      <c r="R51" s="7"/>
      <c r="S51" s="7"/>
      <c r="U51" s="96"/>
    </row>
    <row r="52" spans="1:21" x14ac:dyDescent="0.25">
      <c r="A52" s="91" t="s">
        <v>12</v>
      </c>
      <c r="B52" s="127" t="s">
        <v>51</v>
      </c>
      <c r="C52" s="129">
        <v>1</v>
      </c>
      <c r="D52" s="129"/>
      <c r="E52" s="129"/>
      <c r="F52" s="130">
        <f t="shared" si="19"/>
        <v>65</v>
      </c>
      <c r="G52" s="132" t="s">
        <v>64</v>
      </c>
      <c r="H52" s="96"/>
      <c r="I52" s="131"/>
      <c r="R52" s="7"/>
      <c r="S52" s="7"/>
      <c r="U52" s="96"/>
    </row>
    <row r="53" spans="1:21" x14ac:dyDescent="0.25">
      <c r="A53" s="87"/>
      <c r="B53" s="127"/>
      <c r="C53" s="129"/>
      <c r="D53" s="129"/>
      <c r="E53" s="129"/>
      <c r="F53" s="130" t="str">
        <f t="shared" si="19"/>
        <v/>
      </c>
      <c r="G53" s="96"/>
      <c r="H53" s="96"/>
      <c r="I53" s="131"/>
      <c r="R53" s="7"/>
      <c r="S53" s="7"/>
      <c r="U53" s="96"/>
    </row>
    <row r="54" spans="1:21" ht="28.5" x14ac:dyDescent="0.45">
      <c r="A54" s="128"/>
      <c r="B54" s="127"/>
      <c r="C54" s="129"/>
      <c r="D54" s="129"/>
      <c r="E54" s="129"/>
      <c r="F54" s="130" t="str">
        <f t="shared" si="19"/>
        <v/>
      </c>
      <c r="G54" s="96"/>
      <c r="H54" s="96"/>
      <c r="I54" s="96"/>
      <c r="L54" s="159" t="s">
        <v>130</v>
      </c>
      <c r="R54" s="7"/>
      <c r="S54" s="7"/>
      <c r="U54" s="96"/>
    </row>
    <row r="55" spans="1:21" x14ac:dyDescent="0.25">
      <c r="A55" s="128"/>
      <c r="B55" s="138"/>
      <c r="C55" s="139">
        <f>SUM(C47:C54)</f>
        <v>7</v>
      </c>
      <c r="D55" s="139">
        <f>SUM(D47:D54)</f>
        <v>0</v>
      </c>
      <c r="E55" s="139">
        <f>SUM(E47:E54)</f>
        <v>0</v>
      </c>
      <c r="F55" s="140">
        <f>SUM(F47:F54)*12</f>
        <v>6132</v>
      </c>
      <c r="G55" s="8" t="s">
        <v>40</v>
      </c>
      <c r="H55" s="96"/>
      <c r="I55" s="96"/>
      <c r="L55" s="101" t="s">
        <v>186</v>
      </c>
      <c r="R55" s="7"/>
      <c r="S55" s="7"/>
      <c r="U55" s="96"/>
    </row>
    <row r="56" spans="1:21" ht="18.75" x14ac:dyDescent="0.3">
      <c r="A56" s="90" t="s">
        <v>41</v>
      </c>
      <c r="B56" s="85" t="s">
        <v>37</v>
      </c>
      <c r="C56" s="85" t="s">
        <v>22</v>
      </c>
      <c r="D56" s="85" t="s">
        <v>38</v>
      </c>
      <c r="E56" s="85" t="s">
        <v>24</v>
      </c>
      <c r="F56" s="85" t="s">
        <v>29</v>
      </c>
      <c r="G56" s="59"/>
      <c r="R56" s="7"/>
      <c r="S56" s="7"/>
      <c r="U56" s="97"/>
    </row>
    <row r="57" spans="1:21" ht="15.6" customHeight="1" x14ac:dyDescent="0.25">
      <c r="A57" s="91"/>
      <c r="B57" s="127"/>
      <c r="C57" s="141"/>
      <c r="D57" s="129"/>
      <c r="E57" s="129"/>
      <c r="F57" s="130" t="str">
        <f t="shared" ref="F57:F63" si="20">IF(B57="Admin",$M$9*D57,IF(B57="BK",$M$10*D57,IF(B57="BK2",$M$11*D57,IF(B57="Acct",$M$12*D57,IF(B57="CPA1",$M$13*D57,IF(B57="CPA2",$M$14*D57,IF(B57="CPA3",$M$15*D57,"")))))))</f>
        <v/>
      </c>
      <c r="G57" s="96"/>
      <c r="H57" s="96"/>
      <c r="I57" s="96"/>
      <c r="L57" s="37" t="s">
        <v>183</v>
      </c>
      <c r="R57" s="7"/>
      <c r="S57" s="7"/>
      <c r="U57" s="96"/>
    </row>
    <row r="58" spans="1:21" ht="15.75" customHeight="1" x14ac:dyDescent="0.25">
      <c r="A58" s="92" t="s">
        <v>13</v>
      </c>
      <c r="B58" s="127" t="s">
        <v>1</v>
      </c>
      <c r="C58" s="142"/>
      <c r="D58" s="142">
        <v>1</v>
      </c>
      <c r="E58" s="129"/>
      <c r="F58" s="130">
        <f t="shared" si="20"/>
        <v>121</v>
      </c>
      <c r="G58" s="132" t="s">
        <v>42</v>
      </c>
      <c r="H58" s="96"/>
      <c r="I58" s="96"/>
      <c r="R58" s="7"/>
      <c r="S58" s="7"/>
    </row>
    <row r="59" spans="1:21" ht="15.75" customHeight="1" x14ac:dyDescent="0.25">
      <c r="A59" s="89" t="s">
        <v>46</v>
      </c>
      <c r="B59" s="127" t="s">
        <v>51</v>
      </c>
      <c r="C59" s="142"/>
      <c r="D59" s="142">
        <v>1</v>
      </c>
      <c r="E59" s="129"/>
      <c r="F59" s="130">
        <f t="shared" si="20"/>
        <v>65</v>
      </c>
      <c r="G59" s="132" t="s">
        <v>52</v>
      </c>
      <c r="H59" s="96"/>
      <c r="I59" s="96"/>
      <c r="L59" s="37" t="s">
        <v>35</v>
      </c>
      <c r="R59" s="7"/>
      <c r="S59" s="7"/>
    </row>
    <row r="60" spans="1:21" ht="15.75" customHeight="1" x14ac:dyDescent="0.25">
      <c r="A60" s="87" t="s">
        <v>47</v>
      </c>
      <c r="B60" s="127" t="s">
        <v>1</v>
      </c>
      <c r="C60" s="143"/>
      <c r="D60" s="143">
        <v>1</v>
      </c>
      <c r="E60" s="144"/>
      <c r="F60" s="130">
        <f t="shared" si="20"/>
        <v>121</v>
      </c>
      <c r="G60" s="147" t="s">
        <v>56</v>
      </c>
      <c r="H60" s="148"/>
      <c r="I60" s="148"/>
      <c r="L60" s="101" t="s">
        <v>131</v>
      </c>
      <c r="R60" s="7"/>
      <c r="S60" s="7"/>
    </row>
    <row r="61" spans="1:21" x14ac:dyDescent="0.25">
      <c r="A61" s="91" t="s">
        <v>12</v>
      </c>
      <c r="B61" s="127" t="s">
        <v>51</v>
      </c>
      <c r="C61" s="143"/>
      <c r="D61" s="143">
        <v>2</v>
      </c>
      <c r="E61" s="144"/>
      <c r="F61" s="130">
        <f t="shared" si="20"/>
        <v>130</v>
      </c>
      <c r="G61" s="145" t="s">
        <v>66</v>
      </c>
      <c r="H61" s="146"/>
      <c r="I61" s="146"/>
      <c r="L61" s="158" t="s">
        <v>132</v>
      </c>
      <c r="R61" s="7"/>
      <c r="S61" s="7"/>
    </row>
    <row r="62" spans="1:21" x14ac:dyDescent="0.25">
      <c r="A62" s="87"/>
      <c r="B62" s="127"/>
      <c r="C62" s="143"/>
      <c r="D62" s="143"/>
      <c r="E62" s="144"/>
      <c r="F62" s="130" t="str">
        <f t="shared" si="20"/>
        <v/>
      </c>
      <c r="G62" s="145"/>
      <c r="H62" s="146"/>
      <c r="I62" s="146"/>
      <c r="R62" s="7"/>
      <c r="S62" s="7"/>
    </row>
    <row r="63" spans="1:21" x14ac:dyDescent="0.25">
      <c r="A63" s="128"/>
      <c r="B63" s="127"/>
      <c r="C63" s="141"/>
      <c r="D63" s="129"/>
      <c r="E63" s="129"/>
      <c r="F63" s="130" t="str">
        <f t="shared" si="20"/>
        <v/>
      </c>
      <c r="G63" s="145"/>
      <c r="H63" s="146"/>
      <c r="I63" s="146"/>
      <c r="L63" s="101"/>
      <c r="R63" s="7"/>
      <c r="S63" s="7"/>
    </row>
    <row r="64" spans="1:21" ht="15.75" x14ac:dyDescent="0.25">
      <c r="A64" s="128"/>
      <c r="B64" s="138"/>
      <c r="C64" s="139">
        <f>SUM(C57:C63)</f>
        <v>0</v>
      </c>
      <c r="D64" s="139">
        <f>SUM(D57:D63)</f>
        <v>5</v>
      </c>
      <c r="E64" s="139">
        <f>SUM(E57:E63)</f>
        <v>0</v>
      </c>
      <c r="F64" s="140">
        <f>SUM(F57:F63)*4</f>
        <v>1748</v>
      </c>
      <c r="G64" s="8" t="s">
        <v>43</v>
      </c>
      <c r="H64" s="59"/>
      <c r="L64" s="101"/>
      <c r="R64" s="7"/>
      <c r="S64" s="7"/>
    </row>
    <row r="65" spans="1:21" ht="15" customHeight="1" x14ac:dyDescent="0.3">
      <c r="A65" s="93" t="s">
        <v>44</v>
      </c>
      <c r="B65" s="85" t="s">
        <v>37</v>
      </c>
      <c r="C65" s="85" t="s">
        <v>22</v>
      </c>
      <c r="D65" s="85" t="s">
        <v>38</v>
      </c>
      <c r="E65" s="85" t="s">
        <v>24</v>
      </c>
      <c r="F65" s="85" t="s">
        <v>29</v>
      </c>
      <c r="G65" s="59"/>
      <c r="L65" s="158"/>
      <c r="R65" s="7"/>
      <c r="S65" s="7"/>
    </row>
    <row r="66" spans="1:21" ht="16.149999999999999" customHeight="1" x14ac:dyDescent="0.25">
      <c r="A66" s="91"/>
      <c r="B66" s="127"/>
      <c r="C66" s="141"/>
      <c r="D66" s="129"/>
      <c r="E66" s="142"/>
      <c r="F66" s="130" t="str">
        <f t="shared" ref="F66:F72" si="21">IF(B66="Admin",$M$9*E66,IF(B66="BK",$M$10*E66,IF(B66="BK2",$M$11*E66,IF(B66="Acct",$M$12*E66,IF(B66="CPA1",$M$13*E66,IF(B66="CPA2",$M$14*E66,IF(B66="CPA3",$M$15*E66,"")))))))</f>
        <v/>
      </c>
      <c r="G66" s="96"/>
      <c r="M66" s="158"/>
      <c r="R66" s="7"/>
      <c r="S66" s="7"/>
    </row>
    <row r="67" spans="1:21" x14ac:dyDescent="0.25">
      <c r="A67" s="91"/>
      <c r="B67" s="127"/>
      <c r="C67" s="141"/>
      <c r="D67" s="129"/>
      <c r="E67" s="142"/>
      <c r="F67" s="130" t="str">
        <f t="shared" si="21"/>
        <v/>
      </c>
      <c r="G67" s="96"/>
      <c r="M67" s="101"/>
      <c r="R67" s="7"/>
      <c r="S67" s="7"/>
    </row>
    <row r="68" spans="1:21" x14ac:dyDescent="0.25">
      <c r="A68" s="87"/>
      <c r="B68" s="127"/>
      <c r="C68" s="141"/>
      <c r="D68" s="129"/>
      <c r="E68" s="142"/>
      <c r="F68" s="130" t="str">
        <f t="shared" si="21"/>
        <v/>
      </c>
      <c r="G68" s="96"/>
      <c r="M68" s="101"/>
      <c r="R68" s="7"/>
      <c r="S68" s="7"/>
    </row>
    <row r="69" spans="1:21" ht="15.75" x14ac:dyDescent="0.25">
      <c r="A69" s="91" t="s">
        <v>12</v>
      </c>
      <c r="B69" s="127" t="s">
        <v>51</v>
      </c>
      <c r="C69" s="141"/>
      <c r="D69" s="129"/>
      <c r="E69" s="142">
        <v>5</v>
      </c>
      <c r="F69" s="130">
        <f t="shared" si="21"/>
        <v>325</v>
      </c>
      <c r="G69" s="96" t="s">
        <v>65</v>
      </c>
      <c r="M69" s="101"/>
      <c r="R69" s="7"/>
      <c r="S69" s="7"/>
      <c r="U69" s="88"/>
    </row>
    <row r="70" spans="1:21" x14ac:dyDescent="0.25">
      <c r="A70" s="92" t="s">
        <v>13</v>
      </c>
      <c r="B70" s="127" t="s">
        <v>3</v>
      </c>
      <c r="C70" s="141"/>
      <c r="D70" s="129"/>
      <c r="E70" s="142">
        <v>6</v>
      </c>
      <c r="F70" s="130">
        <f t="shared" si="21"/>
        <v>810</v>
      </c>
      <c r="G70" s="96" t="s">
        <v>59</v>
      </c>
      <c r="M70" s="101"/>
      <c r="R70" s="7"/>
      <c r="S70" s="7"/>
    </row>
    <row r="71" spans="1:21" x14ac:dyDescent="0.25">
      <c r="A71" s="87" t="s">
        <v>47</v>
      </c>
      <c r="B71" s="127" t="s">
        <v>1</v>
      </c>
      <c r="C71" s="141"/>
      <c r="D71" s="129"/>
      <c r="E71" s="142">
        <v>2</v>
      </c>
      <c r="F71" s="130">
        <f t="shared" si="21"/>
        <v>242</v>
      </c>
      <c r="G71" s="132" t="s">
        <v>57</v>
      </c>
      <c r="M71" s="101"/>
      <c r="N71" s="101"/>
      <c r="O71" s="101"/>
      <c r="R71" s="7"/>
      <c r="S71" s="7"/>
    </row>
    <row r="72" spans="1:21" ht="15.75" customHeight="1" x14ac:dyDescent="0.25">
      <c r="A72" s="92" t="s">
        <v>13</v>
      </c>
      <c r="B72" s="127" t="s">
        <v>1</v>
      </c>
      <c r="C72" s="142"/>
      <c r="D72" s="142"/>
      <c r="E72" s="142">
        <v>4.5</v>
      </c>
      <c r="F72" s="130">
        <f t="shared" si="21"/>
        <v>544.5</v>
      </c>
      <c r="G72" s="156" t="s">
        <v>63</v>
      </c>
      <c r="H72" s="100"/>
      <c r="I72" s="100"/>
      <c r="M72" s="101"/>
      <c r="N72" s="101"/>
      <c r="R72" s="7"/>
      <c r="S72" s="7"/>
    </row>
    <row r="73" spans="1:21" ht="15.75" x14ac:dyDescent="0.25">
      <c r="A73" s="87"/>
      <c r="B73" s="127"/>
      <c r="C73" s="141"/>
      <c r="D73" s="129"/>
      <c r="E73" s="142"/>
      <c r="F73" s="130"/>
      <c r="G73" s="156"/>
      <c r="H73" s="100"/>
      <c r="I73" s="100"/>
      <c r="L73" s="101"/>
      <c r="N73" s="101"/>
      <c r="R73" s="7"/>
      <c r="S73" s="7"/>
    </row>
    <row r="74" spans="1:21" x14ac:dyDescent="0.25">
      <c r="A74" s="128"/>
      <c r="B74" s="127"/>
      <c r="C74" s="141"/>
      <c r="D74" s="129"/>
      <c r="E74" s="142"/>
      <c r="F74" s="130"/>
      <c r="G74" s="96"/>
      <c r="L74" s="101"/>
      <c r="N74" s="101"/>
      <c r="R74" s="7"/>
      <c r="S74" s="7"/>
    </row>
    <row r="75" spans="1:21" x14ac:dyDescent="0.25">
      <c r="A75" s="128"/>
      <c r="B75" s="127"/>
      <c r="C75" s="141"/>
      <c r="D75" s="129"/>
      <c r="E75" s="129"/>
      <c r="F75" s="157">
        <f>SUM(F66:F74)</f>
        <v>1921.5</v>
      </c>
      <c r="G75" s="8" t="s">
        <v>45</v>
      </c>
      <c r="L75" s="101"/>
      <c r="R75" s="7"/>
      <c r="S75" s="7"/>
    </row>
    <row r="76" spans="1:21" x14ac:dyDescent="0.25">
      <c r="A76" s="128"/>
      <c r="B76" s="127"/>
      <c r="C76" s="141"/>
      <c r="D76" s="129"/>
      <c r="E76" s="129"/>
      <c r="F76" s="130"/>
      <c r="G76" s="96"/>
      <c r="M76" s="101"/>
      <c r="R76" s="7"/>
      <c r="S76" s="7"/>
    </row>
    <row r="77" spans="1:21" ht="15.75" customHeight="1" x14ac:dyDescent="0.25">
      <c r="A77" s="96"/>
      <c r="B77" s="138"/>
      <c r="C77" s="139">
        <f>SUM(C66:C76)</f>
        <v>0</v>
      </c>
      <c r="D77" s="139">
        <f>SUM(D66:D76)</f>
        <v>0</v>
      </c>
      <c r="E77" s="139">
        <f>SUM(E66:E76)</f>
        <v>17.5</v>
      </c>
      <c r="F77" s="140">
        <f>+F55+F64+F75</f>
        <v>9801.5</v>
      </c>
      <c r="G77" s="183" t="s">
        <v>62</v>
      </c>
      <c r="H77" s="183"/>
      <c r="I77" s="183"/>
      <c r="J77" s="183"/>
      <c r="R77" s="7"/>
      <c r="S77" s="7"/>
    </row>
    <row r="78" spans="1:21" ht="15" customHeight="1" x14ac:dyDescent="0.25">
      <c r="G78" s="183"/>
      <c r="H78" s="183"/>
      <c r="I78" s="183"/>
      <c r="J78" s="183"/>
      <c r="R78" s="7"/>
      <c r="S78" s="7"/>
    </row>
    <row r="79" spans="1:21" x14ac:dyDescent="0.25">
      <c r="R79" s="7"/>
      <c r="S79" s="7"/>
    </row>
    <row r="80" spans="1:21" x14ac:dyDescent="0.25">
      <c r="L80" s="178" t="s">
        <v>188</v>
      </c>
      <c r="M80" s="179"/>
      <c r="N80" s="179"/>
      <c r="O80" s="179"/>
      <c r="R80" s="7"/>
      <c r="S80" s="7"/>
    </row>
    <row r="81" spans="18:19" x14ac:dyDescent="0.25">
      <c r="R81" s="7"/>
      <c r="S81" s="7"/>
    </row>
    <row r="82" spans="18:19" x14ac:dyDescent="0.25">
      <c r="R82" s="7"/>
      <c r="S82" s="7"/>
    </row>
    <row r="83" spans="18:19" x14ac:dyDescent="0.25">
      <c r="R83" s="7"/>
      <c r="S83" s="7"/>
    </row>
    <row r="84" spans="18:19" x14ac:dyDescent="0.25">
      <c r="R84" s="7"/>
      <c r="S84" s="7"/>
    </row>
    <row r="85" spans="18:19" x14ac:dyDescent="0.25">
      <c r="R85" s="7"/>
      <c r="S85" s="7"/>
    </row>
    <row r="86" spans="18:19" x14ac:dyDescent="0.25">
      <c r="R86" s="7"/>
      <c r="S86" s="7"/>
    </row>
    <row r="87" spans="18:19" x14ac:dyDescent="0.25">
      <c r="R87" s="7"/>
      <c r="S87" s="7"/>
    </row>
    <row r="88" spans="18:19" x14ac:dyDescent="0.25">
      <c r="R88" s="7"/>
      <c r="S88" s="7"/>
    </row>
    <row r="89" spans="18:19" x14ac:dyDescent="0.25">
      <c r="R89" s="7"/>
      <c r="S89" s="7"/>
    </row>
    <row r="90" spans="18:19" x14ac:dyDescent="0.25">
      <c r="R90" s="7"/>
      <c r="S90" s="7"/>
    </row>
    <row r="91" spans="18:19" x14ac:dyDescent="0.25">
      <c r="R91" s="7"/>
      <c r="S91" s="7"/>
    </row>
    <row r="92" spans="18:19" x14ac:dyDescent="0.25">
      <c r="R92" s="7"/>
      <c r="S92" s="7"/>
    </row>
    <row r="93" spans="18:19" x14ac:dyDescent="0.25">
      <c r="R93" s="7"/>
      <c r="S93" s="7"/>
    </row>
    <row r="94" spans="18:19" x14ac:dyDescent="0.25">
      <c r="R94" s="7"/>
      <c r="S94" s="7"/>
    </row>
    <row r="95" spans="18:19" x14ac:dyDescent="0.25">
      <c r="R95" s="7"/>
      <c r="S95" s="7"/>
    </row>
    <row r="96" spans="18:19" x14ac:dyDescent="0.25">
      <c r="R96" s="7"/>
      <c r="S96" s="7"/>
    </row>
    <row r="97" spans="18:19" x14ac:dyDescent="0.25">
      <c r="R97" s="7"/>
      <c r="S97" s="7"/>
    </row>
    <row r="98" spans="18:19" x14ac:dyDescent="0.25">
      <c r="R98" s="7"/>
      <c r="S98" s="7"/>
    </row>
    <row r="99" spans="18:19" x14ac:dyDescent="0.25">
      <c r="R99" s="7"/>
      <c r="S99" s="7"/>
    </row>
    <row r="100" spans="18:19" x14ac:dyDescent="0.25">
      <c r="R100" s="7"/>
      <c r="S100" s="7"/>
    </row>
    <row r="101" spans="18:19" x14ac:dyDescent="0.25">
      <c r="R101" s="7"/>
      <c r="S101" s="7"/>
    </row>
    <row r="102" spans="18:19" x14ac:dyDescent="0.25">
      <c r="R102" s="7"/>
      <c r="S102" s="7"/>
    </row>
    <row r="103" spans="18:19" x14ac:dyDescent="0.25">
      <c r="R103" s="7"/>
      <c r="S103" s="7"/>
    </row>
    <row r="104" spans="18:19" x14ac:dyDescent="0.25">
      <c r="R104" s="7"/>
      <c r="S104" s="7"/>
    </row>
    <row r="105" spans="18:19" x14ac:dyDescent="0.25">
      <c r="R105" s="7"/>
      <c r="S105" s="7"/>
    </row>
    <row r="106" spans="18:19" x14ac:dyDescent="0.25">
      <c r="R106" s="7"/>
      <c r="S106" s="7"/>
    </row>
    <row r="107" spans="18:19" x14ac:dyDescent="0.25">
      <c r="R107" s="7"/>
      <c r="S107" s="7"/>
    </row>
    <row r="108" spans="18:19" x14ac:dyDescent="0.25">
      <c r="R108" s="7"/>
      <c r="S108" s="7"/>
    </row>
    <row r="109" spans="18:19" x14ac:dyDescent="0.25">
      <c r="R109" s="7"/>
      <c r="S109" s="7"/>
    </row>
    <row r="110" spans="18:19" x14ac:dyDescent="0.25">
      <c r="R110" s="7"/>
      <c r="S110" s="7"/>
    </row>
    <row r="111" spans="18:19" x14ac:dyDescent="0.25">
      <c r="R111" s="7"/>
      <c r="S111" s="7"/>
    </row>
    <row r="112" spans="18:19" x14ac:dyDescent="0.25">
      <c r="R112" s="7"/>
      <c r="S112" s="7"/>
    </row>
    <row r="113" spans="18:19" x14ac:dyDescent="0.25">
      <c r="R113" s="7"/>
      <c r="S113" s="7"/>
    </row>
    <row r="114" spans="18:19" x14ac:dyDescent="0.25">
      <c r="R114" s="7"/>
      <c r="S114" s="7"/>
    </row>
    <row r="115" spans="18:19" x14ac:dyDescent="0.25">
      <c r="R115" s="7"/>
      <c r="S115" s="7"/>
    </row>
    <row r="116" spans="18:19" x14ac:dyDescent="0.25">
      <c r="R116" s="7"/>
      <c r="S116" s="7"/>
    </row>
    <row r="117" spans="18:19" x14ac:dyDescent="0.25">
      <c r="R117" s="7"/>
      <c r="S117" s="7"/>
    </row>
    <row r="118" spans="18:19" x14ac:dyDescent="0.25">
      <c r="R118" s="7"/>
      <c r="S118" s="7"/>
    </row>
    <row r="119" spans="18:19" x14ac:dyDescent="0.25">
      <c r="R119" s="7"/>
      <c r="S119" s="7"/>
    </row>
    <row r="120" spans="18:19" x14ac:dyDescent="0.25">
      <c r="R120" s="7"/>
      <c r="S120" s="7"/>
    </row>
    <row r="121" spans="18:19" x14ac:dyDescent="0.25">
      <c r="R121" s="7"/>
      <c r="S121" s="7"/>
    </row>
    <row r="122" spans="18:19" x14ac:dyDescent="0.25">
      <c r="R122" s="7"/>
      <c r="S122" s="7"/>
    </row>
    <row r="123" spans="18:19" x14ac:dyDescent="0.25">
      <c r="R123" s="7"/>
      <c r="S123" s="7"/>
    </row>
    <row r="124" spans="18:19" x14ac:dyDescent="0.25">
      <c r="R124" s="7"/>
      <c r="S124" s="7"/>
    </row>
    <row r="125" spans="18:19" x14ac:dyDescent="0.25">
      <c r="R125" s="7"/>
      <c r="S125" s="7"/>
    </row>
    <row r="126" spans="18:19" x14ac:dyDescent="0.25">
      <c r="R126" s="7"/>
      <c r="S126" s="7"/>
    </row>
    <row r="127" spans="18:19" x14ac:dyDescent="0.25">
      <c r="R127" s="7"/>
      <c r="S127" s="7"/>
    </row>
    <row r="128" spans="18:19" x14ac:dyDescent="0.25">
      <c r="R128" s="7"/>
      <c r="S128" s="7"/>
    </row>
    <row r="129" spans="18:19" x14ac:dyDescent="0.25">
      <c r="R129" s="7"/>
      <c r="S129" s="7"/>
    </row>
    <row r="130" spans="18:19" x14ac:dyDescent="0.25">
      <c r="R130" s="7"/>
      <c r="S130" s="7"/>
    </row>
    <row r="131" spans="18:19" x14ac:dyDescent="0.25">
      <c r="R131" s="7"/>
      <c r="S131" s="7"/>
    </row>
    <row r="132" spans="18:19" x14ac:dyDescent="0.25">
      <c r="R132" s="7"/>
      <c r="S132" s="7"/>
    </row>
    <row r="133" spans="18:19" x14ac:dyDescent="0.25">
      <c r="R133" s="7"/>
      <c r="S133" s="7"/>
    </row>
    <row r="134" spans="18:19" x14ac:dyDescent="0.25">
      <c r="R134" s="7"/>
      <c r="S134" s="7"/>
    </row>
    <row r="135" spans="18:19" x14ac:dyDescent="0.25">
      <c r="R135" s="7"/>
      <c r="S135" s="7"/>
    </row>
    <row r="136" spans="18:19" x14ac:dyDescent="0.25">
      <c r="R136" s="7"/>
      <c r="S136" s="7"/>
    </row>
    <row r="137" spans="18:19" x14ac:dyDescent="0.25">
      <c r="R137" s="7"/>
      <c r="S137" s="7"/>
    </row>
    <row r="138" spans="18:19" x14ac:dyDescent="0.25">
      <c r="R138" s="7"/>
      <c r="S138" s="7"/>
    </row>
    <row r="139" spans="18:19" x14ac:dyDescent="0.25">
      <c r="R139" s="7"/>
      <c r="S139" s="7"/>
    </row>
    <row r="140" spans="18:19" x14ac:dyDescent="0.25">
      <c r="R140" s="7"/>
      <c r="S140" s="7"/>
    </row>
    <row r="141" spans="18:19" x14ac:dyDescent="0.25">
      <c r="R141" s="7"/>
      <c r="S141" s="7"/>
    </row>
    <row r="142" spans="18:19" x14ac:dyDescent="0.25">
      <c r="R142" s="7"/>
      <c r="S142" s="7"/>
    </row>
    <row r="143" spans="18:19" x14ac:dyDescent="0.25">
      <c r="R143" s="7"/>
      <c r="S143" s="7"/>
    </row>
    <row r="144" spans="18:19" x14ac:dyDescent="0.25">
      <c r="R144" s="7"/>
      <c r="S144" s="7"/>
    </row>
    <row r="145" spans="18:19" x14ac:dyDescent="0.25">
      <c r="R145" s="7"/>
      <c r="S145" s="7"/>
    </row>
    <row r="146" spans="18:19" x14ac:dyDescent="0.25">
      <c r="R146" s="7"/>
      <c r="S146" s="7"/>
    </row>
    <row r="147" spans="18:19" x14ac:dyDescent="0.25">
      <c r="R147" s="7"/>
      <c r="S147" s="7"/>
    </row>
    <row r="148" spans="18:19" x14ac:dyDescent="0.25">
      <c r="R148" s="7"/>
      <c r="S148" s="7"/>
    </row>
    <row r="149" spans="18:19" x14ac:dyDescent="0.25">
      <c r="R149" s="7"/>
      <c r="S149" s="7"/>
    </row>
    <row r="150" spans="18:19" x14ac:dyDescent="0.25">
      <c r="R150" s="7"/>
      <c r="S150" s="7"/>
    </row>
    <row r="151" spans="18:19" x14ac:dyDescent="0.25">
      <c r="R151" s="7"/>
      <c r="S151" s="7"/>
    </row>
    <row r="152" spans="18:19" x14ac:dyDescent="0.25">
      <c r="R152" s="7"/>
      <c r="S152" s="7"/>
    </row>
    <row r="153" spans="18:19" x14ac:dyDescent="0.25">
      <c r="R153" s="7"/>
      <c r="S153" s="7"/>
    </row>
    <row r="154" spans="18:19" x14ac:dyDescent="0.25">
      <c r="R154" s="7"/>
      <c r="S154" s="7"/>
    </row>
    <row r="155" spans="18:19" x14ac:dyDescent="0.25">
      <c r="R155" s="7"/>
      <c r="S155" s="7"/>
    </row>
    <row r="156" spans="18:19" x14ac:dyDescent="0.25">
      <c r="R156" s="7"/>
      <c r="S156" s="7"/>
    </row>
    <row r="157" spans="18:19" x14ac:dyDescent="0.25">
      <c r="R157" s="7"/>
      <c r="S157" s="7"/>
    </row>
    <row r="158" spans="18:19" x14ac:dyDescent="0.25">
      <c r="R158" s="7"/>
      <c r="S158" s="7"/>
    </row>
  </sheetData>
  <mergeCells count="1">
    <mergeCell ref="G77:J78"/>
  </mergeCells>
  <pageMargins left="0.45" right="0.45" top="0.5" bottom="0.5" header="0.3" footer="0.3"/>
  <pageSetup scale="70" fitToHeight="2" orientation="landscape" r:id="rId1"/>
  <headerFooter>
    <oddHeader>&amp;R&amp;G</oddHeader>
    <oddFooter>&amp;R&amp;P of &amp;N</oddFooter>
  </headerFooter>
  <rowBreaks count="1" manualBreakCount="1">
    <brk id="41" max="10"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D6BF-F758-4012-9075-1ED79874AADB}">
  <sheetPr>
    <pageSetUpPr fitToPage="1"/>
  </sheetPr>
  <dimension ref="A1:S143"/>
  <sheetViews>
    <sheetView tabSelected="1" topLeftCell="A4" zoomScale="85" zoomScaleNormal="85" workbookViewId="0">
      <selection activeCell="C22" sqref="C22"/>
    </sheetView>
  </sheetViews>
  <sheetFormatPr defaultColWidth="8.85546875" defaultRowHeight="15" x14ac:dyDescent="0.25"/>
  <cols>
    <col min="1" max="1" width="33.85546875" style="3" customWidth="1"/>
    <col min="2" max="2" width="19" style="3" customWidth="1"/>
    <col min="3" max="3" width="17.85546875" style="3" customWidth="1"/>
    <col min="4" max="4" width="11.140625" style="3" customWidth="1"/>
    <col min="5" max="5" width="49.140625" style="3" customWidth="1"/>
    <col min="6" max="6" width="18.42578125" style="3" customWidth="1"/>
    <col min="7" max="7" width="17.85546875" style="3" customWidth="1"/>
    <col min="8" max="8" width="15.85546875" style="3" customWidth="1"/>
    <col min="9" max="9" width="4.5703125" style="120" customWidth="1"/>
    <col min="10" max="10" width="17.140625" style="20" customWidth="1"/>
    <col min="11" max="11" width="16.140625" style="20" customWidth="1"/>
    <col min="12" max="12" width="20.140625" style="20" customWidth="1"/>
    <col min="13" max="13" width="22.140625" style="20" customWidth="1"/>
    <col min="14" max="14" width="15" style="20" customWidth="1"/>
    <col min="15" max="15" width="16.85546875" style="20" customWidth="1"/>
    <col min="16" max="16" width="14.140625" style="3" customWidth="1"/>
    <col min="17" max="17" width="11.5703125" style="3" customWidth="1"/>
    <col min="18" max="18" width="17.140625" style="3" customWidth="1"/>
    <col min="19" max="19" width="14.5703125" style="3" customWidth="1"/>
    <col min="20" max="20" width="13.85546875" style="3" bestFit="1" customWidth="1"/>
    <col min="21" max="21" width="14.140625" style="3" bestFit="1" customWidth="1"/>
    <col min="22" max="22" width="13.5703125" style="3" customWidth="1"/>
    <col min="23" max="23" width="10.7109375" style="3" customWidth="1"/>
    <col min="24" max="16384" width="8.85546875" style="3"/>
  </cols>
  <sheetData>
    <row r="1" spans="1:17" ht="31.5" x14ac:dyDescent="0.5">
      <c r="A1" s="1" t="s">
        <v>214</v>
      </c>
      <c r="B1" s="1"/>
      <c r="C1" s="2"/>
      <c r="D1" s="1"/>
      <c r="E1" s="4"/>
      <c r="F1" s="5"/>
      <c r="G1" s="5"/>
      <c r="H1" s="6"/>
      <c r="J1" s="182" t="s">
        <v>67</v>
      </c>
      <c r="M1" s="7"/>
      <c r="N1" s="7"/>
      <c r="O1" s="126" t="s">
        <v>111</v>
      </c>
      <c r="P1" s="7"/>
      <c r="Q1" s="7"/>
    </row>
    <row r="2" spans="1:17" x14ac:dyDescent="0.25">
      <c r="A2" s="155" t="s">
        <v>215</v>
      </c>
      <c r="B2" s="155" t="s">
        <v>216</v>
      </c>
      <c r="H2" s="6"/>
      <c r="J2" s="101" t="s">
        <v>85</v>
      </c>
      <c r="K2" s="101" t="s">
        <v>86</v>
      </c>
      <c r="M2" s="7"/>
      <c r="N2" s="7"/>
      <c r="O2" s="7"/>
      <c r="P2" s="7"/>
      <c r="Q2" s="7"/>
    </row>
    <row r="3" spans="1:17" x14ac:dyDescent="0.25">
      <c r="A3" s="8"/>
      <c r="H3" s="6"/>
      <c r="J3" s="101"/>
      <c r="K3" s="101"/>
      <c r="M3" s="7"/>
      <c r="N3" s="7"/>
      <c r="O3" s="7"/>
      <c r="P3" s="7"/>
      <c r="Q3" s="7"/>
    </row>
    <row r="4" spans="1:17" ht="28.5" x14ac:dyDescent="0.45">
      <c r="A4" s="9" t="s">
        <v>2</v>
      </c>
      <c r="F4" s="10"/>
      <c r="H4" s="6"/>
      <c r="J4" s="107" t="s">
        <v>84</v>
      </c>
      <c r="K4" s="108" t="s">
        <v>112</v>
      </c>
      <c r="L4" s="7"/>
      <c r="M4" s="7"/>
      <c r="N4" s="7"/>
      <c r="O4" s="7"/>
      <c r="P4" s="7"/>
      <c r="Q4" s="7"/>
    </row>
    <row r="5" spans="1:17" ht="18.75" x14ac:dyDescent="0.3">
      <c r="A5" s="12" t="s">
        <v>4</v>
      </c>
      <c r="B5" s="13"/>
      <c r="C5" s="12"/>
      <c r="D5" s="14"/>
      <c r="E5" s="15"/>
      <c r="F5" s="12"/>
      <c r="H5" s="6"/>
      <c r="L5" s="7"/>
      <c r="M5" s="7"/>
      <c r="N5" s="7"/>
      <c r="O5" s="7"/>
      <c r="P5" s="7"/>
      <c r="Q5" s="7"/>
    </row>
    <row r="6" spans="1:17" ht="18.75" x14ac:dyDescent="0.3">
      <c r="A6" s="177" t="s">
        <v>227</v>
      </c>
      <c r="C6" s="12"/>
      <c r="D6" s="15"/>
      <c r="E6" s="15"/>
      <c r="H6" s="6"/>
      <c r="P6" s="7"/>
      <c r="Q6" s="7"/>
    </row>
    <row r="7" spans="1:17" x14ac:dyDescent="0.25">
      <c r="A7" s="15"/>
      <c r="D7" s="15"/>
      <c r="E7" s="15"/>
      <c r="H7" s="6"/>
      <c r="M7" s="7"/>
      <c r="N7" s="7"/>
      <c r="O7" s="7"/>
      <c r="P7" s="7"/>
      <c r="Q7" s="7"/>
    </row>
    <row r="8" spans="1:17" ht="28.5" x14ac:dyDescent="0.45">
      <c r="A8" s="160" t="s">
        <v>114</v>
      </c>
      <c r="E8" s="23"/>
      <c r="F8" s="23"/>
      <c r="G8" s="23"/>
      <c r="H8" s="23"/>
      <c r="I8" s="126"/>
      <c r="J8" s="104" t="s">
        <v>102</v>
      </c>
      <c r="K8" s="7"/>
      <c r="L8" s="7"/>
      <c r="M8" s="7"/>
      <c r="N8" s="7"/>
      <c r="O8" s="7"/>
      <c r="P8" s="7"/>
      <c r="Q8" s="7"/>
    </row>
    <row r="9" spans="1:17" ht="15.75" x14ac:dyDescent="0.25">
      <c r="A9" s="150" t="s">
        <v>73</v>
      </c>
      <c r="B9" s="150" t="s">
        <v>115</v>
      </c>
      <c r="C9" s="150" t="s">
        <v>117</v>
      </c>
      <c r="D9" s="150" t="s">
        <v>121</v>
      </c>
      <c r="E9" s="23"/>
      <c r="F9" s="23"/>
      <c r="G9" s="23"/>
      <c r="H9" s="23"/>
      <c r="I9" s="126"/>
      <c r="J9" s="37" t="s">
        <v>71</v>
      </c>
      <c r="K9" s="105" t="s">
        <v>72</v>
      </c>
      <c r="L9" s="105" t="s">
        <v>73</v>
      </c>
      <c r="M9" s="37" t="s">
        <v>75</v>
      </c>
      <c r="N9" s="37" t="s">
        <v>82</v>
      </c>
      <c r="P9" s="7"/>
      <c r="Q9" s="7"/>
    </row>
    <row r="10" spans="1:17" x14ac:dyDescent="0.25">
      <c r="A10" s="24" t="s">
        <v>217</v>
      </c>
      <c r="B10" s="152">
        <f>SUMIF($A$27:$A$39,A10,'Special Project SOW &amp; Est'!$G$27:$G$39)</f>
        <v>16</v>
      </c>
      <c r="C10" s="149">
        <f>SUMIF($A$27:$A$39,A10,'Special Project SOW &amp; Est'!$H$27:$H$39)</f>
        <v>1060</v>
      </c>
      <c r="D10" s="186"/>
      <c r="E10" s="186"/>
      <c r="F10" s="186"/>
      <c r="G10" s="186"/>
      <c r="H10" s="186"/>
      <c r="I10" s="126"/>
      <c r="J10" s="101" t="s">
        <v>74</v>
      </c>
      <c r="K10" s="102">
        <v>40</v>
      </c>
      <c r="L10" s="101" t="s">
        <v>74</v>
      </c>
      <c r="M10" s="101" t="s">
        <v>74</v>
      </c>
      <c r="N10" s="102">
        <v>16</v>
      </c>
      <c r="P10" s="7"/>
      <c r="Q10" s="7"/>
    </row>
    <row r="11" spans="1:17" x14ac:dyDescent="0.25">
      <c r="A11" s="24" t="s">
        <v>222</v>
      </c>
      <c r="B11" s="152">
        <f>SUMIF($A$27:$A$39,A11,'Special Project SOW &amp; Est'!$G$27:$G$39)</f>
        <v>4</v>
      </c>
      <c r="C11" s="149">
        <f>SUMIF($A$27:$A$39,A11,'Special Project SOW &amp; Est'!$H$27:$H$39)</f>
        <v>484</v>
      </c>
      <c r="D11" s="186"/>
      <c r="E11" s="186"/>
      <c r="F11" s="186"/>
      <c r="G11" s="186"/>
      <c r="H11" s="186"/>
      <c r="I11" s="126"/>
      <c r="J11" s="7" t="s">
        <v>0</v>
      </c>
      <c r="K11" s="103">
        <v>45</v>
      </c>
      <c r="L11" s="101" t="s">
        <v>76</v>
      </c>
      <c r="M11" s="101" t="s">
        <v>76</v>
      </c>
      <c r="N11" s="103">
        <v>18</v>
      </c>
      <c r="P11" s="7"/>
      <c r="Q11" s="7"/>
    </row>
    <row r="12" spans="1:17" x14ac:dyDescent="0.25">
      <c r="A12" s="24" t="s">
        <v>218</v>
      </c>
      <c r="B12" s="152">
        <f>SUMIF($A$27:$A$39,A12,'Special Project SOW &amp; Est'!$G$27:$G$39)</f>
        <v>16</v>
      </c>
      <c r="C12" s="149">
        <f>SUMIF($A$27:$A$39,A12,'Special Project SOW &amp; Est'!$H$27:$H$39)</f>
        <v>1060</v>
      </c>
      <c r="D12" s="186"/>
      <c r="E12" s="186"/>
      <c r="F12" s="186"/>
      <c r="G12" s="186"/>
      <c r="H12" s="186"/>
      <c r="I12" s="126"/>
      <c r="J12" s="7" t="s">
        <v>51</v>
      </c>
      <c r="K12" s="103">
        <v>65</v>
      </c>
      <c r="L12" s="101" t="s">
        <v>77</v>
      </c>
      <c r="M12" s="101" t="s">
        <v>77</v>
      </c>
      <c r="N12" s="103">
        <v>20</v>
      </c>
      <c r="P12" s="7"/>
      <c r="Q12" s="7"/>
    </row>
    <row r="13" spans="1:17" x14ac:dyDescent="0.25">
      <c r="A13" s="24" t="s">
        <v>223</v>
      </c>
      <c r="B13" s="152">
        <f>SUMIF($A$27:$A$39,A13,'Special Project SOW &amp; Est'!$G$27:$G$39)</f>
        <v>4</v>
      </c>
      <c r="C13" s="149">
        <f>SUMIF($A$27:$A$39,A13,'Special Project SOW &amp; Est'!$H$27:$H$39)</f>
        <v>484</v>
      </c>
      <c r="D13" s="186"/>
      <c r="E13" s="186"/>
      <c r="F13" s="186"/>
      <c r="G13" s="186"/>
      <c r="H13" s="186"/>
      <c r="I13" s="126"/>
      <c r="J13" s="7" t="s">
        <v>90</v>
      </c>
      <c r="K13" s="103">
        <v>70</v>
      </c>
      <c r="L13" s="101" t="s">
        <v>91</v>
      </c>
      <c r="M13" s="101" t="s">
        <v>91</v>
      </c>
      <c r="N13" s="103">
        <v>0</v>
      </c>
      <c r="O13" s="101" t="s">
        <v>103</v>
      </c>
      <c r="P13" s="7"/>
      <c r="Q13" s="7"/>
    </row>
    <row r="14" spans="1:17" x14ac:dyDescent="0.25">
      <c r="A14" s="24" t="s">
        <v>219</v>
      </c>
      <c r="B14" s="152">
        <f>SUMIF($A$27:$A$39,A14,'Special Project SOW &amp; Est'!$G$27:$G$39)</f>
        <v>3</v>
      </c>
      <c r="C14" s="149">
        <f>SUMIF($A$27:$A$39,A14,'Special Project SOW &amp; Est'!$H$27:$H$39)</f>
        <v>363</v>
      </c>
      <c r="D14" s="186"/>
      <c r="E14" s="186"/>
      <c r="F14" s="186"/>
      <c r="G14" s="186"/>
      <c r="H14" s="186"/>
      <c r="I14" s="126"/>
      <c r="J14" s="7" t="s">
        <v>1</v>
      </c>
      <c r="K14" s="103">
        <v>121</v>
      </c>
      <c r="L14" s="101" t="s">
        <v>78</v>
      </c>
      <c r="M14" s="101" t="s">
        <v>78</v>
      </c>
      <c r="N14" s="103">
        <v>25</v>
      </c>
      <c r="P14" s="7"/>
      <c r="Q14" s="7"/>
    </row>
    <row r="15" spans="1:17" x14ac:dyDescent="0.25">
      <c r="A15" s="24" t="s">
        <v>120</v>
      </c>
      <c r="B15" s="152">
        <f>SUMIF($A$27:$A$39,A15,'Special Project SOW &amp; Est'!$G$27:$G$39)</f>
        <v>0</v>
      </c>
      <c r="C15" s="149">
        <f>SUMIF($A$27:$A$39,A15,'Special Project SOW &amp; Est'!$H$27:$H$39)</f>
        <v>0</v>
      </c>
      <c r="D15" s="186"/>
      <c r="E15" s="186"/>
      <c r="F15" s="186"/>
      <c r="G15" s="186"/>
      <c r="H15" s="186"/>
      <c r="I15" s="126"/>
      <c r="J15" s="7" t="s">
        <v>3</v>
      </c>
      <c r="K15" s="103">
        <v>135</v>
      </c>
      <c r="L15" s="101" t="s">
        <v>79</v>
      </c>
      <c r="M15" s="101" t="s">
        <v>79</v>
      </c>
      <c r="N15" s="103">
        <v>30</v>
      </c>
      <c r="P15" s="7"/>
      <c r="Q15" s="7"/>
    </row>
    <row r="16" spans="1:17" x14ac:dyDescent="0.25">
      <c r="A16" s="24" t="s">
        <v>120</v>
      </c>
      <c r="B16" s="152">
        <f>SUMIF($A$27:$A$39,A16,'Special Project SOW &amp; Est'!$G$27:$G$39)</f>
        <v>0</v>
      </c>
      <c r="C16" s="149">
        <f>SUMIF($A$27:$A$39,A16,'Special Project SOW &amp; Est'!$H$27:$H$39)</f>
        <v>0</v>
      </c>
      <c r="D16" s="186"/>
      <c r="E16" s="186"/>
      <c r="F16" s="186"/>
      <c r="G16" s="186"/>
      <c r="H16" s="186"/>
      <c r="I16" s="126"/>
      <c r="J16" s="101" t="s">
        <v>81</v>
      </c>
      <c r="K16" s="103">
        <v>150</v>
      </c>
      <c r="L16" s="101" t="s">
        <v>80</v>
      </c>
      <c r="M16" s="101" t="s">
        <v>80</v>
      </c>
      <c r="N16" s="103">
        <v>0</v>
      </c>
      <c r="O16" s="101" t="s">
        <v>103</v>
      </c>
      <c r="P16" s="7"/>
      <c r="Q16" s="7"/>
    </row>
    <row r="17" spans="1:17" x14ac:dyDescent="0.25">
      <c r="A17" s="21" t="s">
        <v>134</v>
      </c>
      <c r="B17" s="154">
        <f>SUM(B10:B16)</f>
        <v>43</v>
      </c>
      <c r="C17" s="153">
        <f>SUM(C10:C16)</f>
        <v>3451</v>
      </c>
      <c r="D17" s="186"/>
      <c r="E17" s="186"/>
      <c r="F17" s="186"/>
      <c r="G17" s="186"/>
      <c r="H17" s="186"/>
      <c r="I17" s="126"/>
      <c r="P17" s="7"/>
      <c r="Q17" s="7"/>
    </row>
    <row r="18" spans="1:17" x14ac:dyDescent="0.25">
      <c r="A18" s="24" t="s">
        <v>133</v>
      </c>
      <c r="B18" s="176">
        <v>0.15</v>
      </c>
      <c r="C18" s="163">
        <f>+C17*-B18</f>
        <v>-517.65</v>
      </c>
      <c r="D18" s="192" t="s">
        <v>224</v>
      </c>
      <c r="E18" s="186"/>
      <c r="F18" s="186"/>
      <c r="G18" s="186"/>
      <c r="H18" s="186"/>
      <c r="P18" s="7"/>
      <c r="Q18" s="7"/>
    </row>
    <row r="19" spans="1:17" ht="15.75" x14ac:dyDescent="0.25">
      <c r="A19" s="21" t="s">
        <v>98</v>
      </c>
      <c r="C19" s="153">
        <f>SUM(C17:C18)</f>
        <v>2933.35</v>
      </c>
      <c r="D19" s="186"/>
      <c r="E19" s="186"/>
      <c r="F19" s="186"/>
      <c r="G19" s="186"/>
      <c r="H19" s="186"/>
      <c r="J19" s="104" t="s">
        <v>127</v>
      </c>
      <c r="P19" s="7"/>
      <c r="Q19" s="7"/>
    </row>
    <row r="20" spans="1:17" ht="18.75" x14ac:dyDescent="0.3">
      <c r="A20" s="193" t="s">
        <v>228</v>
      </c>
      <c r="B20" s="194"/>
      <c r="C20" s="195">
        <v>3000</v>
      </c>
      <c r="D20" s="194" t="s">
        <v>225</v>
      </c>
      <c r="I20" s="151"/>
      <c r="J20" s="37" t="s">
        <v>71</v>
      </c>
      <c r="K20" s="37" t="s">
        <v>94</v>
      </c>
      <c r="L20" s="37" t="s">
        <v>95</v>
      </c>
      <c r="M20" s="37" t="s">
        <v>96</v>
      </c>
      <c r="N20" s="37" t="s">
        <v>97</v>
      </c>
      <c r="O20" s="37" t="s">
        <v>98</v>
      </c>
      <c r="P20" s="115" t="s">
        <v>104</v>
      </c>
      <c r="Q20" s="37" t="s">
        <v>201</v>
      </c>
    </row>
    <row r="21" spans="1:17" ht="18.75" x14ac:dyDescent="0.3">
      <c r="I21" s="151"/>
      <c r="J21" s="101" t="s">
        <v>74</v>
      </c>
      <c r="K21" s="161">
        <f t="shared" ref="K21:K27" si="0">(SUMIF($F$27:$F$40,J21,$G$27:$G$40))</f>
        <v>0</v>
      </c>
      <c r="L21" s="121">
        <f t="shared" ref="L21:L27" si="1">+K21/$K$28</f>
        <v>0</v>
      </c>
      <c r="M21" s="122">
        <f t="shared" ref="M21:M27" si="2">+K21*K10</f>
        <v>0</v>
      </c>
      <c r="N21" s="121">
        <f t="shared" ref="N21:N27" si="3">+M21/$M$28</f>
        <v>0</v>
      </c>
      <c r="O21" s="122">
        <f>$C$19*N21</f>
        <v>0</v>
      </c>
      <c r="P21" s="116">
        <f t="shared" ref="P21:P27" si="4">IF(K21&gt;0,+O21/K21,0)</f>
        <v>0</v>
      </c>
      <c r="Q21" s="7" t="s">
        <v>74</v>
      </c>
    </row>
    <row r="22" spans="1:17" ht="18.75" x14ac:dyDescent="0.3">
      <c r="C22" s="149">
        <f>+C20*D22</f>
        <v>1500</v>
      </c>
      <c r="D22" s="180">
        <v>0.5</v>
      </c>
      <c r="E22" s="21" t="s">
        <v>122</v>
      </c>
      <c r="I22" s="151"/>
      <c r="J22" s="7" t="s">
        <v>0</v>
      </c>
      <c r="K22" s="161">
        <f t="shared" si="0"/>
        <v>0</v>
      </c>
      <c r="L22" s="121">
        <f t="shared" si="1"/>
        <v>0</v>
      </c>
      <c r="M22" s="122">
        <f t="shared" si="2"/>
        <v>0</v>
      </c>
      <c r="N22" s="121">
        <f t="shared" si="3"/>
        <v>0</v>
      </c>
      <c r="O22" s="122">
        <f t="shared" ref="O22:O27" si="5">$C$19*N22</f>
        <v>0</v>
      </c>
      <c r="P22" s="116">
        <f t="shared" si="4"/>
        <v>0</v>
      </c>
      <c r="Q22" s="7" t="s">
        <v>90</v>
      </c>
    </row>
    <row r="23" spans="1:17" ht="18.75" x14ac:dyDescent="0.3">
      <c r="C23" s="149">
        <f>+C20-C22</f>
        <v>1500</v>
      </c>
      <c r="E23" s="21" t="s">
        <v>123</v>
      </c>
      <c r="I23" s="151"/>
      <c r="J23" s="7" t="s">
        <v>51</v>
      </c>
      <c r="K23" s="161">
        <f t="shared" si="0"/>
        <v>24</v>
      </c>
      <c r="L23" s="121">
        <f t="shared" si="1"/>
        <v>0.55813953488372092</v>
      </c>
      <c r="M23" s="122">
        <f t="shared" si="2"/>
        <v>1560</v>
      </c>
      <c r="N23" s="121">
        <f t="shared" si="3"/>
        <v>0.45204288611996524</v>
      </c>
      <c r="O23" s="122">
        <f t="shared" si="5"/>
        <v>1326</v>
      </c>
      <c r="P23" s="116">
        <f t="shared" si="4"/>
        <v>55.25</v>
      </c>
      <c r="Q23" s="7" t="s">
        <v>90</v>
      </c>
    </row>
    <row r="24" spans="1:17" ht="19.5" thickBot="1" x14ac:dyDescent="0.35">
      <c r="I24" s="151"/>
      <c r="J24" s="7" t="s">
        <v>90</v>
      </c>
      <c r="K24" s="161">
        <f t="shared" si="0"/>
        <v>8</v>
      </c>
      <c r="L24" s="121">
        <f t="shared" si="1"/>
        <v>0.18604651162790697</v>
      </c>
      <c r="M24" s="122">
        <f t="shared" si="2"/>
        <v>560</v>
      </c>
      <c r="N24" s="121">
        <f t="shared" si="3"/>
        <v>0.16227180527383367</v>
      </c>
      <c r="O24" s="122">
        <f t="shared" si="5"/>
        <v>476</v>
      </c>
      <c r="P24" s="116">
        <f t="shared" si="4"/>
        <v>59.5</v>
      </c>
      <c r="Q24" s="7" t="s">
        <v>90</v>
      </c>
    </row>
    <row r="25" spans="1:17" ht="24" thickBot="1" x14ac:dyDescent="0.4">
      <c r="A25" s="81" t="s">
        <v>35</v>
      </c>
      <c r="B25" s="82"/>
      <c r="C25" s="82"/>
      <c r="D25" s="82"/>
      <c r="E25" s="82"/>
      <c r="F25" s="82"/>
      <c r="G25" s="82"/>
      <c r="H25" s="83"/>
      <c r="I25" s="151"/>
      <c r="J25" s="7" t="s">
        <v>1</v>
      </c>
      <c r="K25" s="161">
        <f t="shared" si="0"/>
        <v>11</v>
      </c>
      <c r="L25" s="121">
        <f t="shared" si="1"/>
        <v>0.2558139534883721</v>
      </c>
      <c r="M25" s="122">
        <f t="shared" si="2"/>
        <v>1331</v>
      </c>
      <c r="N25" s="121">
        <f t="shared" si="3"/>
        <v>0.38568530860620109</v>
      </c>
      <c r="O25" s="122">
        <f t="shared" si="5"/>
        <v>1131.3499999999999</v>
      </c>
      <c r="P25" s="116">
        <f t="shared" si="4"/>
        <v>102.85</v>
      </c>
      <c r="Q25" s="7" t="s">
        <v>202</v>
      </c>
    </row>
    <row r="26" spans="1:17" ht="18.75" x14ac:dyDescent="0.3">
      <c r="A26" s="86" t="s">
        <v>53</v>
      </c>
      <c r="B26" s="86" t="s">
        <v>119</v>
      </c>
      <c r="C26" s="86"/>
      <c r="D26" s="86"/>
      <c r="E26" s="86"/>
      <c r="F26" s="85" t="s">
        <v>118</v>
      </c>
      <c r="G26" s="85" t="s">
        <v>113</v>
      </c>
      <c r="H26" s="85" t="s">
        <v>29</v>
      </c>
      <c r="I26" s="151"/>
      <c r="J26" s="7" t="s">
        <v>3</v>
      </c>
      <c r="K26" s="161">
        <f t="shared" si="0"/>
        <v>0</v>
      </c>
      <c r="L26" s="121">
        <f t="shared" si="1"/>
        <v>0</v>
      </c>
      <c r="M26" s="122">
        <f t="shared" si="2"/>
        <v>0</v>
      </c>
      <c r="N26" s="121">
        <f t="shared" si="3"/>
        <v>0</v>
      </c>
      <c r="O26" s="122">
        <f t="shared" si="5"/>
        <v>0</v>
      </c>
      <c r="P26" s="116">
        <f t="shared" si="4"/>
        <v>0</v>
      </c>
      <c r="Q26" s="7" t="s">
        <v>202</v>
      </c>
    </row>
    <row r="27" spans="1:17" ht="18.75" x14ac:dyDescent="0.3">
      <c r="A27" s="24" t="s">
        <v>217</v>
      </c>
      <c r="B27" s="191" t="s">
        <v>220</v>
      </c>
      <c r="C27" s="184"/>
      <c r="D27" s="184"/>
      <c r="E27" s="185"/>
      <c r="F27" s="174" t="s">
        <v>51</v>
      </c>
      <c r="G27" s="175">
        <v>12</v>
      </c>
      <c r="H27" s="173">
        <f t="shared" ref="H27:H39" si="6">IF(F27="Admin",$K$10*G27,IF(F27="BK",$K$11*G27,IF(F27="BK2",$K$12*G27,IF(F27="Acct",$K$13*G27,IF(F27="CPA1",$K$14*G27,IF(F27="CPA2",$K$15*G27,IF(F27="CPA3",$K$16*G27,"")))))))</f>
        <v>780</v>
      </c>
      <c r="I27" s="151"/>
      <c r="J27" s="101" t="s">
        <v>81</v>
      </c>
      <c r="K27" s="161">
        <f t="shared" si="0"/>
        <v>0</v>
      </c>
      <c r="L27" s="121">
        <f t="shared" si="1"/>
        <v>0</v>
      </c>
      <c r="M27" s="122">
        <f t="shared" si="2"/>
        <v>0</v>
      </c>
      <c r="N27" s="121">
        <f t="shared" si="3"/>
        <v>0</v>
      </c>
      <c r="O27" s="122">
        <f t="shared" si="5"/>
        <v>0</v>
      </c>
      <c r="P27" s="116">
        <f t="shared" si="4"/>
        <v>0</v>
      </c>
      <c r="Q27" s="7" t="s">
        <v>202</v>
      </c>
    </row>
    <row r="28" spans="1:17" ht="18.75" x14ac:dyDescent="0.3">
      <c r="A28" s="24" t="s">
        <v>217</v>
      </c>
      <c r="B28" s="191" t="s">
        <v>221</v>
      </c>
      <c r="C28" s="184"/>
      <c r="D28" s="184"/>
      <c r="E28" s="185"/>
      <c r="F28" s="174" t="s">
        <v>90</v>
      </c>
      <c r="G28" s="175">
        <v>4</v>
      </c>
      <c r="H28" s="173">
        <f t="shared" si="6"/>
        <v>280</v>
      </c>
      <c r="I28" s="151"/>
      <c r="J28" s="110" t="s">
        <v>93</v>
      </c>
      <c r="K28" s="164">
        <f>SUM(K21:K27)</f>
        <v>43</v>
      </c>
      <c r="L28" s="124">
        <f>SUM(L21:L27)</f>
        <v>1</v>
      </c>
      <c r="M28" s="125">
        <f>SUM(M21:M27)</f>
        <v>3451</v>
      </c>
      <c r="N28" s="124">
        <f>SUM(N21:N27)</f>
        <v>1</v>
      </c>
      <c r="O28" s="125">
        <f>SUM(O21:O27)</f>
        <v>2933.35</v>
      </c>
      <c r="P28" s="117"/>
      <c r="Q28" s="7"/>
    </row>
    <row r="29" spans="1:17" x14ac:dyDescent="0.25">
      <c r="A29" s="24" t="s">
        <v>218</v>
      </c>
      <c r="B29" s="191" t="s">
        <v>220</v>
      </c>
      <c r="C29" s="184"/>
      <c r="D29" s="184"/>
      <c r="E29" s="185"/>
      <c r="F29" s="174" t="s">
        <v>51</v>
      </c>
      <c r="G29" s="175">
        <v>12</v>
      </c>
      <c r="H29" s="173">
        <f t="shared" si="6"/>
        <v>780</v>
      </c>
      <c r="I29" s="151"/>
      <c r="P29" s="7"/>
      <c r="Q29" s="7"/>
    </row>
    <row r="30" spans="1:17" x14ac:dyDescent="0.25">
      <c r="A30" s="24" t="s">
        <v>218</v>
      </c>
      <c r="B30" s="191" t="s">
        <v>221</v>
      </c>
      <c r="C30" s="184"/>
      <c r="D30" s="184"/>
      <c r="E30" s="185"/>
      <c r="F30" s="174" t="s">
        <v>90</v>
      </c>
      <c r="G30" s="175">
        <v>4</v>
      </c>
      <c r="H30" s="173">
        <f t="shared" si="6"/>
        <v>280</v>
      </c>
      <c r="I30" s="151"/>
      <c r="L30" s="56"/>
      <c r="P30" s="7"/>
      <c r="Q30" s="7"/>
    </row>
    <row r="31" spans="1:17" ht="15.75" x14ac:dyDescent="0.25">
      <c r="A31" s="24" t="s">
        <v>222</v>
      </c>
      <c r="B31" s="191" t="s">
        <v>226</v>
      </c>
      <c r="C31" s="184"/>
      <c r="D31" s="184"/>
      <c r="E31" s="185"/>
      <c r="F31" s="174" t="s">
        <v>1</v>
      </c>
      <c r="G31" s="175">
        <v>4</v>
      </c>
      <c r="H31" s="173">
        <f t="shared" si="6"/>
        <v>484</v>
      </c>
      <c r="I31" s="151"/>
      <c r="J31" s="104" t="s">
        <v>107</v>
      </c>
      <c r="P31" s="7"/>
      <c r="Q31" s="7"/>
    </row>
    <row r="32" spans="1:17" x14ac:dyDescent="0.25">
      <c r="A32" s="24" t="s">
        <v>223</v>
      </c>
      <c r="B32" s="191" t="s">
        <v>226</v>
      </c>
      <c r="C32" s="184"/>
      <c r="D32" s="184"/>
      <c r="E32" s="185"/>
      <c r="F32" s="174" t="s">
        <v>1</v>
      </c>
      <c r="G32" s="175">
        <v>4</v>
      </c>
      <c r="H32" s="173">
        <f t="shared" si="6"/>
        <v>484</v>
      </c>
      <c r="I32" s="151"/>
      <c r="J32" s="37" t="s">
        <v>71</v>
      </c>
      <c r="K32" s="37" t="s">
        <v>98</v>
      </c>
      <c r="L32" s="37" t="s">
        <v>212</v>
      </c>
      <c r="M32" s="37" t="s">
        <v>213</v>
      </c>
      <c r="N32" s="37" t="s">
        <v>101</v>
      </c>
      <c r="O32" s="37" t="s">
        <v>108</v>
      </c>
      <c r="P32" s="37" t="s">
        <v>109</v>
      </c>
      <c r="Q32" s="37" t="s">
        <v>201</v>
      </c>
    </row>
    <row r="33" spans="1:19" ht="18.75" x14ac:dyDescent="0.3">
      <c r="A33" s="24" t="s">
        <v>219</v>
      </c>
      <c r="B33" s="191" t="s">
        <v>226</v>
      </c>
      <c r="C33" s="184"/>
      <c r="D33" s="184"/>
      <c r="E33" s="185"/>
      <c r="F33" s="174" t="s">
        <v>1</v>
      </c>
      <c r="G33" s="175">
        <v>3</v>
      </c>
      <c r="H33" s="173">
        <f t="shared" si="6"/>
        <v>363</v>
      </c>
      <c r="I33" s="151"/>
      <c r="J33" s="101" t="s">
        <v>74</v>
      </c>
      <c r="K33" s="113">
        <f t="shared" ref="K33:K39" si="7">+O21</f>
        <v>0</v>
      </c>
      <c r="L33" s="113">
        <f t="shared" ref="L33:L39" si="8">+K21*N10</f>
        <v>0</v>
      </c>
      <c r="M33" s="116">
        <f>+K33-L33</f>
        <v>0</v>
      </c>
      <c r="N33" s="118" t="str">
        <f t="shared" ref="N33:N39" si="9">IF(M33&gt;0,M33/K33,"-")</f>
        <v>-</v>
      </c>
      <c r="O33" s="111">
        <v>0.38</v>
      </c>
      <c r="P33" s="118" t="str">
        <f t="shared" ref="P33:P39" si="10">IF(M33&gt;0,N33-O33,"-")</f>
        <v>-</v>
      </c>
      <c r="Q33" s="7" t="s">
        <v>74</v>
      </c>
      <c r="S33" s="8"/>
    </row>
    <row r="34" spans="1:19" ht="18.75" x14ac:dyDescent="0.3">
      <c r="A34" s="132" t="s">
        <v>120</v>
      </c>
      <c r="B34" s="184"/>
      <c r="C34" s="184"/>
      <c r="D34" s="184"/>
      <c r="E34" s="185"/>
      <c r="F34" s="174"/>
      <c r="G34" s="175"/>
      <c r="H34" s="173" t="str">
        <f t="shared" si="6"/>
        <v/>
      </c>
      <c r="I34" s="151"/>
      <c r="J34" s="7" t="s">
        <v>0</v>
      </c>
      <c r="K34" s="113">
        <f t="shared" si="7"/>
        <v>0</v>
      </c>
      <c r="L34" s="113">
        <f t="shared" si="8"/>
        <v>0</v>
      </c>
      <c r="M34" s="116">
        <f t="shared" ref="M34:M39" si="11">+K34-L34</f>
        <v>0</v>
      </c>
      <c r="N34" s="118" t="str">
        <f t="shared" si="9"/>
        <v>-</v>
      </c>
      <c r="O34" s="111">
        <v>0.38</v>
      </c>
      <c r="P34" s="118" t="str">
        <f t="shared" si="10"/>
        <v>-</v>
      </c>
      <c r="Q34" s="7" t="s">
        <v>90</v>
      </c>
      <c r="S34" s="99"/>
    </row>
    <row r="35" spans="1:19" ht="18.75" x14ac:dyDescent="0.3">
      <c r="A35" s="132" t="s">
        <v>120</v>
      </c>
      <c r="B35" s="184"/>
      <c r="C35" s="184"/>
      <c r="D35" s="184"/>
      <c r="E35" s="185"/>
      <c r="F35" s="174"/>
      <c r="G35" s="175"/>
      <c r="H35" s="173" t="str">
        <f t="shared" si="6"/>
        <v/>
      </c>
      <c r="I35" s="151"/>
      <c r="J35" s="7" t="s">
        <v>51</v>
      </c>
      <c r="K35" s="113">
        <f t="shared" si="7"/>
        <v>1326</v>
      </c>
      <c r="L35" s="113">
        <f t="shared" si="8"/>
        <v>480</v>
      </c>
      <c r="M35" s="116">
        <f t="shared" si="11"/>
        <v>846</v>
      </c>
      <c r="N35" s="118">
        <f t="shared" si="9"/>
        <v>0.63800904977375561</v>
      </c>
      <c r="O35" s="111">
        <v>0.38</v>
      </c>
      <c r="P35" s="118">
        <f t="shared" si="10"/>
        <v>0.25800904977375561</v>
      </c>
      <c r="Q35" s="7" t="s">
        <v>90</v>
      </c>
      <c r="S35" s="97"/>
    </row>
    <row r="36" spans="1:19" ht="18.75" x14ac:dyDescent="0.3">
      <c r="A36" s="132" t="s">
        <v>120</v>
      </c>
      <c r="B36" s="184"/>
      <c r="C36" s="184"/>
      <c r="D36" s="184"/>
      <c r="E36" s="185"/>
      <c r="F36" s="174"/>
      <c r="G36" s="175"/>
      <c r="H36" s="173" t="str">
        <f t="shared" si="6"/>
        <v/>
      </c>
      <c r="I36" s="151"/>
      <c r="J36" s="7" t="s">
        <v>90</v>
      </c>
      <c r="K36" s="113">
        <f t="shared" si="7"/>
        <v>476</v>
      </c>
      <c r="L36" s="113">
        <f t="shared" si="8"/>
        <v>0</v>
      </c>
      <c r="M36" s="116">
        <f t="shared" si="11"/>
        <v>476</v>
      </c>
      <c r="N36" s="118">
        <f t="shared" si="9"/>
        <v>1</v>
      </c>
      <c r="O36" s="111">
        <v>0.38</v>
      </c>
      <c r="P36" s="118">
        <f t="shared" si="10"/>
        <v>0.62</v>
      </c>
      <c r="Q36" s="7" t="s">
        <v>90</v>
      </c>
      <c r="S36" s="96"/>
    </row>
    <row r="37" spans="1:19" ht="18.75" x14ac:dyDescent="0.3">
      <c r="A37" s="132" t="s">
        <v>120</v>
      </c>
      <c r="B37" s="184"/>
      <c r="C37" s="184"/>
      <c r="D37" s="184"/>
      <c r="E37" s="185"/>
      <c r="F37" s="174"/>
      <c r="G37" s="175"/>
      <c r="H37" s="173" t="str">
        <f t="shared" si="6"/>
        <v/>
      </c>
      <c r="I37" s="151"/>
      <c r="J37" s="7" t="s">
        <v>1</v>
      </c>
      <c r="K37" s="113">
        <f t="shared" si="7"/>
        <v>1131.3499999999999</v>
      </c>
      <c r="L37" s="113">
        <f t="shared" si="8"/>
        <v>275</v>
      </c>
      <c r="M37" s="116">
        <f t="shared" si="11"/>
        <v>856.34999999999991</v>
      </c>
      <c r="N37" s="118">
        <f t="shared" si="9"/>
        <v>0.7569275644141954</v>
      </c>
      <c r="O37" s="111">
        <v>0.38</v>
      </c>
      <c r="P37" s="118">
        <f t="shared" si="10"/>
        <v>0.37692756441419539</v>
      </c>
      <c r="Q37" s="7" t="s">
        <v>202</v>
      </c>
      <c r="S37" s="96"/>
    </row>
    <row r="38" spans="1:19" ht="18.75" x14ac:dyDescent="0.3">
      <c r="A38" s="132" t="s">
        <v>120</v>
      </c>
      <c r="B38" s="184"/>
      <c r="C38" s="184"/>
      <c r="D38" s="184"/>
      <c r="E38" s="185"/>
      <c r="F38" s="174"/>
      <c r="G38" s="175"/>
      <c r="H38" s="173" t="str">
        <f t="shared" si="6"/>
        <v/>
      </c>
      <c r="J38" s="7" t="s">
        <v>3</v>
      </c>
      <c r="K38" s="113">
        <f t="shared" si="7"/>
        <v>0</v>
      </c>
      <c r="L38" s="113">
        <f t="shared" si="8"/>
        <v>0</v>
      </c>
      <c r="M38" s="116">
        <f t="shared" si="11"/>
        <v>0</v>
      </c>
      <c r="N38" s="118" t="str">
        <f t="shared" si="9"/>
        <v>-</v>
      </c>
      <c r="O38" s="111">
        <v>0.38</v>
      </c>
      <c r="P38" s="118" t="str">
        <f t="shared" si="10"/>
        <v>-</v>
      </c>
      <c r="Q38" s="7" t="s">
        <v>202</v>
      </c>
      <c r="S38" s="96"/>
    </row>
    <row r="39" spans="1:19" ht="18.75" x14ac:dyDescent="0.3">
      <c r="A39" s="132" t="s">
        <v>120</v>
      </c>
      <c r="B39" s="184"/>
      <c r="C39" s="184"/>
      <c r="D39" s="184"/>
      <c r="E39" s="185"/>
      <c r="F39" s="174"/>
      <c r="G39" s="175"/>
      <c r="H39" s="173" t="str">
        <f t="shared" si="6"/>
        <v/>
      </c>
      <c r="J39" s="101" t="s">
        <v>81</v>
      </c>
      <c r="K39" s="113">
        <f t="shared" si="7"/>
        <v>0</v>
      </c>
      <c r="L39" s="113">
        <f t="shared" si="8"/>
        <v>0</v>
      </c>
      <c r="M39" s="116">
        <f t="shared" si="11"/>
        <v>0</v>
      </c>
      <c r="N39" s="118" t="str">
        <f t="shared" si="9"/>
        <v>-</v>
      </c>
      <c r="O39" s="111">
        <v>0.38</v>
      </c>
      <c r="P39" s="118" t="str">
        <f t="shared" si="10"/>
        <v>-</v>
      </c>
      <c r="Q39" s="7" t="s">
        <v>202</v>
      </c>
      <c r="S39" s="96"/>
    </row>
    <row r="40" spans="1:19" x14ac:dyDescent="0.25">
      <c r="F40" s="165" t="s">
        <v>135</v>
      </c>
      <c r="G40" s="139">
        <f>SUM(G27:G39)</f>
        <v>43</v>
      </c>
      <c r="H40" s="140">
        <f>SUM(H27:H39)</f>
        <v>3451</v>
      </c>
      <c r="J40" s="110" t="s">
        <v>93</v>
      </c>
      <c r="K40" s="56">
        <f>SUM(K33:K39)</f>
        <v>2933.35</v>
      </c>
      <c r="L40" s="56">
        <f>SUM(L33:L39)</f>
        <v>755</v>
      </c>
      <c r="M40" s="56">
        <f>SUM(M33:M39)</f>
        <v>2178.35</v>
      </c>
      <c r="N40" s="56"/>
      <c r="O40" s="113"/>
      <c r="P40" s="7"/>
      <c r="Q40" s="7"/>
      <c r="S40" s="97"/>
    </row>
    <row r="41" spans="1:19" x14ac:dyDescent="0.25">
      <c r="O41" s="113"/>
      <c r="P41" s="7"/>
      <c r="Q41" s="7"/>
    </row>
    <row r="42" spans="1:19" ht="15.75" x14ac:dyDescent="0.25">
      <c r="J42" s="104" t="s">
        <v>204</v>
      </c>
      <c r="O42" s="113"/>
      <c r="P42" s="7"/>
      <c r="Q42" s="7"/>
      <c r="S42" s="96"/>
    </row>
    <row r="43" spans="1:19" x14ac:dyDescent="0.25">
      <c r="O43" s="56"/>
      <c r="P43" s="7"/>
      <c r="Q43" s="7"/>
      <c r="S43" s="96"/>
    </row>
    <row r="44" spans="1:19" x14ac:dyDescent="0.25">
      <c r="P44" s="7"/>
      <c r="Q44" s="7"/>
      <c r="S44" s="96"/>
    </row>
    <row r="45" spans="1:19" x14ac:dyDescent="0.25">
      <c r="P45" s="7"/>
      <c r="Q45" s="7"/>
      <c r="S45" s="96"/>
    </row>
    <row r="46" spans="1:19" ht="15.75" x14ac:dyDescent="0.25">
      <c r="J46" s="104" t="s">
        <v>187</v>
      </c>
      <c r="N46" s="7"/>
      <c r="O46" s="7"/>
      <c r="Q46" s="96"/>
    </row>
    <row r="47" spans="1:19" x14ac:dyDescent="0.25">
      <c r="K47" s="101" t="s">
        <v>203</v>
      </c>
      <c r="N47" s="7"/>
      <c r="O47" s="7"/>
      <c r="Q47" s="96"/>
    </row>
    <row r="48" spans="1:19" ht="15.75" customHeight="1" x14ac:dyDescent="0.25">
      <c r="N48" s="7"/>
      <c r="O48" s="7"/>
      <c r="Q48" s="96"/>
    </row>
    <row r="49" spans="10:17" x14ac:dyDescent="0.25">
      <c r="N49" s="7"/>
      <c r="O49" s="7"/>
    </row>
    <row r="50" spans="10:17" x14ac:dyDescent="0.25">
      <c r="N50" s="7"/>
      <c r="O50" s="7"/>
    </row>
    <row r="51" spans="10:17" ht="28.5" x14ac:dyDescent="0.45">
      <c r="J51" s="159" t="s">
        <v>130</v>
      </c>
      <c r="N51" s="7"/>
      <c r="O51" s="7"/>
      <c r="Q51" s="18"/>
    </row>
    <row r="52" spans="10:17" x14ac:dyDescent="0.25">
      <c r="J52" s="101" t="s">
        <v>186</v>
      </c>
      <c r="N52" s="7"/>
      <c r="O52" s="7"/>
      <c r="Q52" s="18"/>
    </row>
    <row r="53" spans="10:17" x14ac:dyDescent="0.25">
      <c r="N53" s="7"/>
      <c r="O53" s="7"/>
      <c r="Q53" s="18"/>
    </row>
    <row r="54" spans="10:17" x14ac:dyDescent="0.25">
      <c r="J54" s="37" t="s">
        <v>183</v>
      </c>
      <c r="N54" s="7"/>
      <c r="O54" s="7"/>
      <c r="Q54" s="18"/>
    </row>
    <row r="55" spans="10:17" x14ac:dyDescent="0.25">
      <c r="J55" s="101" t="s">
        <v>184</v>
      </c>
      <c r="N55" s="7"/>
      <c r="O55" s="7"/>
      <c r="Q55" s="18"/>
    </row>
    <row r="56" spans="10:17" x14ac:dyDescent="0.25">
      <c r="J56" s="101" t="s">
        <v>185</v>
      </c>
      <c r="N56" s="7"/>
      <c r="O56" s="7"/>
      <c r="Q56" s="18"/>
    </row>
    <row r="57" spans="10:17" x14ac:dyDescent="0.25">
      <c r="J57" s="158" t="s">
        <v>189</v>
      </c>
      <c r="N57" s="7"/>
      <c r="O57" s="7"/>
      <c r="Q57" s="96"/>
    </row>
    <row r="58" spans="10:17" x14ac:dyDescent="0.25">
      <c r="K58" s="158" t="s">
        <v>211</v>
      </c>
      <c r="Q58" s="96"/>
    </row>
    <row r="59" spans="10:17" x14ac:dyDescent="0.25">
      <c r="K59" s="101" t="s">
        <v>190</v>
      </c>
      <c r="N59" s="7"/>
      <c r="O59" s="7"/>
      <c r="Q59" s="96"/>
    </row>
    <row r="60" spans="10:17" x14ac:dyDescent="0.25">
      <c r="K60" s="101" t="s">
        <v>191</v>
      </c>
      <c r="N60" s="7"/>
      <c r="O60" s="7"/>
      <c r="Q60" s="96"/>
    </row>
    <row r="61" spans="10:17" x14ac:dyDescent="0.25">
      <c r="K61" s="101" t="s">
        <v>53</v>
      </c>
      <c r="L61" s="101" t="s">
        <v>54</v>
      </c>
      <c r="P61" s="7"/>
      <c r="Q61" s="7"/>
    </row>
    <row r="62" spans="10:17" x14ac:dyDescent="0.25">
      <c r="K62" s="101" t="s">
        <v>192</v>
      </c>
      <c r="L62" s="101" t="s">
        <v>193</v>
      </c>
      <c r="M62" s="101" t="s">
        <v>196</v>
      </c>
      <c r="P62" s="7"/>
      <c r="Q62" s="7"/>
    </row>
    <row r="63" spans="10:17" x14ac:dyDescent="0.25">
      <c r="K63" s="101" t="s">
        <v>192</v>
      </c>
      <c r="L63" s="101" t="s">
        <v>194</v>
      </c>
      <c r="P63" s="7"/>
      <c r="Q63" s="7"/>
    </row>
    <row r="64" spans="10:17" x14ac:dyDescent="0.25">
      <c r="K64" s="101" t="s">
        <v>192</v>
      </c>
      <c r="L64" s="101" t="s">
        <v>195</v>
      </c>
      <c r="P64" s="7"/>
      <c r="Q64" s="7"/>
    </row>
    <row r="65" spans="10:17" x14ac:dyDescent="0.25">
      <c r="J65" s="101" t="s">
        <v>197</v>
      </c>
      <c r="P65" s="7"/>
      <c r="Q65" s="7"/>
    </row>
    <row r="66" spans="10:17" x14ac:dyDescent="0.25">
      <c r="J66" s="101" t="s">
        <v>198</v>
      </c>
      <c r="O66" s="7"/>
      <c r="P66" s="7"/>
      <c r="Q66" s="7"/>
    </row>
    <row r="67" spans="10:17" x14ac:dyDescent="0.25">
      <c r="J67" s="101" t="s">
        <v>199</v>
      </c>
      <c r="P67" s="7"/>
      <c r="Q67" s="7"/>
    </row>
    <row r="68" spans="10:17" x14ac:dyDescent="0.25">
      <c r="K68" s="101" t="s">
        <v>200</v>
      </c>
      <c r="P68" s="7"/>
      <c r="Q68" s="7"/>
    </row>
    <row r="69" spans="10:17" x14ac:dyDescent="0.25">
      <c r="P69" s="7"/>
      <c r="Q69" s="7"/>
    </row>
    <row r="70" spans="10:17" x14ac:dyDescent="0.25">
      <c r="P70" s="7"/>
      <c r="Q70" s="7"/>
    </row>
    <row r="71" spans="10:17" x14ac:dyDescent="0.25">
      <c r="J71" s="178" t="s">
        <v>188</v>
      </c>
      <c r="K71" s="179"/>
      <c r="L71" s="179"/>
      <c r="M71" s="179"/>
      <c r="N71" s="7"/>
      <c r="P71" s="7"/>
      <c r="Q71" s="7"/>
    </row>
    <row r="72" spans="10:17" x14ac:dyDescent="0.25">
      <c r="P72" s="7"/>
      <c r="Q72" s="7"/>
    </row>
    <row r="73" spans="10:17" x14ac:dyDescent="0.25">
      <c r="P73" s="7"/>
      <c r="Q73" s="7"/>
    </row>
    <row r="74" spans="10:17" x14ac:dyDescent="0.25">
      <c r="P74" s="7"/>
      <c r="Q74" s="7"/>
    </row>
    <row r="75" spans="10:17" x14ac:dyDescent="0.25">
      <c r="P75" s="7"/>
      <c r="Q75" s="7"/>
    </row>
    <row r="76" spans="10:17" x14ac:dyDescent="0.25">
      <c r="P76" s="7"/>
      <c r="Q76" s="7"/>
    </row>
    <row r="77" spans="10:17" x14ac:dyDescent="0.25">
      <c r="P77" s="7"/>
      <c r="Q77" s="7"/>
    </row>
    <row r="78" spans="10:17" x14ac:dyDescent="0.25">
      <c r="P78" s="7"/>
      <c r="Q78" s="7"/>
    </row>
    <row r="79" spans="10:17" x14ac:dyDescent="0.25">
      <c r="P79" s="7"/>
      <c r="Q79" s="7"/>
    </row>
    <row r="80" spans="10:17" x14ac:dyDescent="0.25">
      <c r="P80" s="7"/>
      <c r="Q80" s="7"/>
    </row>
    <row r="81" spans="16:17" x14ac:dyDescent="0.25">
      <c r="P81" s="7"/>
      <c r="Q81" s="7"/>
    </row>
    <row r="82" spans="16:17" x14ac:dyDescent="0.25">
      <c r="P82" s="7"/>
      <c r="Q82" s="7"/>
    </row>
    <row r="83" spans="16:17" x14ac:dyDescent="0.25">
      <c r="P83" s="7"/>
      <c r="Q83" s="7"/>
    </row>
    <row r="84" spans="16:17" x14ac:dyDescent="0.25">
      <c r="P84" s="7"/>
      <c r="Q84" s="7"/>
    </row>
    <row r="85" spans="16:17" x14ac:dyDescent="0.25">
      <c r="P85" s="7"/>
      <c r="Q85" s="7"/>
    </row>
    <row r="86" spans="16:17" x14ac:dyDescent="0.25">
      <c r="P86" s="7"/>
      <c r="Q86" s="7"/>
    </row>
    <row r="87" spans="16:17" x14ac:dyDescent="0.25">
      <c r="P87" s="7"/>
      <c r="Q87" s="7"/>
    </row>
    <row r="88" spans="16:17" x14ac:dyDescent="0.25">
      <c r="P88" s="7"/>
      <c r="Q88" s="7"/>
    </row>
    <row r="89" spans="16:17" x14ac:dyDescent="0.25">
      <c r="P89" s="7"/>
      <c r="Q89" s="7"/>
    </row>
    <row r="90" spans="16:17" x14ac:dyDescent="0.25">
      <c r="P90" s="7"/>
      <c r="Q90" s="7"/>
    </row>
    <row r="91" spans="16:17" x14ac:dyDescent="0.25">
      <c r="P91" s="7"/>
      <c r="Q91" s="7"/>
    </row>
    <row r="92" spans="16:17" x14ac:dyDescent="0.25">
      <c r="P92" s="7"/>
      <c r="Q92" s="7"/>
    </row>
    <row r="93" spans="16:17" x14ac:dyDescent="0.25">
      <c r="P93" s="7"/>
      <c r="Q93" s="7"/>
    </row>
    <row r="94" spans="16:17" x14ac:dyDescent="0.25">
      <c r="P94" s="7"/>
      <c r="Q94" s="7"/>
    </row>
    <row r="95" spans="16:17" x14ac:dyDescent="0.25">
      <c r="P95" s="7"/>
      <c r="Q95" s="7"/>
    </row>
    <row r="96" spans="16:17" x14ac:dyDescent="0.25">
      <c r="P96" s="7"/>
      <c r="Q96" s="7"/>
    </row>
    <row r="97" spans="16:17" x14ac:dyDescent="0.25">
      <c r="P97" s="7"/>
      <c r="Q97" s="7"/>
    </row>
    <row r="98" spans="16:17" x14ac:dyDescent="0.25">
      <c r="P98" s="7"/>
      <c r="Q98" s="7"/>
    </row>
    <row r="99" spans="16:17" x14ac:dyDescent="0.25">
      <c r="P99" s="7"/>
      <c r="Q99" s="7"/>
    </row>
    <row r="100" spans="16:17" x14ac:dyDescent="0.25">
      <c r="P100" s="7"/>
      <c r="Q100" s="7"/>
    </row>
    <row r="101" spans="16:17" x14ac:dyDescent="0.25">
      <c r="P101" s="7"/>
      <c r="Q101" s="7"/>
    </row>
    <row r="102" spans="16:17" x14ac:dyDescent="0.25">
      <c r="P102" s="7"/>
      <c r="Q102" s="7"/>
    </row>
    <row r="103" spans="16:17" x14ac:dyDescent="0.25">
      <c r="P103" s="7"/>
      <c r="Q103" s="7"/>
    </row>
    <row r="104" spans="16:17" x14ac:dyDescent="0.25">
      <c r="P104" s="7"/>
      <c r="Q104" s="7"/>
    </row>
    <row r="105" spans="16:17" x14ac:dyDescent="0.25">
      <c r="P105" s="7"/>
      <c r="Q105" s="7"/>
    </row>
    <row r="106" spans="16:17" x14ac:dyDescent="0.25">
      <c r="P106" s="7"/>
      <c r="Q106" s="7"/>
    </row>
    <row r="107" spans="16:17" x14ac:dyDescent="0.25">
      <c r="P107" s="7"/>
      <c r="Q107" s="7"/>
    </row>
    <row r="108" spans="16:17" x14ac:dyDescent="0.25">
      <c r="P108" s="7"/>
      <c r="Q108" s="7"/>
    </row>
    <row r="109" spans="16:17" x14ac:dyDescent="0.25">
      <c r="P109" s="7"/>
      <c r="Q109" s="7"/>
    </row>
    <row r="110" spans="16:17" x14ac:dyDescent="0.25">
      <c r="P110" s="7"/>
      <c r="Q110" s="7"/>
    </row>
    <row r="111" spans="16:17" x14ac:dyDescent="0.25">
      <c r="P111" s="7"/>
      <c r="Q111" s="7"/>
    </row>
    <row r="112" spans="16:17" x14ac:dyDescent="0.25">
      <c r="P112" s="7"/>
      <c r="Q112" s="7"/>
    </row>
    <row r="113" spans="16:17" x14ac:dyDescent="0.25">
      <c r="P113" s="7"/>
      <c r="Q113" s="7"/>
    </row>
    <row r="114" spans="16:17" x14ac:dyDescent="0.25">
      <c r="P114" s="7"/>
      <c r="Q114" s="7"/>
    </row>
    <row r="115" spans="16:17" x14ac:dyDescent="0.25">
      <c r="P115" s="7"/>
      <c r="Q115" s="7"/>
    </row>
    <row r="116" spans="16:17" x14ac:dyDescent="0.25">
      <c r="P116" s="7"/>
      <c r="Q116" s="7"/>
    </row>
    <row r="117" spans="16:17" x14ac:dyDescent="0.25">
      <c r="P117" s="7"/>
      <c r="Q117" s="7"/>
    </row>
    <row r="118" spans="16:17" x14ac:dyDescent="0.25">
      <c r="P118" s="7"/>
      <c r="Q118" s="7"/>
    </row>
    <row r="119" spans="16:17" x14ac:dyDescent="0.25">
      <c r="P119" s="7"/>
      <c r="Q119" s="7"/>
    </row>
    <row r="120" spans="16:17" x14ac:dyDescent="0.25">
      <c r="P120" s="7"/>
      <c r="Q120" s="7"/>
    </row>
    <row r="121" spans="16:17" x14ac:dyDescent="0.25">
      <c r="P121" s="7"/>
      <c r="Q121" s="7"/>
    </row>
    <row r="122" spans="16:17" x14ac:dyDescent="0.25">
      <c r="P122" s="7"/>
      <c r="Q122" s="7"/>
    </row>
    <row r="123" spans="16:17" x14ac:dyDescent="0.25">
      <c r="P123" s="7"/>
      <c r="Q123" s="7"/>
    </row>
    <row r="124" spans="16:17" x14ac:dyDescent="0.25">
      <c r="P124" s="7"/>
      <c r="Q124" s="7"/>
    </row>
    <row r="125" spans="16:17" x14ac:dyDescent="0.25">
      <c r="P125" s="7"/>
      <c r="Q125" s="7"/>
    </row>
    <row r="126" spans="16:17" x14ac:dyDescent="0.25">
      <c r="P126" s="7"/>
      <c r="Q126" s="7"/>
    </row>
    <row r="127" spans="16:17" x14ac:dyDescent="0.25">
      <c r="P127" s="7"/>
      <c r="Q127" s="7"/>
    </row>
    <row r="128" spans="16:17" x14ac:dyDescent="0.25">
      <c r="P128" s="7"/>
      <c r="Q128" s="7"/>
    </row>
    <row r="129" spans="16:17" x14ac:dyDescent="0.25">
      <c r="P129" s="7"/>
      <c r="Q129" s="7"/>
    </row>
    <row r="130" spans="16:17" x14ac:dyDescent="0.25">
      <c r="P130" s="7"/>
      <c r="Q130" s="7"/>
    </row>
    <row r="131" spans="16:17" x14ac:dyDescent="0.25">
      <c r="P131" s="7"/>
      <c r="Q131" s="7"/>
    </row>
    <row r="132" spans="16:17" x14ac:dyDescent="0.25">
      <c r="P132" s="7"/>
      <c r="Q132" s="7"/>
    </row>
    <row r="133" spans="16:17" x14ac:dyDescent="0.25">
      <c r="P133" s="7"/>
      <c r="Q133" s="7"/>
    </row>
    <row r="134" spans="16:17" x14ac:dyDescent="0.25">
      <c r="P134" s="7"/>
      <c r="Q134" s="7"/>
    </row>
    <row r="135" spans="16:17" x14ac:dyDescent="0.25">
      <c r="P135" s="7"/>
      <c r="Q135" s="7"/>
    </row>
    <row r="136" spans="16:17" x14ac:dyDescent="0.25">
      <c r="P136" s="7"/>
      <c r="Q136" s="7"/>
    </row>
    <row r="137" spans="16:17" x14ac:dyDescent="0.25">
      <c r="P137" s="7"/>
      <c r="Q137" s="7"/>
    </row>
    <row r="138" spans="16:17" x14ac:dyDescent="0.25">
      <c r="P138" s="7"/>
      <c r="Q138" s="7"/>
    </row>
    <row r="139" spans="16:17" x14ac:dyDescent="0.25">
      <c r="P139" s="7"/>
      <c r="Q139" s="7"/>
    </row>
    <row r="140" spans="16:17" x14ac:dyDescent="0.25">
      <c r="P140" s="7"/>
      <c r="Q140" s="7"/>
    </row>
    <row r="141" spans="16:17" x14ac:dyDescent="0.25">
      <c r="P141" s="7"/>
      <c r="Q141" s="7"/>
    </row>
    <row r="142" spans="16:17" x14ac:dyDescent="0.25">
      <c r="P142" s="7"/>
      <c r="Q142" s="7"/>
    </row>
    <row r="143" spans="16:17" x14ac:dyDescent="0.25">
      <c r="P143" s="7"/>
      <c r="Q143" s="7"/>
    </row>
  </sheetData>
  <mergeCells count="23">
    <mergeCell ref="D19:H19"/>
    <mergeCell ref="B39:E39"/>
    <mergeCell ref="D10:H10"/>
    <mergeCell ref="D11:H11"/>
    <mergeCell ref="D12:H12"/>
    <mergeCell ref="D13:H13"/>
    <mergeCell ref="D14:H14"/>
    <mergeCell ref="D15:H15"/>
    <mergeCell ref="D16:H16"/>
    <mergeCell ref="D17:H17"/>
    <mergeCell ref="D18:H18"/>
    <mergeCell ref="B33:E33"/>
    <mergeCell ref="B34:E34"/>
    <mergeCell ref="B35:E35"/>
    <mergeCell ref="B36:E36"/>
    <mergeCell ref="B37:E37"/>
    <mergeCell ref="B38:E38"/>
    <mergeCell ref="B27:E27"/>
    <mergeCell ref="B28:E28"/>
    <mergeCell ref="B29:E29"/>
    <mergeCell ref="B30:E30"/>
    <mergeCell ref="B31:E31"/>
    <mergeCell ref="B32:E32"/>
  </mergeCells>
  <printOptions headings="1"/>
  <pageMargins left="0.45" right="0.45" top="0.5" bottom="0.5" header="0.3" footer="0.3"/>
  <pageSetup scale="70" orientation="landscape" r:id="rId1"/>
  <rowBreaks count="1" manualBreakCount="1">
    <brk id="23"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3C37-6022-408E-893A-DFCB6359CBD3}">
  <sheetPr>
    <pageSetUpPr fitToPage="1"/>
  </sheetPr>
  <dimension ref="A1:S141"/>
  <sheetViews>
    <sheetView topLeftCell="A4" zoomScale="60" zoomScaleNormal="60" workbookViewId="0">
      <selection activeCell="D23" sqref="D23:H23"/>
    </sheetView>
  </sheetViews>
  <sheetFormatPr defaultColWidth="8.85546875" defaultRowHeight="15" x14ac:dyDescent="0.25"/>
  <cols>
    <col min="1" max="1" width="33.85546875" style="3" customWidth="1"/>
    <col min="2" max="2" width="19" style="3" customWidth="1"/>
    <col min="3" max="3" width="17.85546875" style="3" customWidth="1"/>
    <col min="4" max="4" width="11.140625" style="3" customWidth="1"/>
    <col min="5" max="5" width="49.140625" style="3" customWidth="1"/>
    <col min="6" max="6" width="18.42578125" style="3" customWidth="1"/>
    <col min="7" max="7" width="17.85546875" style="3" customWidth="1"/>
    <col min="8" max="8" width="15.85546875" style="3" customWidth="1"/>
    <col min="9" max="9" width="4.5703125" style="120" customWidth="1"/>
    <col min="10" max="10" width="33.7109375" style="20" customWidth="1"/>
    <col min="11" max="11" width="16.140625" style="20" customWidth="1"/>
    <col min="12" max="12" width="13.42578125" style="20" customWidth="1"/>
    <col min="13" max="13" width="22.140625" style="20" customWidth="1"/>
    <col min="14" max="14" width="15" style="20" customWidth="1"/>
    <col min="15" max="15" width="16.85546875" style="20" customWidth="1"/>
    <col min="16" max="16" width="14.140625" style="3" customWidth="1"/>
    <col min="17" max="17" width="11.5703125" style="3" customWidth="1"/>
    <col min="18" max="18" width="17.140625" style="3" customWidth="1"/>
    <col min="19" max="19" width="14.5703125" style="3" customWidth="1"/>
    <col min="20" max="20" width="13.85546875" style="3" bestFit="1" customWidth="1"/>
    <col min="21" max="21" width="14.140625" style="3" bestFit="1" customWidth="1"/>
    <col min="22" max="22" width="13.5703125" style="3" customWidth="1"/>
    <col min="23" max="23" width="10.7109375" style="3" customWidth="1"/>
    <col min="24" max="16384" width="8.85546875" style="3"/>
  </cols>
  <sheetData>
    <row r="1" spans="1:17" ht="31.5" x14ac:dyDescent="0.5">
      <c r="A1" s="1" t="s">
        <v>152</v>
      </c>
      <c r="B1" s="1"/>
      <c r="C1" s="2"/>
      <c r="D1" s="1"/>
      <c r="E1" s="4"/>
      <c r="F1" s="5"/>
      <c r="G1" s="5"/>
      <c r="H1" s="6"/>
      <c r="J1" s="182" t="s">
        <v>67</v>
      </c>
      <c r="M1" s="7"/>
      <c r="N1" s="7"/>
      <c r="O1" s="126" t="s">
        <v>111</v>
      </c>
      <c r="P1" s="7"/>
      <c r="Q1" s="7"/>
    </row>
    <row r="2" spans="1:17" x14ac:dyDescent="0.25">
      <c r="A2" s="155" t="s">
        <v>129</v>
      </c>
      <c r="B2" s="155" t="s">
        <v>128</v>
      </c>
      <c r="H2" s="6"/>
      <c r="J2" s="101" t="s">
        <v>85</v>
      </c>
      <c r="K2" s="101" t="s">
        <v>86</v>
      </c>
      <c r="M2" s="7"/>
      <c r="N2" s="7"/>
      <c r="O2" s="7"/>
      <c r="P2" s="7"/>
      <c r="Q2" s="7"/>
    </row>
    <row r="3" spans="1:17" x14ac:dyDescent="0.25">
      <c r="A3" s="8"/>
      <c r="H3" s="6"/>
      <c r="J3" s="101"/>
      <c r="K3" s="101"/>
      <c r="M3" s="7"/>
      <c r="N3" s="7"/>
      <c r="O3" s="7"/>
      <c r="P3" s="7"/>
      <c r="Q3" s="7"/>
    </row>
    <row r="4" spans="1:17" ht="28.5" x14ac:dyDescent="0.45">
      <c r="A4" s="9" t="s">
        <v>2</v>
      </c>
      <c r="F4" s="10"/>
      <c r="H4" s="6"/>
      <c r="J4" s="107" t="s">
        <v>84</v>
      </c>
      <c r="K4" s="108" t="s">
        <v>136</v>
      </c>
      <c r="L4" s="7"/>
      <c r="M4" s="7"/>
      <c r="N4" s="7"/>
      <c r="O4" s="7"/>
      <c r="P4" s="7"/>
      <c r="Q4" s="7"/>
    </row>
    <row r="5" spans="1:17" ht="18.75" x14ac:dyDescent="0.3">
      <c r="A5" s="12" t="s">
        <v>4</v>
      </c>
      <c r="B5" s="13"/>
      <c r="C5" s="12"/>
      <c r="D5" s="14"/>
      <c r="E5" s="15"/>
      <c r="F5" s="12"/>
      <c r="H5" s="6"/>
      <c r="L5" s="7"/>
      <c r="M5" s="7"/>
      <c r="N5" s="7"/>
      <c r="O5" s="7"/>
      <c r="P5" s="7"/>
      <c r="Q5" s="7"/>
    </row>
    <row r="6" spans="1:17" ht="18.75" x14ac:dyDescent="0.3">
      <c r="A6" s="94" t="s">
        <v>70</v>
      </c>
      <c r="C6" s="12"/>
      <c r="D6" s="15"/>
      <c r="E6" s="15"/>
      <c r="H6" s="6"/>
      <c r="J6" s="104" t="s">
        <v>102</v>
      </c>
      <c r="K6" s="7"/>
      <c r="L6" s="7"/>
      <c r="M6" s="7"/>
      <c r="N6" s="7"/>
      <c r="O6" s="7"/>
      <c r="P6" s="7"/>
      <c r="Q6" s="7"/>
    </row>
    <row r="7" spans="1:17" x14ac:dyDescent="0.25">
      <c r="A7" s="15"/>
      <c r="D7" s="15"/>
      <c r="E7" s="15"/>
      <c r="H7" s="6"/>
      <c r="J7" s="37" t="s">
        <v>71</v>
      </c>
      <c r="K7" s="105" t="s">
        <v>72</v>
      </c>
      <c r="L7" s="105" t="s">
        <v>73</v>
      </c>
      <c r="M7" s="37" t="s">
        <v>75</v>
      </c>
      <c r="N7" s="37" t="s">
        <v>82</v>
      </c>
      <c r="P7" s="7"/>
      <c r="Q7" s="7"/>
    </row>
    <row r="8" spans="1:17" ht="28.5" x14ac:dyDescent="0.45">
      <c r="A8" s="160" t="s">
        <v>171</v>
      </c>
      <c r="B8" s="190" t="s">
        <v>177</v>
      </c>
      <c r="C8" s="190"/>
      <c r="E8" s="23"/>
      <c r="F8" s="23"/>
      <c r="G8" s="23"/>
      <c r="H8" s="23"/>
      <c r="I8" s="126"/>
      <c r="J8" s="101" t="s">
        <v>74</v>
      </c>
      <c r="K8" s="102">
        <v>40</v>
      </c>
      <c r="L8" s="101" t="s">
        <v>74</v>
      </c>
      <c r="M8" s="101" t="s">
        <v>74</v>
      </c>
      <c r="N8" s="102">
        <v>16</v>
      </c>
      <c r="P8" s="7"/>
      <c r="Q8" s="7"/>
    </row>
    <row r="9" spans="1:17" ht="15.75" x14ac:dyDescent="0.25">
      <c r="A9" s="150" t="s">
        <v>73</v>
      </c>
      <c r="B9" s="168" t="s">
        <v>150</v>
      </c>
      <c r="C9" s="168" t="s">
        <v>151</v>
      </c>
      <c r="D9" s="150" t="s">
        <v>121</v>
      </c>
      <c r="E9" s="23"/>
      <c r="F9" s="23"/>
      <c r="G9" s="23"/>
      <c r="H9" s="23"/>
      <c r="I9" s="126"/>
      <c r="J9" s="7" t="s">
        <v>0</v>
      </c>
      <c r="K9" s="103">
        <v>45</v>
      </c>
      <c r="L9" s="101" t="s">
        <v>76</v>
      </c>
      <c r="M9" s="101" t="s">
        <v>76</v>
      </c>
      <c r="N9" s="103">
        <v>18</v>
      </c>
      <c r="P9" s="7"/>
      <c r="Q9" s="7"/>
    </row>
    <row r="10" spans="1:17" x14ac:dyDescent="0.25">
      <c r="A10" s="24" t="s">
        <v>138</v>
      </c>
      <c r="B10" s="172" t="e">
        <f>IF(A10="Other","-",_xlfn.IFS(A10=A55,H55,A10=A56,H56,A10=A57,H57,A10=A58,H58,A10=A59,H59,A10=A60,H60,A10=A61,H61,A10=A62,H62,A10=A63,H63,A10=A64,H64))</f>
        <v>#N/A</v>
      </c>
      <c r="C10" s="149">
        <f>VLOOKUP($A10,$J:$M,4,FALSE)</f>
        <v>300</v>
      </c>
      <c r="D10" s="189"/>
      <c r="E10" s="189"/>
      <c r="F10" s="189"/>
      <c r="G10" s="189"/>
      <c r="H10" s="189"/>
      <c r="I10" s="126"/>
      <c r="J10" s="7" t="s">
        <v>51</v>
      </c>
      <c r="K10" s="103">
        <v>65</v>
      </c>
      <c r="L10" s="101" t="s">
        <v>77</v>
      </c>
      <c r="M10" s="101" t="s">
        <v>77</v>
      </c>
      <c r="N10" s="103">
        <v>20</v>
      </c>
      <c r="P10" s="7"/>
      <c r="Q10" s="7"/>
    </row>
    <row r="11" spans="1:17" x14ac:dyDescent="0.25">
      <c r="A11" s="170" t="s">
        <v>147</v>
      </c>
      <c r="B11" s="149">
        <f>IF(A11="Other","-",_xlfn.IFS(A11=A55,H55,A11=A56,H56,A11=A57,H57,A11=A58,H58,A11=A59,H59,A11=A60,H60,A11=A61,H61,A11=A62,H62,A11=A63,H63,A11=A64,H64))</f>
        <v>800</v>
      </c>
      <c r="C11" s="149">
        <f>IF(A11="Other","-",_xlfn.IFS(A11=A55,H55,A11=A56,H56,A11=A57,H57,A11=A58,H58,A11=A59,H59,A11=A60,H60,A11=A61,H61,A11=A62,H62,A11=A63,H63,A11=A64,H64)+100)</f>
        <v>900</v>
      </c>
      <c r="D11" s="189"/>
      <c r="E11" s="189"/>
      <c r="F11" s="189"/>
      <c r="G11" s="189"/>
      <c r="H11" s="189"/>
      <c r="I11" s="126"/>
      <c r="J11" s="7" t="s">
        <v>90</v>
      </c>
      <c r="K11" s="103">
        <v>70</v>
      </c>
      <c r="L11" s="101" t="s">
        <v>91</v>
      </c>
      <c r="M11" s="101" t="s">
        <v>91</v>
      </c>
      <c r="N11" s="103">
        <v>0</v>
      </c>
      <c r="O11" s="101" t="s">
        <v>103</v>
      </c>
      <c r="P11" s="7"/>
      <c r="Q11" s="7"/>
    </row>
    <row r="12" spans="1:17" x14ac:dyDescent="0.25">
      <c r="A12" s="24" t="s">
        <v>120</v>
      </c>
      <c r="B12" s="149">
        <f>SUMIF($A$55:$A$67,#REF!,'Tax Returns &amp; Consult SOW &amp; Est'!$H$55:$H$67)</f>
        <v>0</v>
      </c>
      <c r="C12" s="149">
        <f>SUMIF($A$55:$A$67,A12,'Tax Returns &amp; Consult SOW &amp; Est'!$H$55:$H$67)</f>
        <v>0</v>
      </c>
      <c r="D12" s="189"/>
      <c r="E12" s="189"/>
      <c r="F12" s="189"/>
      <c r="G12" s="189"/>
      <c r="H12" s="189"/>
      <c r="I12" s="126"/>
      <c r="J12" s="7" t="s">
        <v>1</v>
      </c>
      <c r="K12" s="103">
        <v>150</v>
      </c>
      <c r="L12" s="101" t="s">
        <v>78</v>
      </c>
      <c r="M12" s="101" t="s">
        <v>78</v>
      </c>
      <c r="N12" s="103">
        <v>25</v>
      </c>
      <c r="P12" s="7"/>
      <c r="Q12" s="7"/>
    </row>
    <row r="13" spans="1:17" x14ac:dyDescent="0.25">
      <c r="A13" s="24" t="s">
        <v>120</v>
      </c>
      <c r="B13" s="149">
        <f>SUMIF($A$55:$A$67,#REF!,'Tax Returns &amp; Consult SOW &amp; Est'!$H$55:$H$67)</f>
        <v>0</v>
      </c>
      <c r="C13" s="149">
        <f>SUMIF($A$55:$A$67,A13,'Tax Returns &amp; Consult SOW &amp; Est'!$H$55:$H$67)</f>
        <v>0</v>
      </c>
      <c r="D13" s="189"/>
      <c r="E13" s="189"/>
      <c r="F13" s="189"/>
      <c r="G13" s="189"/>
      <c r="H13" s="189"/>
      <c r="I13" s="126"/>
      <c r="J13" s="7" t="s">
        <v>3</v>
      </c>
      <c r="K13" s="103">
        <v>160</v>
      </c>
      <c r="L13" s="101" t="s">
        <v>79</v>
      </c>
      <c r="M13" s="101" t="s">
        <v>79</v>
      </c>
      <c r="N13" s="103">
        <v>30</v>
      </c>
      <c r="P13" s="7"/>
      <c r="Q13" s="7"/>
    </row>
    <row r="14" spans="1:17" x14ac:dyDescent="0.25">
      <c r="A14" s="24" t="s">
        <v>120</v>
      </c>
      <c r="B14" s="149">
        <f>SUMIF($A$55:$A$67,#REF!,'Tax Returns &amp; Consult SOW &amp; Est'!$H$55:$H$67)</f>
        <v>0</v>
      </c>
      <c r="C14" s="149">
        <f>SUMIF($A$55:$A$67,A14,'Tax Returns &amp; Consult SOW &amp; Est'!$H$55:$H$67)</f>
        <v>0</v>
      </c>
      <c r="D14" s="189"/>
      <c r="E14" s="189"/>
      <c r="F14" s="189"/>
      <c r="G14" s="189"/>
      <c r="H14" s="189"/>
      <c r="I14" s="126"/>
      <c r="J14" s="101" t="s">
        <v>81</v>
      </c>
      <c r="K14" s="103">
        <v>175</v>
      </c>
      <c r="L14" s="101" t="s">
        <v>80</v>
      </c>
      <c r="M14" s="101" t="s">
        <v>80</v>
      </c>
      <c r="N14" s="103">
        <v>0</v>
      </c>
      <c r="O14" s="101" t="s">
        <v>103</v>
      </c>
      <c r="P14" s="7"/>
      <c r="Q14" s="7"/>
    </row>
    <row r="15" spans="1:17" x14ac:dyDescent="0.25">
      <c r="A15" s="24" t="s">
        <v>120</v>
      </c>
      <c r="B15" s="149">
        <f>SUMIF($A$55:$A$67,#REF!,'Tax Returns &amp; Consult SOW &amp; Est'!$H$55:$H$67)</f>
        <v>0</v>
      </c>
      <c r="C15" s="149">
        <f>SUMIF($A$55:$A$67,A15,'Tax Returns &amp; Consult SOW &amp; Est'!$H$55:$H$67)</f>
        <v>0</v>
      </c>
      <c r="D15" s="189"/>
      <c r="E15" s="189"/>
      <c r="F15" s="189"/>
      <c r="G15" s="189"/>
      <c r="H15" s="189"/>
      <c r="I15" s="126"/>
      <c r="P15" s="7"/>
      <c r="Q15" s="7"/>
    </row>
    <row r="16" spans="1:17" x14ac:dyDescent="0.25">
      <c r="A16" s="24" t="s">
        <v>120</v>
      </c>
      <c r="B16" s="149">
        <f>SUMIF($A$55:$A$67,#REF!,'Tax Returns &amp; Consult SOW &amp; Est'!$H$55:$H$67)</f>
        <v>0</v>
      </c>
      <c r="C16" s="149">
        <f>SUMIF($A$55:$A$67,A16,'Tax Returns &amp; Consult SOW &amp; Est'!$H$55:$H$67)</f>
        <v>0</v>
      </c>
      <c r="D16" s="189"/>
      <c r="E16" s="189"/>
      <c r="F16" s="189"/>
      <c r="G16" s="189"/>
      <c r="H16" s="189"/>
      <c r="I16" s="126"/>
      <c r="P16" s="7"/>
      <c r="Q16" s="7"/>
    </row>
    <row r="17" spans="1:19" ht="15.75" x14ac:dyDescent="0.25">
      <c r="A17" s="21" t="s">
        <v>178</v>
      </c>
      <c r="B17" s="153" t="e">
        <f>SUM(B10:B16)</f>
        <v>#N/A</v>
      </c>
      <c r="C17" s="153">
        <f>SUM(C10:C16)</f>
        <v>1200</v>
      </c>
      <c r="D17" s="189"/>
      <c r="E17" s="189"/>
      <c r="F17" s="189"/>
      <c r="G17" s="189"/>
      <c r="H17" s="189"/>
      <c r="I17" s="126"/>
      <c r="J17" s="104" t="s">
        <v>137</v>
      </c>
      <c r="K17" s="7"/>
      <c r="L17" s="7"/>
      <c r="M17" s="7"/>
      <c r="N17" s="7"/>
      <c r="O17" s="7"/>
      <c r="P17" s="7"/>
      <c r="Q17" s="7"/>
    </row>
    <row r="18" spans="1:19" x14ac:dyDescent="0.25">
      <c r="A18" s="24" t="s">
        <v>133</v>
      </c>
      <c r="B18" s="169">
        <v>0</v>
      </c>
      <c r="C18" s="163">
        <f>+C17*-B18</f>
        <v>0</v>
      </c>
      <c r="D18" s="189"/>
      <c r="E18" s="189"/>
      <c r="F18" s="189"/>
      <c r="G18" s="189"/>
      <c r="H18" s="189"/>
      <c r="J18" s="37" t="s">
        <v>71</v>
      </c>
      <c r="K18" s="105" t="s">
        <v>142</v>
      </c>
      <c r="L18" s="105" t="s">
        <v>150</v>
      </c>
      <c r="M18" s="105" t="s">
        <v>151</v>
      </c>
      <c r="N18" s="105" t="s">
        <v>170</v>
      </c>
      <c r="O18" s="37" t="s">
        <v>75</v>
      </c>
      <c r="P18" s="37" t="s">
        <v>82</v>
      </c>
      <c r="Q18" s="20"/>
      <c r="R18" s="105" t="s">
        <v>73</v>
      </c>
    </row>
    <row r="19" spans="1:19" x14ac:dyDescent="0.25">
      <c r="A19" s="21" t="s">
        <v>98</v>
      </c>
      <c r="B19" s="153" t="e">
        <f>SUM(B17:B18)</f>
        <v>#N/A</v>
      </c>
      <c r="C19" s="153">
        <f>SUM(C17:C18)</f>
        <v>1200</v>
      </c>
      <c r="D19" s="189"/>
      <c r="E19" s="189"/>
      <c r="F19" s="189"/>
      <c r="G19" s="189"/>
      <c r="H19" s="189"/>
      <c r="J19" s="166" t="s">
        <v>138</v>
      </c>
      <c r="K19" s="101" t="s">
        <v>143</v>
      </c>
      <c r="L19" s="102">
        <v>250</v>
      </c>
      <c r="M19" s="102">
        <v>300</v>
      </c>
      <c r="N19" s="167">
        <v>1</v>
      </c>
      <c r="O19" s="101"/>
      <c r="P19" s="102">
        <v>16</v>
      </c>
      <c r="Q19" s="20"/>
      <c r="R19" s="101" t="s">
        <v>148</v>
      </c>
    </row>
    <row r="20" spans="1:19" x14ac:dyDescent="0.25">
      <c r="D20" s="35"/>
      <c r="I20" s="151"/>
      <c r="J20" s="166" t="s">
        <v>169</v>
      </c>
      <c r="K20" s="101" t="s">
        <v>143</v>
      </c>
      <c r="L20" s="103">
        <v>300</v>
      </c>
      <c r="M20" s="103">
        <v>400</v>
      </c>
      <c r="N20" s="167">
        <v>2</v>
      </c>
      <c r="O20" s="101"/>
      <c r="P20" s="103">
        <v>18</v>
      </c>
      <c r="Q20" s="20"/>
      <c r="R20" s="101" t="s">
        <v>149</v>
      </c>
    </row>
    <row r="21" spans="1:19" ht="28.5" x14ac:dyDescent="0.45">
      <c r="A21" s="160" t="s">
        <v>179</v>
      </c>
      <c r="E21" s="23"/>
      <c r="F21" s="23"/>
      <c r="G21" s="23"/>
      <c r="H21" s="23"/>
      <c r="I21" s="151"/>
      <c r="J21" s="166" t="s">
        <v>168</v>
      </c>
      <c r="K21" s="101" t="s">
        <v>143</v>
      </c>
      <c r="L21" s="103">
        <v>400</v>
      </c>
      <c r="M21" s="103">
        <v>500</v>
      </c>
      <c r="N21" s="167">
        <v>4</v>
      </c>
      <c r="O21" s="101"/>
      <c r="P21" s="103">
        <v>20</v>
      </c>
      <c r="Q21" s="20"/>
      <c r="R21" s="101" t="s">
        <v>77</v>
      </c>
    </row>
    <row r="22" spans="1:19" ht="15.75" x14ac:dyDescent="0.25">
      <c r="A22" s="150" t="s">
        <v>73</v>
      </c>
      <c r="B22" s="150" t="s">
        <v>115</v>
      </c>
      <c r="C22" s="150" t="s">
        <v>117</v>
      </c>
      <c r="D22" s="150" t="s">
        <v>121</v>
      </c>
      <c r="E22" s="23"/>
      <c r="F22" s="23"/>
      <c r="G22" s="23"/>
      <c r="H22" s="23"/>
      <c r="I22" s="151"/>
      <c r="J22" s="166" t="s">
        <v>139</v>
      </c>
      <c r="K22" s="114" t="s">
        <v>144</v>
      </c>
      <c r="L22" s="103"/>
      <c r="M22" s="103"/>
      <c r="N22" s="167"/>
      <c r="O22" s="101"/>
      <c r="P22" s="103">
        <v>0</v>
      </c>
      <c r="Q22" s="101" t="s">
        <v>103</v>
      </c>
      <c r="R22" s="101" t="s">
        <v>91</v>
      </c>
    </row>
    <row r="23" spans="1:19" x14ac:dyDescent="0.25">
      <c r="A23" s="24" t="s">
        <v>120</v>
      </c>
      <c r="B23" s="152">
        <f>SUMIF($A$55:$A$67,A23,'Tax Returns &amp; Consult SOW &amp; Est'!$G$55:$G$67)</f>
        <v>0</v>
      </c>
      <c r="C23" s="149">
        <f>SUMIF($A$55:$A$67,A23,'Tax Returns &amp; Consult SOW &amp; Est'!$H$55:$H$67)</f>
        <v>0</v>
      </c>
      <c r="D23" s="189"/>
      <c r="E23" s="189"/>
      <c r="F23" s="189"/>
      <c r="G23" s="189"/>
      <c r="H23" s="189"/>
      <c r="I23" s="151"/>
      <c r="J23" s="166" t="s">
        <v>145</v>
      </c>
      <c r="K23" s="101" t="s">
        <v>143</v>
      </c>
      <c r="L23" s="103">
        <v>99</v>
      </c>
      <c r="M23" s="103">
        <v>199</v>
      </c>
      <c r="N23" s="167"/>
      <c r="O23" s="101"/>
      <c r="P23" s="103">
        <v>25</v>
      </c>
      <c r="Q23" s="20"/>
      <c r="R23" s="101" t="s">
        <v>78</v>
      </c>
    </row>
    <row r="24" spans="1:19" x14ac:dyDescent="0.25">
      <c r="A24" s="24" t="s">
        <v>120</v>
      </c>
      <c r="B24" s="152">
        <f>SUMIF($A$55:$A$67,A24,'Tax Returns &amp; Consult SOW &amp; Est'!$G$55:$G$67)</f>
        <v>0</v>
      </c>
      <c r="C24" s="149">
        <f>SUMIF($A$55:$A$67,A24,'Tax Returns &amp; Consult SOW &amp; Est'!$H$55:$H$67)</f>
        <v>0</v>
      </c>
      <c r="D24" s="189"/>
      <c r="E24" s="189"/>
      <c r="F24" s="189"/>
      <c r="G24" s="189"/>
      <c r="H24" s="189"/>
      <c r="I24" s="151"/>
      <c r="J24" s="166" t="s">
        <v>146</v>
      </c>
      <c r="K24" s="101" t="s">
        <v>143</v>
      </c>
      <c r="L24" s="103">
        <v>200</v>
      </c>
      <c r="M24" s="103">
        <v>299</v>
      </c>
      <c r="N24" s="167"/>
      <c r="O24" s="101"/>
      <c r="P24" s="103">
        <v>30</v>
      </c>
      <c r="Q24" s="20"/>
      <c r="R24" s="101" t="s">
        <v>79</v>
      </c>
    </row>
    <row r="25" spans="1:19" x14ac:dyDescent="0.25">
      <c r="A25" s="24" t="s">
        <v>120</v>
      </c>
      <c r="B25" s="152">
        <f>SUMIF($A$55:$A$67,A25,'Tax Returns &amp; Consult SOW &amp; Est'!$G$55:$G$67)</f>
        <v>0</v>
      </c>
      <c r="C25" s="149">
        <f>SUMIF($A$55:$A$67,A25,'Tax Returns &amp; Consult SOW &amp; Est'!$H$55:$H$67)</f>
        <v>0</v>
      </c>
      <c r="D25" s="189"/>
      <c r="E25" s="189"/>
      <c r="F25" s="189"/>
      <c r="G25" s="189"/>
      <c r="H25" s="189"/>
      <c r="I25" s="151"/>
      <c r="J25" s="166" t="s">
        <v>147</v>
      </c>
      <c r="K25" s="114" t="s">
        <v>144</v>
      </c>
      <c r="L25" s="103"/>
      <c r="N25" s="101"/>
      <c r="O25" s="101"/>
      <c r="P25" s="103">
        <v>0</v>
      </c>
      <c r="Q25" s="101" t="s">
        <v>103</v>
      </c>
      <c r="R25" s="101"/>
    </row>
    <row r="26" spans="1:19" x14ac:dyDescent="0.25">
      <c r="A26" s="24" t="s">
        <v>120</v>
      </c>
      <c r="B26" s="152">
        <f>SUMIF($A$55:$A$67,A26,'Tax Returns &amp; Consult SOW &amp; Est'!$G$55:$G$67)</f>
        <v>0</v>
      </c>
      <c r="C26" s="149">
        <f>SUMIF($A$55:$A$67,A26,'Tax Returns &amp; Consult SOW &amp; Est'!$H$55:$H$67)</f>
        <v>0</v>
      </c>
      <c r="D26" s="189"/>
      <c r="E26" s="189"/>
      <c r="F26" s="189"/>
      <c r="G26" s="189"/>
      <c r="H26" s="189"/>
      <c r="I26" s="151"/>
      <c r="J26" s="166" t="s">
        <v>140</v>
      </c>
      <c r="K26" s="101" t="s">
        <v>143</v>
      </c>
      <c r="P26" s="7"/>
      <c r="Q26" s="7"/>
    </row>
    <row r="27" spans="1:19" x14ac:dyDescent="0.25">
      <c r="A27" s="21" t="s">
        <v>134</v>
      </c>
      <c r="B27" s="154">
        <f>SUM(B23:B26)</f>
        <v>0</v>
      </c>
      <c r="C27" s="153">
        <f>SUM(C23:C26)</f>
        <v>0</v>
      </c>
      <c r="D27" s="189"/>
      <c r="E27" s="189"/>
      <c r="F27" s="189"/>
      <c r="G27" s="189"/>
      <c r="H27" s="189"/>
      <c r="I27" s="151"/>
      <c r="J27" s="166" t="s">
        <v>172</v>
      </c>
      <c r="K27" s="114" t="s">
        <v>144</v>
      </c>
      <c r="P27" s="7"/>
      <c r="Q27" s="7"/>
    </row>
    <row r="28" spans="1:19" x14ac:dyDescent="0.25">
      <c r="A28" s="24" t="s">
        <v>133</v>
      </c>
      <c r="B28" s="162">
        <v>0</v>
      </c>
      <c r="C28" s="163">
        <f>+C27*-B28</f>
        <v>0</v>
      </c>
      <c r="D28" s="189"/>
      <c r="E28" s="189"/>
      <c r="F28" s="189"/>
      <c r="G28" s="189"/>
      <c r="H28" s="189"/>
      <c r="I28" s="151"/>
      <c r="J28" s="166"/>
      <c r="P28" s="7"/>
      <c r="Q28" s="7"/>
    </row>
    <row r="29" spans="1:19" x14ac:dyDescent="0.25">
      <c r="A29" s="21" t="s">
        <v>98</v>
      </c>
      <c r="B29" s="154"/>
      <c r="C29" s="153">
        <f>SUM(C27:C28)</f>
        <v>0</v>
      </c>
      <c r="D29" s="189"/>
      <c r="E29" s="189"/>
      <c r="F29" s="189"/>
      <c r="G29" s="189"/>
      <c r="H29" s="189"/>
      <c r="I29" s="151"/>
      <c r="J29" s="101" t="s">
        <v>141</v>
      </c>
      <c r="P29" s="7"/>
      <c r="Q29" s="7"/>
    </row>
    <row r="30" spans="1:19" x14ac:dyDescent="0.25">
      <c r="I30" s="151"/>
      <c r="J30" s="101" t="s">
        <v>154</v>
      </c>
      <c r="P30" s="7"/>
      <c r="Q30" s="7"/>
      <c r="S30" s="8"/>
    </row>
    <row r="31" spans="1:19" x14ac:dyDescent="0.25">
      <c r="I31" s="151"/>
      <c r="J31" s="101" t="s">
        <v>155</v>
      </c>
      <c r="P31" s="7"/>
      <c r="Q31" s="7"/>
      <c r="S31" s="99"/>
    </row>
    <row r="32" spans="1:19" ht="15.75" thickBot="1" x14ac:dyDescent="0.3">
      <c r="F32" s="165"/>
      <c r="G32" s="165"/>
      <c r="H32" s="165"/>
      <c r="I32" s="151"/>
      <c r="J32" s="101" t="s">
        <v>156</v>
      </c>
      <c r="K32" s="114" t="s">
        <v>144</v>
      </c>
      <c r="P32" s="7"/>
      <c r="Q32" s="7"/>
      <c r="S32" s="97"/>
    </row>
    <row r="33" spans="1:19" ht="24" thickBot="1" x14ac:dyDescent="0.4">
      <c r="A33" s="81" t="s">
        <v>35</v>
      </c>
      <c r="B33" s="82"/>
      <c r="C33" s="82"/>
      <c r="D33" s="82"/>
      <c r="E33" s="82"/>
      <c r="F33" s="82"/>
      <c r="G33" s="82"/>
      <c r="H33" s="83"/>
      <c r="I33" s="151"/>
      <c r="J33" s="101" t="s">
        <v>157</v>
      </c>
      <c r="K33" s="114" t="s">
        <v>144</v>
      </c>
      <c r="P33" s="7"/>
      <c r="Q33" s="7"/>
      <c r="S33" s="96"/>
    </row>
    <row r="34" spans="1:19" ht="18.75" x14ac:dyDescent="0.3">
      <c r="A34" s="86" t="s">
        <v>153</v>
      </c>
      <c r="B34" s="86" t="s">
        <v>119</v>
      </c>
      <c r="C34" s="86"/>
      <c r="D34" s="86"/>
      <c r="E34" s="86"/>
      <c r="F34" s="85" t="s">
        <v>118</v>
      </c>
      <c r="G34" s="85" t="s">
        <v>113</v>
      </c>
      <c r="H34" s="85" t="s">
        <v>29</v>
      </c>
      <c r="I34" s="151"/>
      <c r="P34" s="7"/>
      <c r="Q34" s="7"/>
      <c r="S34" s="96"/>
    </row>
    <row r="35" spans="1:19" x14ac:dyDescent="0.25">
      <c r="A35" s="24" t="s">
        <v>116</v>
      </c>
      <c r="B35" s="187"/>
      <c r="C35" s="187"/>
      <c r="D35" s="187"/>
      <c r="E35" s="188"/>
      <c r="F35" s="127" t="s">
        <v>51</v>
      </c>
      <c r="G35" s="129">
        <v>6</v>
      </c>
      <c r="H35" s="130">
        <f t="shared" ref="H35:H44" si="0">IF(F35="Admin",$L$19*G35,IF(F35="BK",$L$20*G35,IF(F35="BK2",$L$21*G35,IF(F35="Acct",$L$22*G35,IF(F35="CPA1",$L$23*G35,IF(F35="CPA2",$L$24*G35,IF(F35="CPA3",$L$25*G35,"")))))))</f>
        <v>2400</v>
      </c>
      <c r="J35" s="101" t="s">
        <v>158</v>
      </c>
      <c r="P35" s="7"/>
      <c r="Q35" s="7"/>
      <c r="S35" s="96"/>
    </row>
    <row r="36" spans="1:19" x14ac:dyDescent="0.25">
      <c r="A36" s="24" t="s">
        <v>116</v>
      </c>
      <c r="B36" s="187"/>
      <c r="C36" s="187"/>
      <c r="D36" s="187"/>
      <c r="E36" s="188"/>
      <c r="F36" s="127" t="s">
        <v>90</v>
      </c>
      <c r="G36" s="129">
        <v>2</v>
      </c>
      <c r="H36" s="130">
        <f t="shared" si="0"/>
        <v>0</v>
      </c>
      <c r="J36" s="101" t="s">
        <v>159</v>
      </c>
      <c r="P36" s="7"/>
      <c r="Q36" s="7"/>
      <c r="S36" s="96"/>
    </row>
    <row r="37" spans="1:19" x14ac:dyDescent="0.25">
      <c r="A37" s="24" t="s">
        <v>124</v>
      </c>
      <c r="B37" s="187"/>
      <c r="C37" s="187"/>
      <c r="D37" s="187"/>
      <c r="E37" s="188"/>
      <c r="F37" s="127" t="s">
        <v>3</v>
      </c>
      <c r="G37" s="129">
        <v>3</v>
      </c>
      <c r="H37" s="130">
        <f t="shared" si="0"/>
        <v>600</v>
      </c>
      <c r="J37" s="101" t="s">
        <v>160</v>
      </c>
      <c r="P37" s="7"/>
      <c r="Q37" s="7"/>
      <c r="S37" s="97"/>
    </row>
    <row r="38" spans="1:19" x14ac:dyDescent="0.25">
      <c r="A38" s="24" t="s">
        <v>125</v>
      </c>
      <c r="B38" s="187"/>
      <c r="C38" s="187"/>
      <c r="D38" s="187"/>
      <c r="E38" s="188"/>
      <c r="F38" s="127" t="s">
        <v>3</v>
      </c>
      <c r="G38" s="129">
        <v>3</v>
      </c>
      <c r="H38" s="130">
        <f t="shared" si="0"/>
        <v>600</v>
      </c>
      <c r="J38" s="101" t="s">
        <v>161</v>
      </c>
      <c r="K38" s="114" t="s">
        <v>144</v>
      </c>
      <c r="P38" s="7"/>
      <c r="Q38" s="7"/>
      <c r="S38" s="97"/>
    </row>
    <row r="39" spans="1:19" x14ac:dyDescent="0.25">
      <c r="A39" s="132" t="s">
        <v>126</v>
      </c>
      <c r="B39" s="187"/>
      <c r="C39" s="187"/>
      <c r="D39" s="187"/>
      <c r="E39" s="188"/>
      <c r="F39" s="127" t="s">
        <v>1</v>
      </c>
      <c r="G39" s="129">
        <v>3</v>
      </c>
      <c r="H39" s="130">
        <f t="shared" si="0"/>
        <v>297</v>
      </c>
      <c r="J39" s="101" t="s">
        <v>162</v>
      </c>
      <c r="K39" s="114" t="s">
        <v>144</v>
      </c>
    </row>
    <row r="40" spans="1:19" x14ac:dyDescent="0.25">
      <c r="A40" s="132" t="s">
        <v>120</v>
      </c>
      <c r="B40" s="187"/>
      <c r="C40" s="187"/>
      <c r="D40" s="187"/>
      <c r="E40" s="188"/>
      <c r="F40" s="127"/>
      <c r="G40" s="129"/>
      <c r="H40" s="130" t="str">
        <f t="shared" si="0"/>
        <v/>
      </c>
      <c r="S40" s="96"/>
    </row>
    <row r="41" spans="1:19" x14ac:dyDescent="0.25">
      <c r="A41" s="132" t="s">
        <v>120</v>
      </c>
      <c r="B41" s="187"/>
      <c r="C41" s="187"/>
      <c r="D41" s="187"/>
      <c r="E41" s="188"/>
      <c r="F41" s="127"/>
      <c r="G41" s="129"/>
      <c r="H41" s="130" t="str">
        <f t="shared" si="0"/>
        <v/>
      </c>
      <c r="S41" s="96"/>
    </row>
    <row r="42" spans="1:19" x14ac:dyDescent="0.25">
      <c r="A42" s="132" t="s">
        <v>120</v>
      </c>
      <c r="B42" s="187"/>
      <c r="C42" s="187"/>
      <c r="D42" s="187"/>
      <c r="E42" s="188"/>
      <c r="F42" s="127"/>
      <c r="G42" s="129"/>
      <c r="H42" s="130" t="str">
        <f t="shared" si="0"/>
        <v/>
      </c>
      <c r="J42" s="101" t="s">
        <v>163</v>
      </c>
      <c r="S42" s="96"/>
    </row>
    <row r="43" spans="1:19" x14ac:dyDescent="0.25">
      <c r="A43" s="132" t="s">
        <v>120</v>
      </c>
      <c r="B43" s="187"/>
      <c r="C43" s="187"/>
      <c r="D43" s="187"/>
      <c r="E43" s="188"/>
      <c r="F43" s="127"/>
      <c r="G43" s="129"/>
      <c r="H43" s="130" t="str">
        <f t="shared" si="0"/>
        <v/>
      </c>
      <c r="J43" s="101" t="s">
        <v>164</v>
      </c>
      <c r="S43" s="96"/>
    </row>
    <row r="44" spans="1:19" x14ac:dyDescent="0.25">
      <c r="A44" s="132" t="s">
        <v>120</v>
      </c>
      <c r="B44" s="187"/>
      <c r="C44" s="187"/>
      <c r="D44" s="187"/>
      <c r="E44" s="188"/>
      <c r="F44" s="127"/>
      <c r="G44" s="129"/>
      <c r="H44" s="130" t="str">
        <f t="shared" si="0"/>
        <v/>
      </c>
      <c r="J44" s="101" t="s">
        <v>165</v>
      </c>
    </row>
    <row r="45" spans="1:19" x14ac:dyDescent="0.25">
      <c r="F45" s="165" t="s">
        <v>135</v>
      </c>
      <c r="G45" s="139">
        <f>SUM(G35:G44)</f>
        <v>17</v>
      </c>
      <c r="H45" s="140">
        <f>SUM(H35:H44)</f>
        <v>3897</v>
      </c>
      <c r="J45" s="101" t="s">
        <v>166</v>
      </c>
      <c r="K45" s="114" t="s">
        <v>144</v>
      </c>
    </row>
    <row r="46" spans="1:19" ht="15.75" customHeight="1" x14ac:dyDescent="0.25">
      <c r="J46" s="101" t="s">
        <v>167</v>
      </c>
      <c r="K46" s="114" t="s">
        <v>144</v>
      </c>
    </row>
    <row r="48" spans="1:19" x14ac:dyDescent="0.25">
      <c r="J48" s="101" t="s">
        <v>173</v>
      </c>
      <c r="K48" s="101" t="s">
        <v>143</v>
      </c>
    </row>
    <row r="49" spans="1:17" x14ac:dyDescent="0.25">
      <c r="J49" s="101" t="s">
        <v>174</v>
      </c>
      <c r="K49" s="101" t="s">
        <v>143</v>
      </c>
    </row>
    <row r="50" spans="1:17" x14ac:dyDescent="0.25">
      <c r="A50" s="20"/>
      <c r="B50" s="20"/>
      <c r="C50" s="20"/>
      <c r="D50" s="20"/>
      <c r="E50" s="20"/>
      <c r="F50" s="20"/>
      <c r="G50" s="20"/>
      <c r="H50" s="20"/>
      <c r="J50" s="101" t="s">
        <v>175</v>
      </c>
      <c r="K50" s="101" t="s">
        <v>143</v>
      </c>
    </row>
    <row r="51" spans="1:17" x14ac:dyDescent="0.25">
      <c r="A51" s="20"/>
      <c r="B51" s="20"/>
      <c r="C51" s="20"/>
      <c r="D51" s="20"/>
      <c r="E51" s="20"/>
      <c r="F51" s="20"/>
      <c r="G51" s="20"/>
      <c r="H51" s="20"/>
      <c r="J51" s="101" t="s">
        <v>176</v>
      </c>
      <c r="K51" s="114" t="s">
        <v>144</v>
      </c>
    </row>
    <row r="52" spans="1:17" ht="15.75" thickBot="1" x14ac:dyDescent="0.3">
      <c r="A52" s="20"/>
      <c r="B52" s="20"/>
      <c r="C52" s="20"/>
      <c r="D52" s="20"/>
      <c r="E52" s="20"/>
      <c r="F52" s="20"/>
      <c r="G52" s="20"/>
      <c r="H52" s="20"/>
    </row>
    <row r="53" spans="1:17" ht="24" thickBot="1" x14ac:dyDescent="0.4">
      <c r="A53" s="81" t="s">
        <v>180</v>
      </c>
      <c r="B53" s="82"/>
      <c r="C53" s="82"/>
      <c r="D53" s="82"/>
      <c r="E53" s="82"/>
      <c r="F53" s="82"/>
      <c r="G53" s="82"/>
      <c r="H53" s="83"/>
    </row>
    <row r="54" spans="1:17" ht="18.75" x14ac:dyDescent="0.3">
      <c r="A54" s="86" t="s">
        <v>181</v>
      </c>
      <c r="B54" s="86" t="s">
        <v>182</v>
      </c>
      <c r="C54" s="86"/>
      <c r="D54" s="86"/>
      <c r="E54" s="86"/>
      <c r="F54" s="85" t="s">
        <v>118</v>
      </c>
      <c r="G54" s="85" t="s">
        <v>113</v>
      </c>
      <c r="H54" s="85" t="s">
        <v>29</v>
      </c>
    </row>
    <row r="55" spans="1:17" x14ac:dyDescent="0.25">
      <c r="A55" s="170" t="s">
        <v>139</v>
      </c>
      <c r="B55" s="187"/>
      <c r="C55" s="187"/>
      <c r="D55" s="187"/>
      <c r="E55" s="188"/>
      <c r="F55" s="127" t="s">
        <v>81</v>
      </c>
      <c r="G55" s="129">
        <v>5</v>
      </c>
      <c r="H55" s="130">
        <f>IF(F55="Admin",$K$8*G55,IF(F55="BK",$K$9*G55,IF(F55="BK2",$K$10*G55,IF(F55="Acct",$K$11*G55,IF(F55="CPA1",$K$12*G55,IF(F55="CPA2",$K$13*G55,IF(F55="CPA3",$K$14*G55,"")))))))</f>
        <v>875</v>
      </c>
    </row>
    <row r="56" spans="1:17" x14ac:dyDescent="0.25">
      <c r="A56" s="170" t="s">
        <v>147</v>
      </c>
      <c r="B56" s="187"/>
      <c r="C56" s="187"/>
      <c r="D56" s="187"/>
      <c r="E56" s="188"/>
      <c r="F56" s="127" t="s">
        <v>3</v>
      </c>
      <c r="G56" s="129">
        <v>4</v>
      </c>
      <c r="H56" s="130">
        <f t="shared" ref="H56:H67" si="1">IF(F56="Admin",$L$19*G56,IF(F56="BK",$L$20*G56,IF(F56="BK2",$L$21*G56,IF(F56="Acct",$L$22*G56,IF(F56="CPA1",$L$23*G56,IF(F56="CPA2",$L$24*G56,IF(F56="CPA3",$L$25*G56,"")))))))</f>
        <v>800</v>
      </c>
    </row>
    <row r="57" spans="1:17" x14ac:dyDescent="0.25">
      <c r="A57" s="170" t="s">
        <v>172</v>
      </c>
      <c r="B57" s="187"/>
      <c r="C57" s="187"/>
      <c r="D57" s="187"/>
      <c r="E57" s="188"/>
      <c r="F57" s="127"/>
      <c r="G57" s="129"/>
      <c r="H57" s="130" t="str">
        <f t="shared" si="1"/>
        <v/>
      </c>
    </row>
    <row r="58" spans="1:17" x14ac:dyDescent="0.25">
      <c r="A58" s="171" t="s">
        <v>156</v>
      </c>
      <c r="B58" s="187"/>
      <c r="C58" s="187"/>
      <c r="D58" s="187"/>
      <c r="E58" s="188"/>
      <c r="F58" s="127"/>
      <c r="G58" s="129"/>
      <c r="H58" s="130" t="str">
        <f t="shared" si="1"/>
        <v/>
      </c>
    </row>
    <row r="59" spans="1:17" x14ac:dyDescent="0.25">
      <c r="A59" s="171" t="s">
        <v>157</v>
      </c>
      <c r="B59" s="187"/>
      <c r="C59" s="187"/>
      <c r="D59" s="187"/>
      <c r="E59" s="188"/>
      <c r="F59" s="127"/>
      <c r="G59" s="129"/>
      <c r="H59" s="130" t="str">
        <f t="shared" si="1"/>
        <v/>
      </c>
    </row>
    <row r="60" spans="1:17" x14ac:dyDescent="0.25">
      <c r="A60" s="171" t="s">
        <v>161</v>
      </c>
      <c r="B60" s="187"/>
      <c r="C60" s="187"/>
      <c r="D60" s="187"/>
      <c r="E60" s="188"/>
      <c r="F60" s="127"/>
      <c r="G60" s="129"/>
      <c r="H60" s="130" t="str">
        <f t="shared" si="1"/>
        <v/>
      </c>
    </row>
    <row r="61" spans="1:17" ht="15.75" x14ac:dyDescent="0.25">
      <c r="A61" s="171" t="s">
        <v>162</v>
      </c>
      <c r="B61" s="187"/>
      <c r="C61" s="187"/>
      <c r="D61" s="187"/>
      <c r="E61" s="188"/>
      <c r="F61" s="127"/>
      <c r="G61" s="129"/>
      <c r="H61" s="130" t="str">
        <f t="shared" si="1"/>
        <v/>
      </c>
      <c r="J61" s="104" t="s">
        <v>127</v>
      </c>
      <c r="P61" s="7"/>
      <c r="Q61" s="7"/>
    </row>
    <row r="62" spans="1:17" ht="18.75" x14ac:dyDescent="0.3">
      <c r="A62" s="171" t="s">
        <v>166</v>
      </c>
      <c r="B62" s="187"/>
      <c r="C62" s="187"/>
      <c r="D62" s="187"/>
      <c r="E62" s="188"/>
      <c r="F62" s="127"/>
      <c r="G62" s="129"/>
      <c r="H62" s="130" t="str">
        <f t="shared" si="1"/>
        <v/>
      </c>
      <c r="J62" s="37" t="s">
        <v>71</v>
      </c>
      <c r="K62" s="37" t="s">
        <v>94</v>
      </c>
      <c r="L62" s="37" t="s">
        <v>95</v>
      </c>
      <c r="M62" s="37" t="s">
        <v>96</v>
      </c>
      <c r="N62" s="37" t="s">
        <v>97</v>
      </c>
      <c r="O62" s="37" t="s">
        <v>98</v>
      </c>
      <c r="P62" s="115" t="s">
        <v>104</v>
      </c>
      <c r="Q62" s="7"/>
    </row>
    <row r="63" spans="1:17" ht="18.75" x14ac:dyDescent="0.3">
      <c r="A63" s="171" t="s">
        <v>167</v>
      </c>
      <c r="B63" s="187"/>
      <c r="C63" s="187"/>
      <c r="D63" s="187"/>
      <c r="E63" s="188"/>
      <c r="F63" s="127"/>
      <c r="G63" s="129"/>
      <c r="H63" s="130" t="str">
        <f t="shared" si="1"/>
        <v/>
      </c>
      <c r="J63" s="101" t="s">
        <v>74</v>
      </c>
      <c r="K63" s="161">
        <f t="shared" ref="K63:K69" si="2">(SUMIF($F$55:$F$68,J63,$G$55:$G$68))</f>
        <v>0</v>
      </c>
      <c r="L63" s="121">
        <f t="shared" ref="L63:L69" si="3">+K63/$K$70</f>
        <v>0</v>
      </c>
      <c r="M63" s="122">
        <f t="shared" ref="M63:M69" si="4">+K63*L19</f>
        <v>0</v>
      </c>
      <c r="N63" s="121">
        <f t="shared" ref="N63:N69" si="5">+M63/$M$70</f>
        <v>0</v>
      </c>
      <c r="O63" s="122">
        <f>$C$19*N63</f>
        <v>0</v>
      </c>
      <c r="P63" s="116">
        <f t="shared" ref="P63:P69" si="6">IF(K63&gt;0,+O63/K63,0)</f>
        <v>0</v>
      </c>
      <c r="Q63" s="7"/>
    </row>
    <row r="64" spans="1:17" ht="18.75" x14ac:dyDescent="0.3">
      <c r="A64" s="171" t="s">
        <v>176</v>
      </c>
      <c r="B64" s="187"/>
      <c r="C64" s="187"/>
      <c r="D64" s="187"/>
      <c r="E64" s="188"/>
      <c r="F64" s="127"/>
      <c r="G64" s="129"/>
      <c r="H64" s="130" t="str">
        <f t="shared" si="1"/>
        <v/>
      </c>
      <c r="J64" s="7" t="s">
        <v>0</v>
      </c>
      <c r="K64" s="161">
        <f t="shared" si="2"/>
        <v>0</v>
      </c>
      <c r="L64" s="121">
        <f t="shared" si="3"/>
        <v>0</v>
      </c>
      <c r="M64" s="122">
        <f t="shared" si="4"/>
        <v>0</v>
      </c>
      <c r="N64" s="121">
        <f t="shared" si="5"/>
        <v>0</v>
      </c>
      <c r="O64" s="122">
        <f t="shared" ref="O64:O69" si="7">$C$19*N64</f>
        <v>0</v>
      </c>
      <c r="P64" s="116">
        <f t="shared" si="6"/>
        <v>0</v>
      </c>
      <c r="Q64" s="7"/>
    </row>
    <row r="65" spans="1:17" ht="18.75" x14ac:dyDescent="0.3">
      <c r="A65" s="132" t="s">
        <v>120</v>
      </c>
      <c r="B65" s="187"/>
      <c r="C65" s="187"/>
      <c r="D65" s="187"/>
      <c r="E65" s="188"/>
      <c r="F65" s="127"/>
      <c r="G65" s="129"/>
      <c r="H65" s="130" t="str">
        <f t="shared" si="1"/>
        <v/>
      </c>
      <c r="J65" s="7" t="s">
        <v>51</v>
      </c>
      <c r="K65" s="161">
        <f t="shared" si="2"/>
        <v>0</v>
      </c>
      <c r="L65" s="121">
        <f t="shared" si="3"/>
        <v>0</v>
      </c>
      <c r="M65" s="122">
        <f t="shared" si="4"/>
        <v>0</v>
      </c>
      <c r="N65" s="121">
        <f t="shared" si="5"/>
        <v>0</v>
      </c>
      <c r="O65" s="122">
        <f t="shared" si="7"/>
        <v>0</v>
      </c>
      <c r="P65" s="116">
        <f t="shared" si="6"/>
        <v>0</v>
      </c>
      <c r="Q65" s="7"/>
    </row>
    <row r="66" spans="1:17" ht="18.75" x14ac:dyDescent="0.3">
      <c r="A66" s="132" t="s">
        <v>120</v>
      </c>
      <c r="B66" s="187"/>
      <c r="C66" s="187"/>
      <c r="D66" s="187"/>
      <c r="E66" s="188"/>
      <c r="F66" s="127"/>
      <c r="G66" s="129"/>
      <c r="H66" s="130" t="str">
        <f t="shared" si="1"/>
        <v/>
      </c>
      <c r="J66" s="7" t="s">
        <v>90</v>
      </c>
      <c r="K66" s="161">
        <f t="shared" si="2"/>
        <v>0</v>
      </c>
      <c r="L66" s="121">
        <f t="shared" si="3"/>
        <v>0</v>
      </c>
      <c r="M66" s="122">
        <f t="shared" si="4"/>
        <v>0</v>
      </c>
      <c r="N66" s="121">
        <f t="shared" si="5"/>
        <v>0</v>
      </c>
      <c r="O66" s="122">
        <f t="shared" si="7"/>
        <v>0</v>
      </c>
      <c r="P66" s="116">
        <f t="shared" si="6"/>
        <v>0</v>
      </c>
      <c r="Q66" s="7"/>
    </row>
    <row r="67" spans="1:17" ht="18.75" x14ac:dyDescent="0.3">
      <c r="A67" s="132" t="s">
        <v>120</v>
      </c>
      <c r="B67" s="187"/>
      <c r="C67" s="187"/>
      <c r="D67" s="187"/>
      <c r="E67" s="188"/>
      <c r="F67" s="127"/>
      <c r="G67" s="129"/>
      <c r="H67" s="130" t="str">
        <f t="shared" si="1"/>
        <v/>
      </c>
      <c r="J67" s="7" t="s">
        <v>1</v>
      </c>
      <c r="K67" s="161">
        <f t="shared" si="2"/>
        <v>0</v>
      </c>
      <c r="L67" s="121">
        <f t="shared" si="3"/>
        <v>0</v>
      </c>
      <c r="M67" s="122">
        <f t="shared" si="4"/>
        <v>0</v>
      </c>
      <c r="N67" s="121">
        <f t="shared" si="5"/>
        <v>0</v>
      </c>
      <c r="O67" s="122">
        <f t="shared" si="7"/>
        <v>0</v>
      </c>
      <c r="P67" s="116">
        <f t="shared" si="6"/>
        <v>0</v>
      </c>
      <c r="Q67" s="7"/>
    </row>
    <row r="68" spans="1:17" ht="18.75" x14ac:dyDescent="0.3">
      <c r="F68" s="165" t="s">
        <v>135</v>
      </c>
      <c r="G68" s="139">
        <f>SUM(G55:G67)</f>
        <v>9</v>
      </c>
      <c r="H68" s="140">
        <f>SUM(H55:H67)</f>
        <v>1675</v>
      </c>
      <c r="J68" s="7" t="s">
        <v>3</v>
      </c>
      <c r="K68" s="161">
        <f t="shared" si="2"/>
        <v>4</v>
      </c>
      <c r="L68" s="121">
        <f t="shared" si="3"/>
        <v>0.44444444444444442</v>
      </c>
      <c r="M68" s="122">
        <f t="shared" si="4"/>
        <v>800</v>
      </c>
      <c r="N68" s="121">
        <f t="shared" si="5"/>
        <v>1</v>
      </c>
      <c r="O68" s="122">
        <f t="shared" si="7"/>
        <v>1200</v>
      </c>
      <c r="P68" s="116">
        <f t="shared" si="6"/>
        <v>300</v>
      </c>
      <c r="Q68" s="7"/>
    </row>
    <row r="69" spans="1:17" ht="18.75" x14ac:dyDescent="0.3">
      <c r="J69" s="101" t="s">
        <v>81</v>
      </c>
      <c r="K69" s="161">
        <f t="shared" si="2"/>
        <v>5</v>
      </c>
      <c r="L69" s="121">
        <f t="shared" si="3"/>
        <v>0.55555555555555558</v>
      </c>
      <c r="M69" s="122">
        <f t="shared" si="4"/>
        <v>0</v>
      </c>
      <c r="N69" s="121">
        <f t="shared" si="5"/>
        <v>0</v>
      </c>
      <c r="O69" s="122">
        <f t="shared" si="7"/>
        <v>0</v>
      </c>
      <c r="P69" s="116">
        <f t="shared" si="6"/>
        <v>0</v>
      </c>
      <c r="Q69" s="7"/>
    </row>
    <row r="70" spans="1:17" ht="18.75" x14ac:dyDescent="0.3">
      <c r="J70" s="110" t="s">
        <v>93</v>
      </c>
      <c r="K70" s="164">
        <f>SUM(K63:K69)</f>
        <v>9</v>
      </c>
      <c r="L70" s="124">
        <f>SUM(L63:L69)</f>
        <v>1</v>
      </c>
      <c r="M70" s="125">
        <f>SUM(M63:M69)</f>
        <v>800</v>
      </c>
      <c r="N70" s="124">
        <f>SUM(N63:N69)</f>
        <v>1</v>
      </c>
      <c r="O70" s="125">
        <f>SUM(O63:O69)</f>
        <v>1200</v>
      </c>
      <c r="P70" s="117"/>
      <c r="Q70" s="7"/>
    </row>
    <row r="71" spans="1:17" x14ac:dyDescent="0.25">
      <c r="P71" s="7"/>
      <c r="Q71" s="7"/>
    </row>
    <row r="72" spans="1:17" x14ac:dyDescent="0.25">
      <c r="L72" s="56"/>
      <c r="P72" s="7"/>
      <c r="Q72" s="7"/>
    </row>
    <row r="73" spans="1:17" ht="15.75" x14ac:dyDescent="0.25">
      <c r="J73" s="104" t="s">
        <v>107</v>
      </c>
      <c r="P73" s="7"/>
      <c r="Q73" s="7"/>
    </row>
    <row r="74" spans="1:17" x14ac:dyDescent="0.25">
      <c r="J74" s="37" t="s">
        <v>71</v>
      </c>
      <c r="K74" s="37" t="s">
        <v>98</v>
      </c>
      <c r="L74" s="37" t="s">
        <v>99</v>
      </c>
      <c r="M74" s="37" t="s">
        <v>100</v>
      </c>
      <c r="N74" s="37" t="s">
        <v>101</v>
      </c>
      <c r="O74" s="37" t="s">
        <v>108</v>
      </c>
      <c r="P74" s="37" t="s">
        <v>109</v>
      </c>
      <c r="Q74" s="7"/>
    </row>
    <row r="75" spans="1:17" ht="18.75" x14ac:dyDescent="0.3">
      <c r="J75" s="101" t="s">
        <v>74</v>
      </c>
      <c r="K75" s="113">
        <f t="shared" ref="K75:K81" si="8">+O63</f>
        <v>0</v>
      </c>
      <c r="L75" s="113">
        <f t="shared" ref="L75:L81" si="9">+K63*P19</f>
        <v>0</v>
      </c>
      <c r="M75" s="116">
        <f>+K75-L75</f>
        <v>0</v>
      </c>
      <c r="N75" s="118" t="str">
        <f t="shared" ref="N75:N81" si="10">IF(M75&gt;0,M75/K75,"-")</f>
        <v>-</v>
      </c>
      <c r="O75" s="111">
        <v>0.38</v>
      </c>
      <c r="P75" s="118" t="str">
        <f t="shared" ref="P75:P81" si="11">IF(M75&gt;0,N75-O75,"-")</f>
        <v>-</v>
      </c>
      <c r="Q75" s="7"/>
    </row>
    <row r="76" spans="1:17" ht="18.75" x14ac:dyDescent="0.3">
      <c r="J76" s="7" t="s">
        <v>0</v>
      </c>
      <c r="K76" s="113">
        <f t="shared" si="8"/>
        <v>0</v>
      </c>
      <c r="L76" s="113">
        <f t="shared" si="9"/>
        <v>0</v>
      </c>
      <c r="M76" s="116">
        <f t="shared" ref="M76:M81" si="12">+K76-L76</f>
        <v>0</v>
      </c>
      <c r="N76" s="118" t="str">
        <f t="shared" si="10"/>
        <v>-</v>
      </c>
      <c r="O76" s="111">
        <v>0.38</v>
      </c>
      <c r="P76" s="118" t="str">
        <f t="shared" si="11"/>
        <v>-</v>
      </c>
      <c r="Q76" s="7"/>
    </row>
    <row r="77" spans="1:17" ht="18.75" x14ac:dyDescent="0.3">
      <c r="J77" s="7" t="s">
        <v>51</v>
      </c>
      <c r="K77" s="113">
        <f t="shared" si="8"/>
        <v>0</v>
      </c>
      <c r="L77" s="113">
        <f t="shared" si="9"/>
        <v>0</v>
      </c>
      <c r="M77" s="116">
        <f t="shared" si="12"/>
        <v>0</v>
      </c>
      <c r="N77" s="118" t="str">
        <f t="shared" si="10"/>
        <v>-</v>
      </c>
      <c r="O77" s="111">
        <v>0.38</v>
      </c>
      <c r="P77" s="118" t="str">
        <f t="shared" si="11"/>
        <v>-</v>
      </c>
      <c r="Q77" s="7"/>
    </row>
    <row r="78" spans="1:17" ht="18.75" x14ac:dyDescent="0.3">
      <c r="J78" s="7" t="s">
        <v>90</v>
      </c>
      <c r="K78" s="113">
        <f t="shared" si="8"/>
        <v>0</v>
      </c>
      <c r="L78" s="113">
        <f t="shared" si="9"/>
        <v>0</v>
      </c>
      <c r="M78" s="116">
        <f t="shared" si="12"/>
        <v>0</v>
      </c>
      <c r="N78" s="118" t="str">
        <f t="shared" si="10"/>
        <v>-</v>
      </c>
      <c r="O78" s="111">
        <v>0.38</v>
      </c>
      <c r="P78" s="118" t="str">
        <f t="shared" si="11"/>
        <v>-</v>
      </c>
      <c r="Q78" s="7"/>
    </row>
    <row r="79" spans="1:17" ht="18.75" x14ac:dyDescent="0.3">
      <c r="J79" s="7" t="s">
        <v>1</v>
      </c>
      <c r="K79" s="113">
        <f t="shared" si="8"/>
        <v>0</v>
      </c>
      <c r="L79" s="113">
        <f t="shared" si="9"/>
        <v>0</v>
      </c>
      <c r="M79" s="116">
        <f t="shared" si="12"/>
        <v>0</v>
      </c>
      <c r="N79" s="118" t="str">
        <f t="shared" si="10"/>
        <v>-</v>
      </c>
      <c r="O79" s="111">
        <v>0.38</v>
      </c>
      <c r="P79" s="118" t="str">
        <f t="shared" si="11"/>
        <v>-</v>
      </c>
      <c r="Q79" s="7"/>
    </row>
    <row r="80" spans="1:17" ht="18.75" x14ac:dyDescent="0.3">
      <c r="J80" s="7" t="s">
        <v>3</v>
      </c>
      <c r="K80" s="113">
        <f t="shared" si="8"/>
        <v>1200</v>
      </c>
      <c r="L80" s="113">
        <f t="shared" si="9"/>
        <v>120</v>
      </c>
      <c r="M80" s="116">
        <f t="shared" si="12"/>
        <v>1080</v>
      </c>
      <c r="N80" s="118">
        <f t="shared" si="10"/>
        <v>0.9</v>
      </c>
      <c r="O80" s="111">
        <v>0.38</v>
      </c>
      <c r="P80" s="118">
        <f t="shared" si="11"/>
        <v>0.52</v>
      </c>
      <c r="Q80" s="7"/>
    </row>
    <row r="81" spans="10:17" ht="18.75" x14ac:dyDescent="0.3">
      <c r="J81" s="101" t="s">
        <v>81</v>
      </c>
      <c r="K81" s="113">
        <f t="shared" si="8"/>
        <v>0</v>
      </c>
      <c r="L81" s="113">
        <f t="shared" si="9"/>
        <v>0</v>
      </c>
      <c r="M81" s="116">
        <f t="shared" si="12"/>
        <v>0</v>
      </c>
      <c r="N81" s="118" t="str">
        <f t="shared" si="10"/>
        <v>-</v>
      </c>
      <c r="O81" s="111">
        <v>0.38</v>
      </c>
      <c r="P81" s="118" t="str">
        <f t="shared" si="11"/>
        <v>-</v>
      </c>
      <c r="Q81" s="7"/>
    </row>
    <row r="82" spans="10:17" x14ac:dyDescent="0.25">
      <c r="J82" s="110" t="s">
        <v>93</v>
      </c>
      <c r="K82" s="56">
        <f>SUM(K75:K81)</f>
        <v>1200</v>
      </c>
      <c r="L82" s="56">
        <f>SUM(L75:L81)</f>
        <v>120</v>
      </c>
      <c r="M82" s="56">
        <f>SUM(M75:M81)</f>
        <v>1080</v>
      </c>
      <c r="N82" s="56"/>
      <c r="O82" s="113"/>
      <c r="P82" s="7"/>
      <c r="Q82" s="7"/>
    </row>
    <row r="83" spans="10:17" x14ac:dyDescent="0.25">
      <c r="O83" s="113"/>
      <c r="P83" s="7"/>
      <c r="Q83" s="7"/>
    </row>
    <row r="84" spans="10:17" x14ac:dyDescent="0.25">
      <c r="O84" s="113"/>
      <c r="P84" s="7"/>
      <c r="Q84" s="7"/>
    </row>
    <row r="85" spans="10:17" x14ac:dyDescent="0.25">
      <c r="O85" s="56"/>
      <c r="P85" s="7"/>
      <c r="Q85" s="7"/>
    </row>
    <row r="86" spans="10:17" x14ac:dyDescent="0.25">
      <c r="P86" s="7"/>
      <c r="Q86" s="7"/>
    </row>
    <row r="87" spans="10:17" ht="28.5" x14ac:dyDescent="0.45">
      <c r="J87" s="159" t="s">
        <v>130</v>
      </c>
      <c r="P87" s="7"/>
      <c r="Q87" s="7"/>
    </row>
    <row r="88" spans="10:17" x14ac:dyDescent="0.25">
      <c r="N88" s="7"/>
      <c r="O88" s="7"/>
      <c r="P88" s="7"/>
      <c r="Q88" s="7"/>
    </row>
    <row r="89" spans="10:17" x14ac:dyDescent="0.25">
      <c r="J89" s="37" t="s">
        <v>35</v>
      </c>
      <c r="N89" s="7"/>
      <c r="O89" s="7"/>
      <c r="P89" s="7"/>
      <c r="Q89" s="7"/>
    </row>
    <row r="90" spans="10:17" x14ac:dyDescent="0.25">
      <c r="J90" s="101" t="s">
        <v>131</v>
      </c>
      <c r="N90" s="7"/>
      <c r="O90" s="7"/>
      <c r="P90" s="7"/>
      <c r="Q90" s="7"/>
    </row>
    <row r="91" spans="10:17" x14ac:dyDescent="0.25">
      <c r="J91" s="158" t="s">
        <v>132</v>
      </c>
      <c r="N91" s="7"/>
      <c r="O91" s="7"/>
      <c r="P91" s="7"/>
      <c r="Q91" s="7"/>
    </row>
    <row r="92" spans="10:17" x14ac:dyDescent="0.25">
      <c r="P92" s="7"/>
      <c r="Q92" s="7"/>
    </row>
    <row r="93" spans="10:17" x14ac:dyDescent="0.25">
      <c r="P93" s="7"/>
      <c r="Q93" s="7"/>
    </row>
    <row r="94" spans="10:17" x14ac:dyDescent="0.25">
      <c r="P94" s="7"/>
      <c r="Q94" s="7"/>
    </row>
    <row r="95" spans="10:17" x14ac:dyDescent="0.25">
      <c r="P95" s="7"/>
      <c r="Q95" s="7"/>
    </row>
    <row r="96" spans="10:17" x14ac:dyDescent="0.25">
      <c r="P96" s="7"/>
      <c r="Q96" s="7"/>
    </row>
    <row r="97" spans="16:17" x14ac:dyDescent="0.25">
      <c r="P97" s="7"/>
      <c r="Q97" s="7"/>
    </row>
    <row r="98" spans="16:17" x14ac:dyDescent="0.25">
      <c r="P98" s="7"/>
      <c r="Q98" s="7"/>
    </row>
    <row r="99" spans="16:17" x14ac:dyDescent="0.25">
      <c r="P99" s="7"/>
      <c r="Q99" s="7"/>
    </row>
    <row r="100" spans="16:17" x14ac:dyDescent="0.25">
      <c r="P100" s="7"/>
      <c r="Q100" s="7"/>
    </row>
    <row r="101" spans="16:17" x14ac:dyDescent="0.25">
      <c r="P101" s="7"/>
      <c r="Q101" s="7"/>
    </row>
    <row r="102" spans="16:17" x14ac:dyDescent="0.25">
      <c r="P102" s="7"/>
      <c r="Q102" s="7"/>
    </row>
    <row r="103" spans="16:17" x14ac:dyDescent="0.25">
      <c r="P103" s="7"/>
      <c r="Q103" s="7"/>
    </row>
    <row r="104" spans="16:17" x14ac:dyDescent="0.25">
      <c r="P104" s="7"/>
      <c r="Q104" s="7"/>
    </row>
    <row r="105" spans="16:17" x14ac:dyDescent="0.25">
      <c r="P105" s="7"/>
      <c r="Q105" s="7"/>
    </row>
    <row r="106" spans="16:17" x14ac:dyDescent="0.25">
      <c r="P106" s="7"/>
      <c r="Q106" s="7"/>
    </row>
    <row r="107" spans="16:17" x14ac:dyDescent="0.25">
      <c r="P107" s="7"/>
      <c r="Q107" s="7"/>
    </row>
    <row r="108" spans="16:17" x14ac:dyDescent="0.25">
      <c r="P108" s="7"/>
      <c r="Q108" s="7"/>
    </row>
    <row r="109" spans="16:17" x14ac:dyDescent="0.25">
      <c r="P109" s="7"/>
      <c r="Q109" s="7"/>
    </row>
    <row r="110" spans="16:17" x14ac:dyDescent="0.25">
      <c r="P110" s="7"/>
      <c r="Q110" s="7"/>
    </row>
    <row r="111" spans="16:17" x14ac:dyDescent="0.25">
      <c r="P111" s="7"/>
      <c r="Q111" s="7"/>
    </row>
    <row r="112" spans="16:17" x14ac:dyDescent="0.25">
      <c r="P112" s="7"/>
      <c r="Q112" s="7"/>
    </row>
    <row r="113" spans="16:17" x14ac:dyDescent="0.25">
      <c r="P113" s="7"/>
      <c r="Q113" s="7"/>
    </row>
    <row r="114" spans="16:17" x14ac:dyDescent="0.25">
      <c r="P114" s="7"/>
      <c r="Q114" s="7"/>
    </row>
    <row r="115" spans="16:17" x14ac:dyDescent="0.25">
      <c r="P115" s="7"/>
      <c r="Q115" s="7"/>
    </row>
    <row r="116" spans="16:17" x14ac:dyDescent="0.25">
      <c r="P116" s="7"/>
      <c r="Q116" s="7"/>
    </row>
    <row r="117" spans="16:17" x14ac:dyDescent="0.25">
      <c r="P117" s="7"/>
      <c r="Q117" s="7"/>
    </row>
    <row r="118" spans="16:17" x14ac:dyDescent="0.25">
      <c r="P118" s="7"/>
      <c r="Q118" s="7"/>
    </row>
    <row r="119" spans="16:17" x14ac:dyDescent="0.25">
      <c r="P119" s="7"/>
      <c r="Q119" s="7"/>
    </row>
    <row r="120" spans="16:17" x14ac:dyDescent="0.25">
      <c r="P120" s="7"/>
      <c r="Q120" s="7"/>
    </row>
    <row r="121" spans="16:17" x14ac:dyDescent="0.25">
      <c r="P121" s="7"/>
      <c r="Q121" s="7"/>
    </row>
    <row r="122" spans="16:17" x14ac:dyDescent="0.25">
      <c r="P122" s="7"/>
      <c r="Q122" s="7"/>
    </row>
    <row r="123" spans="16:17" x14ac:dyDescent="0.25">
      <c r="P123" s="7"/>
      <c r="Q123" s="7"/>
    </row>
    <row r="124" spans="16:17" x14ac:dyDescent="0.25">
      <c r="P124" s="7"/>
      <c r="Q124" s="7"/>
    </row>
    <row r="125" spans="16:17" x14ac:dyDescent="0.25">
      <c r="P125" s="7"/>
      <c r="Q125" s="7"/>
    </row>
    <row r="126" spans="16:17" x14ac:dyDescent="0.25">
      <c r="P126" s="7"/>
      <c r="Q126" s="7"/>
    </row>
    <row r="127" spans="16:17" x14ac:dyDescent="0.25">
      <c r="P127" s="7"/>
      <c r="Q127" s="7"/>
    </row>
    <row r="128" spans="16:17" x14ac:dyDescent="0.25">
      <c r="P128" s="7"/>
      <c r="Q128" s="7"/>
    </row>
    <row r="129" spans="16:17" x14ac:dyDescent="0.25">
      <c r="P129" s="7"/>
      <c r="Q129" s="7"/>
    </row>
    <row r="130" spans="16:17" x14ac:dyDescent="0.25">
      <c r="P130" s="7"/>
      <c r="Q130" s="7"/>
    </row>
    <row r="131" spans="16:17" x14ac:dyDescent="0.25">
      <c r="P131" s="7"/>
      <c r="Q131" s="7"/>
    </row>
    <row r="132" spans="16:17" x14ac:dyDescent="0.25">
      <c r="P132" s="7"/>
      <c r="Q132" s="7"/>
    </row>
    <row r="133" spans="16:17" x14ac:dyDescent="0.25">
      <c r="P133" s="7"/>
      <c r="Q133" s="7"/>
    </row>
    <row r="134" spans="16:17" x14ac:dyDescent="0.25">
      <c r="P134" s="7"/>
      <c r="Q134" s="7"/>
    </row>
    <row r="135" spans="16:17" x14ac:dyDescent="0.25">
      <c r="P135" s="7"/>
      <c r="Q135" s="7"/>
    </row>
    <row r="136" spans="16:17" x14ac:dyDescent="0.25">
      <c r="P136" s="7"/>
      <c r="Q136" s="7"/>
    </row>
    <row r="137" spans="16:17" x14ac:dyDescent="0.25">
      <c r="P137" s="7"/>
      <c r="Q137" s="7"/>
    </row>
    <row r="138" spans="16:17" x14ac:dyDescent="0.25">
      <c r="P138" s="7"/>
      <c r="Q138" s="7"/>
    </row>
    <row r="139" spans="16:17" x14ac:dyDescent="0.25">
      <c r="P139" s="7"/>
      <c r="Q139" s="7"/>
    </row>
    <row r="140" spans="16:17" x14ac:dyDescent="0.25">
      <c r="P140" s="7"/>
      <c r="Q140" s="7"/>
    </row>
    <row r="141" spans="16:17" x14ac:dyDescent="0.25">
      <c r="P141" s="7"/>
      <c r="Q141" s="7"/>
    </row>
  </sheetData>
  <mergeCells count="41">
    <mergeCell ref="B8:C8"/>
    <mergeCell ref="D26:H26"/>
    <mergeCell ref="D27:H27"/>
    <mergeCell ref="D28:H28"/>
    <mergeCell ref="D29:H29"/>
    <mergeCell ref="D10:H10"/>
    <mergeCell ref="D11:H11"/>
    <mergeCell ref="D12:H12"/>
    <mergeCell ref="D13:H13"/>
    <mergeCell ref="D14:H14"/>
    <mergeCell ref="D15:H15"/>
    <mergeCell ref="B42:E42"/>
    <mergeCell ref="B43:E43"/>
    <mergeCell ref="B44:E44"/>
    <mergeCell ref="B36:E36"/>
    <mergeCell ref="B37:E37"/>
    <mergeCell ref="B38:E38"/>
    <mergeCell ref="B39:E39"/>
    <mergeCell ref="B40:E40"/>
    <mergeCell ref="B41:E41"/>
    <mergeCell ref="B63:E63"/>
    <mergeCell ref="B64:E64"/>
    <mergeCell ref="B65:E65"/>
    <mergeCell ref="B66:E66"/>
    <mergeCell ref="B67:E67"/>
    <mergeCell ref="B61:E61"/>
    <mergeCell ref="B62:E62"/>
    <mergeCell ref="D16:H16"/>
    <mergeCell ref="D17:H17"/>
    <mergeCell ref="D18:H18"/>
    <mergeCell ref="D19:H19"/>
    <mergeCell ref="B55:E55"/>
    <mergeCell ref="B56:E56"/>
    <mergeCell ref="D23:H23"/>
    <mergeCell ref="D24:H24"/>
    <mergeCell ref="D25:H25"/>
    <mergeCell ref="B35:E35"/>
    <mergeCell ref="B57:E57"/>
    <mergeCell ref="B58:E58"/>
    <mergeCell ref="B59:E59"/>
    <mergeCell ref="B60:E60"/>
  </mergeCells>
  <printOptions headings="1"/>
  <pageMargins left="0.45" right="0.45" top="0.5" bottom="0.5" header="0.3" footer="0.3"/>
  <pageSetup scale="70" orientation="landscape" r:id="rId1"/>
  <rowBreaks count="1" manualBreakCount="1">
    <brk id="29"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MO Client SOW &amp; Est</vt:lpstr>
      <vt:lpstr>Special Project SOW &amp; Est</vt:lpstr>
      <vt:lpstr>Tax Returns &amp; Consult SOW &amp; Est</vt:lpstr>
      <vt:lpstr>'MO Client SOW &amp; Est'!Print_Area</vt:lpstr>
      <vt:lpstr>'Special Project SOW &amp; Est'!Print_Area</vt:lpstr>
      <vt:lpstr>'Tax Returns &amp; Consult SOW &amp; Est'!Print_Area</vt:lpstr>
      <vt:lpstr>'MO Client SOW &amp; Est'!Print_Titles</vt:lpstr>
      <vt:lpstr>'Special Project SOW &amp; Est'!Print_Titles</vt:lpstr>
      <vt:lpstr>'Tax Returns &amp; Consult SOW &amp; Est'!Print_Titles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Callaway</dc:creator>
  <cp:lastModifiedBy>Kyle</cp:lastModifiedBy>
  <cp:lastPrinted>2018-07-17T15:08:05Z</cp:lastPrinted>
  <dcterms:created xsi:type="dcterms:W3CDTF">2015-07-09T11:11:22Z</dcterms:created>
  <dcterms:modified xsi:type="dcterms:W3CDTF">2018-07-30T01:50:15Z</dcterms:modified>
</cp:coreProperties>
</file>