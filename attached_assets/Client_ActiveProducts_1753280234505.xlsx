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llawaycpa-my.sharepoint.com/personal/k_callaway_callawaycpatx_com/Documents/FileCab_callawaycpa/templates/"/>
    </mc:Choice>
  </mc:AlternateContent>
  <xr:revisionPtr revIDLastSave="2" documentId="8_{F24611EE-93F1-4650-B488-15BC737011BB}" xr6:coauthVersionLast="47" xr6:coauthVersionMax="47" xr10:uidLastSave="{64FF40F2-0DCC-4EA8-AD91-2E91E6D72AAD}"/>
  <bookViews>
    <workbookView xWindow="28680" yWindow="-120" windowWidth="29040" windowHeight="15720" xr2:uid="{00000000-000D-0000-FFFF-FFFF00000000}"/>
  </bookViews>
  <sheets>
    <sheet name="Proposal_Summary" sheetId="1" r:id="rId1"/>
  </sheets>
  <externalReferences>
    <externalReference r:id="rId2"/>
  </externalReferences>
  <definedNames>
    <definedName name="_xlnm._FilterDatabase" localSheetId="0">Proposal_Summary!$A$1:$AE$788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785" i="1" l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X10" i="1" s="1"/>
  <c r="U9" i="1"/>
  <c r="U8" i="1"/>
  <c r="U7" i="1"/>
  <c r="U6" i="1"/>
  <c r="U5" i="1"/>
  <c r="U4" i="1"/>
  <c r="U3" i="1"/>
  <c r="X788" i="1" l="1"/>
  <c r="X787" i="1"/>
  <c r="X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X337" i="1" l="1"/>
  <c r="X231" i="1"/>
  <c r="X269" i="1"/>
  <c r="X22" i="1"/>
  <c r="X64" i="1"/>
  <c r="X122" i="1"/>
  <c r="X75" i="1"/>
  <c r="X143" i="1"/>
  <c r="X43" i="1"/>
  <c r="X86" i="1"/>
  <c r="X167" i="1"/>
  <c r="X32" i="1"/>
  <c r="X785" i="1"/>
  <c r="X781" i="1"/>
  <c r="X777" i="1"/>
  <c r="X773" i="1"/>
  <c r="X769" i="1"/>
  <c r="X765" i="1"/>
  <c r="X761" i="1"/>
  <c r="X757" i="1"/>
  <c r="X753" i="1"/>
  <c r="X749" i="1"/>
  <c r="X745" i="1"/>
  <c r="X741" i="1"/>
  <c r="X737" i="1"/>
  <c r="X733" i="1"/>
  <c r="X729" i="1"/>
  <c r="X725" i="1"/>
  <c r="X721" i="1"/>
  <c r="X717" i="1"/>
  <c r="X713" i="1"/>
  <c r="X709" i="1"/>
  <c r="X705" i="1"/>
  <c r="X701" i="1"/>
  <c r="X697" i="1"/>
  <c r="X693" i="1"/>
  <c r="X689" i="1"/>
  <c r="X685" i="1"/>
  <c r="X681" i="1"/>
  <c r="X677" i="1"/>
  <c r="X673" i="1"/>
  <c r="X669" i="1"/>
  <c r="X665" i="1"/>
  <c r="X661" i="1"/>
  <c r="X657" i="1"/>
  <c r="X653" i="1"/>
  <c r="X649" i="1"/>
  <c r="X645" i="1"/>
  <c r="X641" i="1"/>
  <c r="X637" i="1"/>
  <c r="X633" i="1"/>
  <c r="X629" i="1"/>
  <c r="X625" i="1"/>
  <c r="X621" i="1"/>
  <c r="X617" i="1"/>
  <c r="X613" i="1"/>
  <c r="X609" i="1"/>
  <c r="X605" i="1"/>
  <c r="X601" i="1"/>
  <c r="X597" i="1"/>
  <c r="X593" i="1"/>
  <c r="X589" i="1"/>
  <c r="X585" i="1"/>
  <c r="X581" i="1"/>
  <c r="X577" i="1"/>
  <c r="X573" i="1"/>
  <c r="X569" i="1"/>
  <c r="X565" i="1"/>
  <c r="X561" i="1"/>
  <c r="X557" i="1"/>
  <c r="X553" i="1"/>
  <c r="X549" i="1"/>
  <c r="X545" i="1"/>
  <c r="X541" i="1"/>
  <c r="X537" i="1"/>
  <c r="X533" i="1"/>
  <c r="X529" i="1"/>
  <c r="X525" i="1"/>
  <c r="X521" i="1"/>
  <c r="X517" i="1"/>
  <c r="X513" i="1"/>
  <c r="X509" i="1"/>
  <c r="X505" i="1"/>
  <c r="X501" i="1"/>
  <c r="X497" i="1"/>
  <c r="X493" i="1"/>
  <c r="X489" i="1"/>
  <c r="X485" i="1"/>
  <c r="X481" i="1"/>
  <c r="X477" i="1"/>
  <c r="X473" i="1"/>
  <c r="X469" i="1"/>
  <c r="X465" i="1"/>
  <c r="X461" i="1"/>
  <c r="X457" i="1"/>
  <c r="X453" i="1"/>
  <c r="X449" i="1"/>
  <c r="X784" i="1"/>
  <c r="X783" i="1"/>
  <c r="X779" i="1"/>
  <c r="X775" i="1"/>
  <c r="X771" i="1"/>
  <c r="X767" i="1"/>
  <c r="X763" i="1"/>
  <c r="X759" i="1"/>
  <c r="X755" i="1"/>
  <c r="X751" i="1"/>
  <c r="X747" i="1"/>
  <c r="X743" i="1"/>
  <c r="X739" i="1"/>
  <c r="X735" i="1"/>
  <c r="X731" i="1"/>
  <c r="X727" i="1"/>
  <c r="X723" i="1"/>
  <c r="X719" i="1"/>
  <c r="X715" i="1"/>
  <c r="X711" i="1"/>
  <c r="X707" i="1"/>
  <c r="X703" i="1"/>
  <c r="X699" i="1"/>
  <c r="X695" i="1"/>
  <c r="X691" i="1"/>
  <c r="X687" i="1"/>
  <c r="X683" i="1"/>
  <c r="X679" i="1"/>
  <c r="X675" i="1"/>
  <c r="X671" i="1"/>
  <c r="X782" i="1"/>
  <c r="X778" i="1"/>
  <c r="X774" i="1"/>
  <c r="X770" i="1"/>
  <c r="X766" i="1"/>
  <c r="X762" i="1"/>
  <c r="X758" i="1"/>
  <c r="X754" i="1"/>
  <c r="X750" i="1"/>
  <c r="X746" i="1"/>
  <c r="X742" i="1"/>
  <c r="X738" i="1"/>
  <c r="X734" i="1"/>
  <c r="X730" i="1"/>
  <c r="X726" i="1"/>
  <c r="X722" i="1"/>
  <c r="X718" i="1"/>
  <c r="X714" i="1"/>
  <c r="X710" i="1"/>
  <c r="X706" i="1"/>
  <c r="X702" i="1"/>
  <c r="X698" i="1"/>
  <c r="X694" i="1"/>
  <c r="X690" i="1"/>
  <c r="X686" i="1"/>
  <c r="X682" i="1"/>
  <c r="X678" i="1"/>
  <c r="X674" i="1"/>
  <c r="X670" i="1"/>
  <c r="X666" i="1"/>
  <c r="X662" i="1"/>
  <c r="X658" i="1"/>
  <c r="X654" i="1"/>
  <c r="X650" i="1"/>
  <c r="X646" i="1"/>
  <c r="X642" i="1"/>
  <c r="X638" i="1"/>
  <c r="X634" i="1"/>
  <c r="X630" i="1"/>
  <c r="X626" i="1"/>
  <c r="X622" i="1"/>
  <c r="X618" i="1"/>
  <c r="X614" i="1"/>
  <c r="X610" i="1"/>
  <c r="X606" i="1"/>
  <c r="X602" i="1"/>
  <c r="X598" i="1"/>
  <c r="X594" i="1"/>
  <c r="X590" i="1"/>
  <c r="X586" i="1"/>
  <c r="X582" i="1"/>
  <c r="X578" i="1"/>
  <c r="X574" i="1"/>
  <c r="X570" i="1"/>
  <c r="X566" i="1"/>
  <c r="X562" i="1"/>
  <c r="X558" i="1"/>
  <c r="X554" i="1"/>
  <c r="X550" i="1"/>
  <c r="X546" i="1"/>
  <c r="X542" i="1"/>
  <c r="X538" i="1"/>
  <c r="X534" i="1"/>
  <c r="X530" i="1"/>
  <c r="X526" i="1"/>
  <c r="X522" i="1"/>
  <c r="X518" i="1"/>
  <c r="X514" i="1"/>
  <c r="X510" i="1"/>
  <c r="X506" i="1"/>
  <c r="X502" i="1"/>
  <c r="X498" i="1"/>
  <c r="X494" i="1"/>
  <c r="X490" i="1"/>
  <c r="X486" i="1"/>
  <c r="X482" i="1"/>
  <c r="X478" i="1"/>
  <c r="X474" i="1"/>
  <c r="X470" i="1"/>
  <c r="X466" i="1"/>
  <c r="X462" i="1"/>
  <c r="X458" i="1"/>
  <c r="X454" i="1"/>
  <c r="X450" i="1"/>
  <c r="X446" i="1"/>
  <c r="X780" i="1"/>
  <c r="X764" i="1"/>
  <c r="X748" i="1"/>
  <c r="X732" i="1"/>
  <c r="X716" i="1"/>
  <c r="X700" i="1"/>
  <c r="X684" i="1"/>
  <c r="X668" i="1"/>
  <c r="X660" i="1"/>
  <c r="X652" i="1"/>
  <c r="X644" i="1"/>
  <c r="X636" i="1"/>
  <c r="X628" i="1"/>
  <c r="X620" i="1"/>
  <c r="X612" i="1"/>
  <c r="X604" i="1"/>
  <c r="X596" i="1"/>
  <c r="X588" i="1"/>
  <c r="X580" i="1"/>
  <c r="X572" i="1"/>
  <c r="X564" i="1"/>
  <c r="X556" i="1"/>
  <c r="X548" i="1"/>
  <c r="X540" i="1"/>
  <c r="X532" i="1"/>
  <c r="X524" i="1"/>
  <c r="X516" i="1"/>
  <c r="X508" i="1"/>
  <c r="X500" i="1"/>
  <c r="X492" i="1"/>
  <c r="X484" i="1"/>
  <c r="X476" i="1"/>
  <c r="X468" i="1"/>
  <c r="X460" i="1"/>
  <c r="X452" i="1"/>
  <c r="X445" i="1"/>
  <c r="X441" i="1"/>
  <c r="X437" i="1"/>
  <c r="X433" i="1"/>
  <c r="X429" i="1"/>
  <c r="X425" i="1"/>
  <c r="X421" i="1"/>
  <c r="X417" i="1"/>
  <c r="X413" i="1"/>
  <c r="X409" i="1"/>
  <c r="X405" i="1"/>
  <c r="X401" i="1"/>
  <c r="X397" i="1"/>
  <c r="X393" i="1"/>
  <c r="X389" i="1"/>
  <c r="X385" i="1"/>
  <c r="X381" i="1"/>
  <c r="X377" i="1"/>
  <c r="X373" i="1"/>
  <c r="X369" i="1"/>
  <c r="X365" i="1"/>
  <c r="X361" i="1"/>
  <c r="X357" i="1"/>
  <c r="X353" i="1"/>
  <c r="X776" i="1"/>
  <c r="X760" i="1"/>
  <c r="X744" i="1"/>
  <c r="X728" i="1"/>
  <c r="X712" i="1"/>
  <c r="X696" i="1"/>
  <c r="X680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531" i="1"/>
  <c r="X523" i="1"/>
  <c r="X515" i="1"/>
  <c r="X507" i="1"/>
  <c r="X499" i="1"/>
  <c r="X491" i="1"/>
  <c r="X483" i="1"/>
  <c r="X475" i="1"/>
  <c r="X467" i="1"/>
  <c r="X459" i="1"/>
  <c r="X451" i="1"/>
  <c r="X444" i="1"/>
  <c r="X440" i="1"/>
  <c r="X436" i="1"/>
  <c r="X432" i="1"/>
  <c r="X428" i="1"/>
  <c r="X424" i="1"/>
  <c r="X420" i="1"/>
  <c r="X416" i="1"/>
  <c r="X412" i="1"/>
  <c r="X408" i="1"/>
  <c r="X404" i="1"/>
  <c r="X400" i="1"/>
  <c r="X396" i="1"/>
  <c r="X392" i="1"/>
  <c r="X388" i="1"/>
  <c r="X384" i="1"/>
  <c r="X380" i="1"/>
  <c r="X376" i="1"/>
  <c r="X372" i="1"/>
  <c r="X368" i="1"/>
  <c r="X364" i="1"/>
  <c r="X360" i="1"/>
  <c r="X356" i="1"/>
  <c r="X352" i="1"/>
  <c r="X348" i="1"/>
  <c r="X344" i="1"/>
  <c r="X340" i="1"/>
  <c r="X336" i="1"/>
  <c r="X332" i="1"/>
  <c r="X328" i="1"/>
  <c r="X324" i="1"/>
  <c r="X320" i="1"/>
  <c r="X316" i="1"/>
  <c r="X312" i="1"/>
  <c r="X308" i="1"/>
  <c r="X304" i="1"/>
  <c r="X300" i="1"/>
  <c r="X296" i="1"/>
  <c r="X292" i="1"/>
  <c r="X288" i="1"/>
  <c r="X284" i="1"/>
  <c r="X280" i="1"/>
  <c r="X276" i="1"/>
  <c r="X272" i="1"/>
  <c r="X268" i="1"/>
  <c r="X264" i="1"/>
  <c r="X260" i="1"/>
  <c r="X256" i="1"/>
  <c r="X252" i="1"/>
  <c r="X248" i="1"/>
  <c r="X772" i="1"/>
  <c r="X740" i="1"/>
  <c r="X708" i="1"/>
  <c r="X676" i="1"/>
  <c r="X656" i="1"/>
  <c r="X640" i="1"/>
  <c r="X624" i="1"/>
  <c r="X608" i="1"/>
  <c r="X592" i="1"/>
  <c r="X576" i="1"/>
  <c r="X560" i="1"/>
  <c r="X544" i="1"/>
  <c r="X528" i="1"/>
  <c r="X512" i="1"/>
  <c r="X496" i="1"/>
  <c r="X480" i="1"/>
  <c r="X464" i="1"/>
  <c r="X448" i="1"/>
  <c r="X439" i="1"/>
  <c r="X431" i="1"/>
  <c r="X423" i="1"/>
  <c r="X415" i="1"/>
  <c r="X407" i="1"/>
  <c r="X399" i="1"/>
  <c r="X391" i="1"/>
  <c r="X383" i="1"/>
  <c r="X375" i="1"/>
  <c r="X367" i="1"/>
  <c r="X359" i="1"/>
  <c r="X351" i="1"/>
  <c r="X346" i="1"/>
  <c r="X341" i="1"/>
  <c r="X335" i="1"/>
  <c r="X330" i="1"/>
  <c r="X325" i="1"/>
  <c r="X319" i="1"/>
  <c r="X314" i="1"/>
  <c r="X309" i="1"/>
  <c r="X303" i="1"/>
  <c r="X298" i="1"/>
  <c r="X293" i="1"/>
  <c r="X287" i="1"/>
  <c r="X282" i="1"/>
  <c r="X277" i="1"/>
  <c r="X271" i="1"/>
  <c r="X266" i="1"/>
  <c r="X261" i="1"/>
  <c r="X255" i="1"/>
  <c r="X250" i="1"/>
  <c r="X245" i="1"/>
  <c r="X241" i="1"/>
  <c r="X237" i="1"/>
  <c r="X233" i="1"/>
  <c r="X229" i="1"/>
  <c r="X225" i="1"/>
  <c r="X221" i="1"/>
  <c r="X217" i="1"/>
  <c r="X213" i="1"/>
  <c r="X209" i="1"/>
  <c r="X205" i="1"/>
  <c r="X201" i="1"/>
  <c r="X197" i="1"/>
  <c r="X193" i="1"/>
  <c r="X189" i="1"/>
  <c r="X185" i="1"/>
  <c r="X181" i="1"/>
  <c r="X177" i="1"/>
  <c r="X173" i="1"/>
  <c r="X169" i="1"/>
  <c r="X165" i="1"/>
  <c r="X161" i="1"/>
  <c r="X157" i="1"/>
  <c r="X153" i="1"/>
  <c r="X149" i="1"/>
  <c r="X145" i="1"/>
  <c r="X141" i="1"/>
  <c r="X137" i="1"/>
  <c r="X133" i="1"/>
  <c r="X129" i="1"/>
  <c r="X125" i="1"/>
  <c r="X121" i="1"/>
  <c r="X117" i="1"/>
  <c r="X113" i="1"/>
  <c r="X109" i="1"/>
  <c r="X105" i="1"/>
  <c r="X101" i="1"/>
  <c r="X97" i="1"/>
  <c r="X93" i="1"/>
  <c r="X89" i="1"/>
  <c r="X85" i="1"/>
  <c r="X81" i="1"/>
  <c r="X77" i="1"/>
  <c r="X73" i="1"/>
  <c r="X69" i="1"/>
  <c r="X65" i="1"/>
  <c r="X61" i="1"/>
  <c r="X57" i="1"/>
  <c r="X53" i="1"/>
  <c r="X49" i="1"/>
  <c r="X45" i="1"/>
  <c r="X41" i="1"/>
  <c r="X37" i="1"/>
  <c r="X33" i="1"/>
  <c r="X29" i="1"/>
  <c r="X25" i="1"/>
  <c r="X21" i="1"/>
  <c r="X17" i="1"/>
  <c r="X13" i="1"/>
  <c r="X9" i="1"/>
  <c r="X5" i="1"/>
  <c r="U2" i="1"/>
  <c r="X2" i="1" s="1"/>
  <c r="X768" i="1"/>
  <c r="X736" i="1"/>
  <c r="X704" i="1"/>
  <c r="X672" i="1"/>
  <c r="X655" i="1"/>
  <c r="X639" i="1"/>
  <c r="X623" i="1"/>
  <c r="X607" i="1"/>
  <c r="X591" i="1"/>
  <c r="X575" i="1"/>
  <c r="X559" i="1"/>
  <c r="X543" i="1"/>
  <c r="X527" i="1"/>
  <c r="X511" i="1"/>
  <c r="X495" i="1"/>
  <c r="X479" i="1"/>
  <c r="X463" i="1"/>
  <c r="X447" i="1"/>
  <c r="X438" i="1"/>
  <c r="X430" i="1"/>
  <c r="X422" i="1"/>
  <c r="X414" i="1"/>
  <c r="X406" i="1"/>
  <c r="X398" i="1"/>
  <c r="X390" i="1"/>
  <c r="X382" i="1"/>
  <c r="X374" i="1"/>
  <c r="X366" i="1"/>
  <c r="X358" i="1"/>
  <c r="X350" i="1"/>
  <c r="X345" i="1"/>
  <c r="X339" i="1"/>
  <c r="X334" i="1"/>
  <c r="X329" i="1"/>
  <c r="X323" i="1"/>
  <c r="X318" i="1"/>
  <c r="X313" i="1"/>
  <c r="X307" i="1"/>
  <c r="X302" i="1"/>
  <c r="X297" i="1"/>
  <c r="X291" i="1"/>
  <c r="X286" i="1"/>
  <c r="X281" i="1"/>
  <c r="X275" i="1"/>
  <c r="X270" i="1"/>
  <c r="X265" i="1"/>
  <c r="X259" i="1"/>
  <c r="X254" i="1"/>
  <c r="X249" i="1"/>
  <c r="X244" i="1"/>
  <c r="X240" i="1"/>
  <c r="X236" i="1"/>
  <c r="X232" i="1"/>
  <c r="X228" i="1"/>
  <c r="X224" i="1"/>
  <c r="X220" i="1"/>
  <c r="X216" i="1"/>
  <c r="X212" i="1"/>
  <c r="X208" i="1"/>
  <c r="X204" i="1"/>
  <c r="X200" i="1"/>
  <c r="X196" i="1"/>
  <c r="X192" i="1"/>
  <c r="X188" i="1"/>
  <c r="X184" i="1"/>
  <c r="X180" i="1"/>
  <c r="X176" i="1"/>
  <c r="X172" i="1"/>
  <c r="X168" i="1"/>
  <c r="X164" i="1"/>
  <c r="X160" i="1"/>
  <c r="X756" i="1"/>
  <c r="X724" i="1"/>
  <c r="X692" i="1"/>
  <c r="X664" i="1"/>
  <c r="X648" i="1"/>
  <c r="X632" i="1"/>
  <c r="X616" i="1"/>
  <c r="X600" i="1"/>
  <c r="X584" i="1"/>
  <c r="X568" i="1"/>
  <c r="X552" i="1"/>
  <c r="X536" i="1"/>
  <c r="X520" i="1"/>
  <c r="X504" i="1"/>
  <c r="X488" i="1"/>
  <c r="X472" i="1"/>
  <c r="X456" i="1"/>
  <c r="X443" i="1"/>
  <c r="X435" i="1"/>
  <c r="X427" i="1"/>
  <c r="X419" i="1"/>
  <c r="X411" i="1"/>
  <c r="X403" i="1"/>
  <c r="X395" i="1"/>
  <c r="X387" i="1"/>
  <c r="X379" i="1"/>
  <c r="X371" i="1"/>
  <c r="X363" i="1"/>
  <c r="X355" i="1"/>
  <c r="X349" i="1"/>
  <c r="X343" i="1"/>
  <c r="X338" i="1"/>
  <c r="X333" i="1"/>
  <c r="X327" i="1"/>
  <c r="X322" i="1"/>
  <c r="X317" i="1"/>
  <c r="X311" i="1"/>
  <c r="X306" i="1"/>
  <c r="X301" i="1"/>
  <c r="X295" i="1"/>
  <c r="X290" i="1"/>
  <c r="X752" i="1"/>
  <c r="X647" i="1"/>
  <c r="X583" i="1"/>
  <c r="X519" i="1"/>
  <c r="X455" i="1"/>
  <c r="X418" i="1"/>
  <c r="X386" i="1"/>
  <c r="X354" i="1"/>
  <c r="X331" i="1"/>
  <c r="X310" i="1"/>
  <c r="X289" i="1"/>
  <c r="X278" i="1"/>
  <c r="X267" i="1"/>
  <c r="X257" i="1"/>
  <c r="X246" i="1"/>
  <c r="X238" i="1"/>
  <c r="X230" i="1"/>
  <c r="X222" i="1"/>
  <c r="X214" i="1"/>
  <c r="X206" i="1"/>
  <c r="X198" i="1"/>
  <c r="X190" i="1"/>
  <c r="X182" i="1"/>
  <c r="X174" i="1"/>
  <c r="X166" i="1"/>
  <c r="X158" i="1"/>
  <c r="X152" i="1"/>
  <c r="X147" i="1"/>
  <c r="X142" i="1"/>
  <c r="X136" i="1"/>
  <c r="X131" i="1"/>
  <c r="X126" i="1"/>
  <c r="X120" i="1"/>
  <c r="X115" i="1"/>
  <c r="X110" i="1"/>
  <c r="X104" i="1"/>
  <c r="X99" i="1"/>
  <c r="X94" i="1"/>
  <c r="X88" i="1"/>
  <c r="X83" i="1"/>
  <c r="X78" i="1"/>
  <c r="X72" i="1"/>
  <c r="X67" i="1"/>
  <c r="X62" i="1"/>
  <c r="X56" i="1"/>
  <c r="X51" i="1"/>
  <c r="X46" i="1"/>
  <c r="X40" i="1"/>
  <c r="X35" i="1"/>
  <c r="X30" i="1"/>
  <c r="X24" i="1"/>
  <c r="X19" i="1"/>
  <c r="X14" i="1"/>
  <c r="X8" i="1"/>
  <c r="X3" i="1"/>
  <c r="X720" i="1"/>
  <c r="X631" i="1"/>
  <c r="X567" i="1"/>
  <c r="X503" i="1"/>
  <c r="X442" i="1"/>
  <c r="X410" i="1"/>
  <c r="X378" i="1"/>
  <c r="X347" i="1"/>
  <c r="X326" i="1"/>
  <c r="X305" i="1"/>
  <c r="X285" i="1"/>
  <c r="X274" i="1"/>
  <c r="X263" i="1"/>
  <c r="X253" i="1"/>
  <c r="X243" i="1"/>
  <c r="X235" i="1"/>
  <c r="X227" i="1"/>
  <c r="X219" i="1"/>
  <c r="X211" i="1"/>
  <c r="X203" i="1"/>
  <c r="X195" i="1"/>
  <c r="X187" i="1"/>
  <c r="X179" i="1"/>
  <c r="X171" i="1"/>
  <c r="X163" i="1"/>
  <c r="X156" i="1"/>
  <c r="X151" i="1"/>
  <c r="X146" i="1"/>
  <c r="X140" i="1"/>
  <c r="X135" i="1"/>
  <c r="X130" i="1"/>
  <c r="X124" i="1"/>
  <c r="X119" i="1"/>
  <c r="X114" i="1"/>
  <c r="X108" i="1"/>
  <c r="X103" i="1"/>
  <c r="X98" i="1"/>
  <c r="X92" i="1"/>
  <c r="X87" i="1"/>
  <c r="X82" i="1"/>
  <c r="X76" i="1"/>
  <c r="X71" i="1"/>
  <c r="X66" i="1"/>
  <c r="X60" i="1"/>
  <c r="X55" i="1"/>
  <c r="X50" i="1"/>
  <c r="X44" i="1"/>
  <c r="X39" i="1"/>
  <c r="X34" i="1"/>
  <c r="X28" i="1"/>
  <c r="X23" i="1"/>
  <c r="X18" i="1"/>
  <c r="X12" i="1"/>
  <c r="X7" i="1"/>
  <c r="X688" i="1"/>
  <c r="X615" i="1"/>
  <c r="X551" i="1"/>
  <c r="X487" i="1"/>
  <c r="X434" i="1"/>
  <c r="X402" i="1"/>
  <c r="X370" i="1"/>
  <c r="X342" i="1"/>
  <c r="X321" i="1"/>
  <c r="X299" i="1"/>
  <c r="X283" i="1"/>
  <c r="X273" i="1"/>
  <c r="X262" i="1"/>
  <c r="X251" i="1"/>
  <c r="X242" i="1"/>
  <c r="X234" i="1"/>
  <c r="X226" i="1"/>
  <c r="X218" i="1"/>
  <c r="X210" i="1"/>
  <c r="X202" i="1"/>
  <c r="X194" i="1"/>
  <c r="X186" i="1"/>
  <c r="X178" i="1"/>
  <c r="X170" i="1"/>
  <c r="X162" i="1"/>
  <c r="X155" i="1"/>
  <c r="X150" i="1"/>
  <c r="X144" i="1"/>
  <c r="X139" i="1"/>
  <c r="X134" i="1"/>
  <c r="X128" i="1"/>
  <c r="X123" i="1"/>
  <c r="X118" i="1"/>
  <c r="X112" i="1"/>
  <c r="X107" i="1"/>
  <c r="X102" i="1"/>
  <c r="X96" i="1"/>
  <c r="X663" i="1"/>
  <c r="X426" i="1"/>
  <c r="X315" i="1"/>
  <c r="X258" i="1"/>
  <c r="X223" i="1"/>
  <c r="X191" i="1"/>
  <c r="X159" i="1"/>
  <c r="X138" i="1"/>
  <c r="X116" i="1"/>
  <c r="X95" i="1"/>
  <c r="X84" i="1"/>
  <c r="X74" i="1"/>
  <c r="X63" i="1"/>
  <c r="X52" i="1"/>
  <c r="X42" i="1"/>
  <c r="X31" i="1"/>
  <c r="X20" i="1"/>
  <c r="X599" i="1"/>
  <c r="X394" i="1"/>
  <c r="X294" i="1"/>
  <c r="X247" i="1"/>
  <c r="X215" i="1"/>
  <c r="X183" i="1"/>
  <c r="X154" i="1"/>
  <c r="X132" i="1"/>
  <c r="X111" i="1"/>
  <c r="X91" i="1"/>
  <c r="X80" i="1"/>
  <c r="X70" i="1"/>
  <c r="X59" i="1"/>
  <c r="X48" i="1"/>
  <c r="X38" i="1"/>
  <c r="X27" i="1"/>
  <c r="X16" i="1"/>
  <c r="X6" i="1"/>
  <c r="X535" i="1"/>
  <c r="X362" i="1"/>
  <c r="X279" i="1"/>
  <c r="X239" i="1"/>
  <c r="X207" i="1"/>
  <c r="X175" i="1"/>
  <c r="X148" i="1"/>
  <c r="X127" i="1"/>
  <c r="X106" i="1"/>
  <c r="X90" i="1"/>
  <c r="X79" i="1"/>
  <c r="X68" i="1"/>
  <c r="X58" i="1"/>
  <c r="X47" i="1"/>
  <c r="X36" i="1"/>
  <c r="X26" i="1"/>
  <c r="X15" i="1"/>
  <c r="X4" i="1"/>
  <c r="X11" i="1"/>
  <c r="X54" i="1"/>
  <c r="X100" i="1"/>
  <c r="X199" i="1"/>
  <c r="X471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M788" i="1" l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P205" i="1" s="1"/>
  <c r="M204" i="1"/>
  <c r="M203" i="1"/>
  <c r="M202" i="1"/>
  <c r="M201" i="1"/>
  <c r="P201" i="1" s="1"/>
  <c r="M200" i="1"/>
  <c r="O200" i="1" s="1"/>
  <c r="M199" i="1"/>
  <c r="M198" i="1"/>
  <c r="M197" i="1"/>
  <c r="P197" i="1" s="1"/>
  <c r="M196" i="1"/>
  <c r="N196" i="1" s="1"/>
  <c r="M195" i="1"/>
  <c r="M194" i="1"/>
  <c r="M193" i="1"/>
  <c r="M192" i="1"/>
  <c r="M191" i="1"/>
  <c r="M190" i="1"/>
  <c r="P190" i="1" s="1"/>
  <c r="M189" i="1"/>
  <c r="M188" i="1"/>
  <c r="M187" i="1"/>
  <c r="P187" i="1" s="1"/>
  <c r="M186" i="1"/>
  <c r="O186" i="1" s="1"/>
  <c r="M185" i="1"/>
  <c r="M184" i="1"/>
  <c r="M183" i="1"/>
  <c r="P183" i="1" s="1"/>
  <c r="M182" i="1"/>
  <c r="O182" i="1" s="1"/>
  <c r="M181" i="1"/>
  <c r="M180" i="1"/>
  <c r="M179" i="1"/>
  <c r="M178" i="1"/>
  <c r="M177" i="1"/>
  <c r="M176" i="1"/>
  <c r="P176" i="1" s="1"/>
  <c r="M175" i="1"/>
  <c r="M174" i="1"/>
  <c r="M173" i="1"/>
  <c r="M172" i="1"/>
  <c r="P172" i="1" s="1"/>
  <c r="M171" i="1"/>
  <c r="O171" i="1" s="1"/>
  <c r="M170" i="1"/>
  <c r="M169" i="1"/>
  <c r="N169" i="1" s="1"/>
  <c r="M168" i="1"/>
  <c r="P168" i="1" s="1"/>
  <c r="M167" i="1"/>
  <c r="M166" i="1"/>
  <c r="M165" i="1"/>
  <c r="N165" i="1" s="1"/>
  <c r="M164" i="1"/>
  <c r="P164" i="1" s="1"/>
  <c r="M163" i="1"/>
  <c r="N163" i="1" s="1"/>
  <c r="M162" i="1"/>
  <c r="M161" i="1"/>
  <c r="N161" i="1" s="1"/>
  <c r="M160" i="1"/>
  <c r="M159" i="1"/>
  <c r="P159" i="1" s="1"/>
  <c r="M158" i="1"/>
  <c r="P158" i="1" s="1"/>
  <c r="M157" i="1"/>
  <c r="N157" i="1" s="1"/>
  <c r="M156" i="1"/>
  <c r="M155" i="1"/>
  <c r="N155" i="1" s="1"/>
  <c r="M154" i="1"/>
  <c r="P154" i="1" s="1"/>
  <c r="M153" i="1"/>
  <c r="M152" i="1"/>
  <c r="M151" i="1"/>
  <c r="N151" i="1" s="1"/>
  <c r="M150" i="1"/>
  <c r="P150" i="1" s="1"/>
  <c r="M149" i="1"/>
  <c r="N149" i="1" s="1"/>
  <c r="M148" i="1"/>
  <c r="M147" i="1"/>
  <c r="N147" i="1" s="1"/>
  <c r="M146" i="1"/>
  <c r="P146" i="1" s="1"/>
  <c r="M145" i="1"/>
  <c r="M144" i="1"/>
  <c r="M143" i="1"/>
  <c r="N143" i="1" s="1"/>
  <c r="M142" i="1"/>
  <c r="P142" i="1" s="1"/>
  <c r="M141" i="1"/>
  <c r="N141" i="1" s="1"/>
  <c r="M140" i="1"/>
  <c r="M139" i="1"/>
  <c r="N139" i="1" s="1"/>
  <c r="M138" i="1"/>
  <c r="M137" i="1"/>
  <c r="M136" i="1"/>
  <c r="N136" i="1" s="1"/>
  <c r="M135" i="1"/>
  <c r="P135" i="1" s="1"/>
  <c r="M134" i="1"/>
  <c r="N134" i="1" s="1"/>
  <c r="M133" i="1"/>
  <c r="M132" i="1"/>
  <c r="N132" i="1" s="1"/>
  <c r="M131" i="1"/>
  <c r="P131" i="1" s="1"/>
  <c r="M130" i="1"/>
  <c r="M129" i="1"/>
  <c r="P129" i="1" s="1"/>
  <c r="M128" i="1"/>
  <c r="P128" i="1" s="1"/>
  <c r="M127" i="1"/>
  <c r="N127" i="1" s="1"/>
  <c r="M126" i="1"/>
  <c r="N126" i="1" s="1"/>
  <c r="M125" i="1"/>
  <c r="P125" i="1" s="1"/>
  <c r="M124" i="1"/>
  <c r="M123" i="1"/>
  <c r="P123" i="1" s="1"/>
  <c r="M122" i="1"/>
  <c r="N122" i="1" s="1"/>
  <c r="M121" i="1"/>
  <c r="P121" i="1" s="1"/>
  <c r="M120" i="1"/>
  <c r="N120" i="1" s="1"/>
  <c r="M119" i="1"/>
  <c r="M118" i="1"/>
  <c r="N118" i="1" s="1"/>
  <c r="M117" i="1"/>
  <c r="M116" i="1"/>
  <c r="M115" i="1"/>
  <c r="N115" i="1" s="1"/>
  <c r="M114" i="1"/>
  <c r="P114" i="1" s="1"/>
  <c r="M113" i="1"/>
  <c r="P113" i="1" s="1"/>
  <c r="M112" i="1"/>
  <c r="O112" i="1" s="1"/>
  <c r="M111" i="1"/>
  <c r="N111" i="1" s="1"/>
  <c r="M110" i="1"/>
  <c r="N110" i="1" s="1"/>
  <c r="M109" i="1"/>
  <c r="P109" i="1" s="1"/>
  <c r="M108" i="1"/>
  <c r="O108" i="1" s="1"/>
  <c r="M107" i="1"/>
  <c r="N107" i="1" s="1"/>
  <c r="M106" i="1"/>
  <c r="O106" i="1" s="1"/>
  <c r="M105" i="1"/>
  <c r="P105" i="1" s="1"/>
  <c r="M104" i="1"/>
  <c r="O104" i="1" s="1"/>
  <c r="M103" i="1"/>
  <c r="N103" i="1" s="1"/>
  <c r="M102" i="1"/>
  <c r="P102" i="1" s="1"/>
  <c r="M101" i="1"/>
  <c r="P101" i="1" s="1"/>
  <c r="M100" i="1"/>
  <c r="O100" i="1" s="1"/>
  <c r="M99" i="1"/>
  <c r="N99" i="1" s="1"/>
  <c r="M98" i="1"/>
  <c r="P98" i="1" s="1"/>
  <c r="M97" i="1"/>
  <c r="P97" i="1" s="1"/>
  <c r="M96" i="1"/>
  <c r="O96" i="1" s="1"/>
  <c r="M95" i="1"/>
  <c r="N95" i="1" s="1"/>
  <c r="M94" i="1"/>
  <c r="N94" i="1" s="1"/>
  <c r="M93" i="1"/>
  <c r="P93" i="1" s="1"/>
  <c r="M92" i="1"/>
  <c r="O92" i="1" s="1"/>
  <c r="M91" i="1"/>
  <c r="N91" i="1" s="1"/>
  <c r="M90" i="1"/>
  <c r="O90" i="1" s="1"/>
  <c r="M89" i="1"/>
  <c r="P89" i="1" s="1"/>
  <c r="M88" i="1"/>
  <c r="O88" i="1" s="1"/>
  <c r="M87" i="1"/>
  <c r="N87" i="1" s="1"/>
  <c r="M86" i="1"/>
  <c r="P86" i="1" s="1"/>
  <c r="M85" i="1"/>
  <c r="P85" i="1" s="1"/>
  <c r="M84" i="1"/>
  <c r="O84" i="1" s="1"/>
  <c r="M83" i="1"/>
  <c r="N83" i="1" s="1"/>
  <c r="M82" i="1"/>
  <c r="P82" i="1" s="1"/>
  <c r="M81" i="1"/>
  <c r="P81" i="1" s="1"/>
  <c r="M80" i="1"/>
  <c r="O80" i="1" s="1"/>
  <c r="M79" i="1"/>
  <c r="N79" i="1" s="1"/>
  <c r="M78" i="1"/>
  <c r="N78" i="1" s="1"/>
  <c r="M77" i="1"/>
  <c r="P77" i="1" s="1"/>
  <c r="M76" i="1"/>
  <c r="O76" i="1" s="1"/>
  <c r="M75" i="1"/>
  <c r="N75" i="1" s="1"/>
  <c r="M74" i="1"/>
  <c r="O74" i="1" s="1"/>
  <c r="M73" i="1"/>
  <c r="P73" i="1" s="1"/>
  <c r="M72" i="1"/>
  <c r="O72" i="1" s="1"/>
  <c r="M71" i="1"/>
  <c r="N71" i="1" s="1"/>
  <c r="M70" i="1"/>
  <c r="P70" i="1" s="1"/>
  <c r="M69" i="1"/>
  <c r="P69" i="1" s="1"/>
  <c r="M68" i="1"/>
  <c r="O68" i="1" s="1"/>
  <c r="M67" i="1"/>
  <c r="N67" i="1" s="1"/>
  <c r="M66" i="1"/>
  <c r="P66" i="1" s="1"/>
  <c r="M65" i="1"/>
  <c r="P65" i="1" s="1"/>
  <c r="M64" i="1"/>
  <c r="O64" i="1" s="1"/>
  <c r="M63" i="1"/>
  <c r="N63" i="1" s="1"/>
  <c r="M62" i="1"/>
  <c r="N62" i="1" s="1"/>
  <c r="M61" i="1"/>
  <c r="P61" i="1" s="1"/>
  <c r="M60" i="1"/>
  <c r="O60" i="1" s="1"/>
  <c r="M59" i="1"/>
  <c r="N59" i="1" s="1"/>
  <c r="M58" i="1"/>
  <c r="O58" i="1" s="1"/>
  <c r="M57" i="1"/>
  <c r="P57" i="1" s="1"/>
  <c r="M56" i="1"/>
  <c r="O56" i="1" s="1"/>
  <c r="M55" i="1"/>
  <c r="N55" i="1" s="1"/>
  <c r="M54" i="1"/>
  <c r="P54" i="1" s="1"/>
  <c r="M53" i="1"/>
  <c r="P53" i="1" s="1"/>
  <c r="M52" i="1"/>
  <c r="P52" i="1" s="1"/>
  <c r="M51" i="1"/>
  <c r="P51" i="1" s="1"/>
  <c r="M50" i="1"/>
  <c r="O50" i="1" s="1"/>
  <c r="M49" i="1"/>
  <c r="N49" i="1" s="1"/>
  <c r="M48" i="1"/>
  <c r="P48" i="1" s="1"/>
  <c r="M47" i="1"/>
  <c r="P47" i="1" s="1"/>
  <c r="M46" i="1"/>
  <c r="O46" i="1" s="1"/>
  <c r="M45" i="1"/>
  <c r="N45" i="1" s="1"/>
  <c r="M44" i="1"/>
  <c r="P44" i="1" s="1"/>
  <c r="M43" i="1"/>
  <c r="P43" i="1" s="1"/>
  <c r="M42" i="1"/>
  <c r="O42" i="1" s="1"/>
  <c r="M41" i="1"/>
  <c r="N41" i="1" s="1"/>
  <c r="M40" i="1"/>
  <c r="P40" i="1" s="1"/>
  <c r="M39" i="1"/>
  <c r="P39" i="1" s="1"/>
  <c r="M38" i="1"/>
  <c r="O38" i="1" s="1"/>
  <c r="M37" i="1"/>
  <c r="N37" i="1" s="1"/>
  <c r="M36" i="1"/>
  <c r="P36" i="1" s="1"/>
  <c r="M35" i="1"/>
  <c r="P35" i="1" s="1"/>
  <c r="M34" i="1"/>
  <c r="O34" i="1" s="1"/>
  <c r="M33" i="1"/>
  <c r="N33" i="1" s="1"/>
  <c r="M32" i="1"/>
  <c r="P32" i="1" s="1"/>
  <c r="M31" i="1"/>
  <c r="P31" i="1" s="1"/>
  <c r="M30" i="1"/>
  <c r="O30" i="1" s="1"/>
  <c r="M29" i="1"/>
  <c r="N29" i="1" s="1"/>
  <c r="M28" i="1"/>
  <c r="P28" i="1" s="1"/>
  <c r="M27" i="1"/>
  <c r="P27" i="1" s="1"/>
  <c r="M26" i="1"/>
  <c r="O26" i="1" s="1"/>
  <c r="M25" i="1"/>
  <c r="N25" i="1" s="1"/>
  <c r="M24" i="1"/>
  <c r="P24" i="1" s="1"/>
  <c r="M23" i="1"/>
  <c r="P23" i="1" s="1"/>
  <c r="M22" i="1"/>
  <c r="O22" i="1" s="1"/>
  <c r="M21" i="1"/>
  <c r="N21" i="1" s="1"/>
  <c r="M20" i="1"/>
  <c r="P20" i="1" s="1"/>
  <c r="M19" i="1"/>
  <c r="P19" i="1" s="1"/>
  <c r="M18" i="1"/>
  <c r="O18" i="1" s="1"/>
  <c r="M17" i="1"/>
  <c r="N17" i="1" s="1"/>
  <c r="M16" i="1"/>
  <c r="P16" i="1" s="1"/>
  <c r="M15" i="1"/>
  <c r="P15" i="1" s="1"/>
  <c r="M14" i="1"/>
  <c r="O14" i="1" s="1"/>
  <c r="M13" i="1"/>
  <c r="N13" i="1" s="1"/>
  <c r="M12" i="1"/>
  <c r="P12" i="1" s="1"/>
  <c r="M11" i="1"/>
  <c r="P11" i="1" s="1"/>
  <c r="M10" i="1"/>
  <c r="O10" i="1" s="1"/>
  <c r="M9" i="1"/>
  <c r="N9" i="1" s="1"/>
  <c r="M8" i="1"/>
  <c r="P8" i="1" s="1"/>
  <c r="M7" i="1"/>
  <c r="P7" i="1" s="1"/>
  <c r="M6" i="1"/>
  <c r="O6" i="1" s="1"/>
  <c r="M5" i="1"/>
  <c r="N5" i="1" s="1"/>
  <c r="M4" i="1"/>
  <c r="P4" i="1" s="1"/>
  <c r="M3" i="1"/>
  <c r="P3" i="1" s="1"/>
  <c r="M2" i="1"/>
  <c r="O2" i="1" s="1"/>
  <c r="AJ609" i="1"/>
  <c r="O116" i="1" l="1"/>
  <c r="N116" i="1"/>
  <c r="O137" i="1"/>
  <c r="N137" i="1"/>
  <c r="O152" i="1"/>
  <c r="N152" i="1"/>
  <c r="O162" i="1"/>
  <c r="N162" i="1"/>
  <c r="P177" i="1"/>
  <c r="O177" i="1"/>
  <c r="N177" i="1"/>
  <c r="P191" i="1"/>
  <c r="O191" i="1"/>
  <c r="N191" i="1"/>
  <c r="P202" i="1"/>
  <c r="O202" i="1"/>
  <c r="N202" i="1"/>
  <c r="P218" i="1"/>
  <c r="O218" i="1"/>
  <c r="N218" i="1"/>
  <c r="P230" i="1"/>
  <c r="O230" i="1"/>
  <c r="N230" i="1"/>
  <c r="P241" i="1"/>
  <c r="O241" i="1"/>
  <c r="N241" i="1"/>
  <c r="P251" i="1"/>
  <c r="O251" i="1"/>
  <c r="N251" i="1"/>
  <c r="P261" i="1"/>
  <c r="O261" i="1"/>
  <c r="N261" i="1"/>
  <c r="P271" i="1"/>
  <c r="O271" i="1"/>
  <c r="N271" i="1"/>
  <c r="O291" i="1"/>
  <c r="N291" i="1"/>
  <c r="P291" i="1"/>
  <c r="O299" i="1"/>
  <c r="N299" i="1"/>
  <c r="P299" i="1"/>
  <c r="O307" i="1"/>
  <c r="N307" i="1"/>
  <c r="P307" i="1"/>
  <c r="O317" i="1"/>
  <c r="N317" i="1"/>
  <c r="P317" i="1"/>
  <c r="O324" i="1"/>
  <c r="N324" i="1"/>
  <c r="P324" i="1"/>
  <c r="O330" i="1"/>
  <c r="N330" i="1"/>
  <c r="P330" i="1"/>
  <c r="O334" i="1"/>
  <c r="N334" i="1"/>
  <c r="P334" i="1"/>
  <c r="O355" i="1"/>
  <c r="N355" i="1"/>
  <c r="P355" i="1"/>
  <c r="O362" i="1"/>
  <c r="N362" i="1"/>
  <c r="P362" i="1"/>
  <c r="O366" i="1"/>
  <c r="N366" i="1"/>
  <c r="P366" i="1"/>
  <c r="O370" i="1"/>
  <c r="N370" i="1"/>
  <c r="P370" i="1"/>
  <c r="O373" i="1"/>
  <c r="N373" i="1"/>
  <c r="P373" i="1"/>
  <c r="O380" i="1"/>
  <c r="N380" i="1"/>
  <c r="P380" i="1"/>
  <c r="P387" i="1"/>
  <c r="N387" i="1"/>
  <c r="O387" i="1"/>
  <c r="P390" i="1"/>
  <c r="N390" i="1"/>
  <c r="O390" i="1"/>
  <c r="P394" i="1"/>
  <c r="N394" i="1"/>
  <c r="O394" i="1"/>
  <c r="P397" i="1"/>
  <c r="N397" i="1"/>
  <c r="O397" i="1"/>
  <c r="P401" i="1"/>
  <c r="N401" i="1"/>
  <c r="O401" i="1"/>
  <c r="P405" i="1"/>
  <c r="N405" i="1"/>
  <c r="O405" i="1"/>
  <c r="P409" i="1"/>
  <c r="N409" i="1"/>
  <c r="O409" i="1"/>
  <c r="P413" i="1"/>
  <c r="N413" i="1"/>
  <c r="O413" i="1"/>
  <c r="P417" i="1"/>
  <c r="N417" i="1"/>
  <c r="O417" i="1"/>
  <c r="P421" i="1"/>
  <c r="N421" i="1"/>
  <c r="O421" i="1"/>
  <c r="P425" i="1"/>
  <c r="N425" i="1"/>
  <c r="O425" i="1"/>
  <c r="P429" i="1"/>
  <c r="N429" i="1"/>
  <c r="O429" i="1"/>
  <c r="P433" i="1"/>
  <c r="N433" i="1"/>
  <c r="O433" i="1"/>
  <c r="P437" i="1"/>
  <c r="N437" i="1"/>
  <c r="O437" i="1"/>
  <c r="P441" i="1"/>
  <c r="N441" i="1"/>
  <c r="O441" i="1"/>
  <c r="P445" i="1"/>
  <c r="N445" i="1"/>
  <c r="O445" i="1"/>
  <c r="P449" i="1"/>
  <c r="N449" i="1"/>
  <c r="O449" i="1"/>
  <c r="P453" i="1"/>
  <c r="N453" i="1"/>
  <c r="O453" i="1"/>
  <c r="P457" i="1"/>
  <c r="N457" i="1"/>
  <c r="O457" i="1"/>
  <c r="P461" i="1"/>
  <c r="N461" i="1"/>
  <c r="O461" i="1"/>
  <c r="P465" i="1"/>
  <c r="N465" i="1"/>
  <c r="O465" i="1"/>
  <c r="P469" i="1"/>
  <c r="N469" i="1"/>
  <c r="O469" i="1"/>
  <c r="P473" i="1"/>
  <c r="N473" i="1"/>
  <c r="O473" i="1"/>
  <c r="P477" i="1"/>
  <c r="N477" i="1"/>
  <c r="O477" i="1"/>
  <c r="P481" i="1"/>
  <c r="N481" i="1"/>
  <c r="O481" i="1"/>
  <c r="P485" i="1"/>
  <c r="N485" i="1"/>
  <c r="O485" i="1"/>
  <c r="P489" i="1"/>
  <c r="N489" i="1"/>
  <c r="O489" i="1"/>
  <c r="P493" i="1"/>
  <c r="N493" i="1"/>
  <c r="O493" i="1"/>
  <c r="P497" i="1"/>
  <c r="N497" i="1"/>
  <c r="O497" i="1"/>
  <c r="P501" i="1"/>
  <c r="N501" i="1"/>
  <c r="O501" i="1"/>
  <c r="P505" i="1"/>
  <c r="N505" i="1"/>
  <c r="O505" i="1"/>
  <c r="P509" i="1"/>
  <c r="N509" i="1"/>
  <c r="O509" i="1"/>
  <c r="P513" i="1"/>
  <c r="N513" i="1"/>
  <c r="O513" i="1"/>
  <c r="P517" i="1"/>
  <c r="N517" i="1"/>
  <c r="O517" i="1"/>
  <c r="P521" i="1"/>
  <c r="N521" i="1"/>
  <c r="O521" i="1"/>
  <c r="P524" i="1"/>
  <c r="N524" i="1"/>
  <c r="O524" i="1"/>
  <c r="P528" i="1"/>
  <c r="N528" i="1"/>
  <c r="O528" i="1"/>
  <c r="P531" i="1"/>
  <c r="N531" i="1"/>
  <c r="O531" i="1"/>
  <c r="P535" i="1"/>
  <c r="N535" i="1"/>
  <c r="O535" i="1"/>
  <c r="P539" i="1"/>
  <c r="N539" i="1"/>
  <c r="O539" i="1"/>
  <c r="P543" i="1"/>
  <c r="N543" i="1"/>
  <c r="O543" i="1"/>
  <c r="P547" i="1"/>
  <c r="N547" i="1"/>
  <c r="O547" i="1"/>
  <c r="P551" i="1"/>
  <c r="N551" i="1"/>
  <c r="O551" i="1"/>
  <c r="P554" i="1"/>
  <c r="N554" i="1"/>
  <c r="O554" i="1"/>
  <c r="P558" i="1"/>
  <c r="N558" i="1"/>
  <c r="O558" i="1"/>
  <c r="P562" i="1"/>
  <c r="O562" i="1"/>
  <c r="N562" i="1"/>
  <c r="P566" i="1"/>
  <c r="O566" i="1"/>
  <c r="N566" i="1"/>
  <c r="P570" i="1"/>
  <c r="O570" i="1"/>
  <c r="N570" i="1"/>
  <c r="P574" i="1"/>
  <c r="O574" i="1"/>
  <c r="N574" i="1"/>
  <c r="P578" i="1"/>
  <c r="O578" i="1"/>
  <c r="N578" i="1"/>
  <c r="P582" i="1"/>
  <c r="O582" i="1"/>
  <c r="N582" i="1"/>
  <c r="P586" i="1"/>
  <c r="O586" i="1"/>
  <c r="N586" i="1"/>
  <c r="P590" i="1"/>
  <c r="O590" i="1"/>
  <c r="N590" i="1"/>
  <c r="O594" i="1"/>
  <c r="P594" i="1"/>
  <c r="N594" i="1"/>
  <c r="O598" i="1"/>
  <c r="P598" i="1"/>
  <c r="N598" i="1"/>
  <c r="O602" i="1"/>
  <c r="P602" i="1"/>
  <c r="N602" i="1"/>
  <c r="O606" i="1"/>
  <c r="P606" i="1"/>
  <c r="N606" i="1"/>
  <c r="O610" i="1"/>
  <c r="P610" i="1"/>
  <c r="N610" i="1"/>
  <c r="O614" i="1"/>
  <c r="P614" i="1"/>
  <c r="N614" i="1"/>
  <c r="O618" i="1"/>
  <c r="N618" i="1"/>
  <c r="P618" i="1"/>
  <c r="O622" i="1"/>
  <c r="N622" i="1"/>
  <c r="P622" i="1"/>
  <c r="O626" i="1"/>
  <c r="N626" i="1"/>
  <c r="P626" i="1"/>
  <c r="O630" i="1"/>
  <c r="N630" i="1"/>
  <c r="P630" i="1"/>
  <c r="O634" i="1"/>
  <c r="N634" i="1"/>
  <c r="P634" i="1"/>
  <c r="P638" i="1"/>
  <c r="O638" i="1"/>
  <c r="N638" i="1"/>
  <c r="O642" i="1"/>
  <c r="N642" i="1"/>
  <c r="P642" i="1"/>
  <c r="N646" i="1"/>
  <c r="P646" i="1"/>
  <c r="O646" i="1"/>
  <c r="P650" i="1"/>
  <c r="O650" i="1"/>
  <c r="N650" i="1"/>
  <c r="P654" i="1"/>
  <c r="O654" i="1"/>
  <c r="N654" i="1"/>
  <c r="O658" i="1"/>
  <c r="N658" i="1"/>
  <c r="P658" i="1"/>
  <c r="N662" i="1"/>
  <c r="P662" i="1"/>
  <c r="O662" i="1"/>
  <c r="P666" i="1"/>
  <c r="O666" i="1"/>
  <c r="N666" i="1"/>
  <c r="P668" i="1"/>
  <c r="O668" i="1"/>
  <c r="N668" i="1"/>
  <c r="O672" i="1"/>
  <c r="N672" i="1"/>
  <c r="P672" i="1"/>
  <c r="N675" i="1"/>
  <c r="P675" i="1"/>
  <c r="O675" i="1"/>
  <c r="O681" i="1"/>
  <c r="N681" i="1"/>
  <c r="P681" i="1"/>
  <c r="N684" i="1"/>
  <c r="P684" i="1"/>
  <c r="O684" i="1"/>
  <c r="O688" i="1"/>
  <c r="N688" i="1"/>
  <c r="P688" i="1"/>
  <c r="O692" i="1"/>
  <c r="N692" i="1"/>
  <c r="P692" i="1"/>
  <c r="O696" i="1"/>
  <c r="N696" i="1"/>
  <c r="P696" i="1"/>
  <c r="O699" i="1"/>
  <c r="N699" i="1"/>
  <c r="P699" i="1"/>
  <c r="O703" i="1"/>
  <c r="N703" i="1"/>
  <c r="P703" i="1"/>
  <c r="O707" i="1"/>
  <c r="N707" i="1"/>
  <c r="P707" i="1"/>
  <c r="O711" i="1"/>
  <c r="N711" i="1"/>
  <c r="P711" i="1"/>
  <c r="O713" i="1"/>
  <c r="N713" i="1"/>
  <c r="P713" i="1"/>
  <c r="O716" i="1"/>
  <c r="N716" i="1"/>
  <c r="P716" i="1"/>
  <c r="O720" i="1"/>
  <c r="N720" i="1"/>
  <c r="P720" i="1"/>
  <c r="O724" i="1"/>
  <c r="N724" i="1"/>
  <c r="P724" i="1"/>
  <c r="O731" i="1"/>
  <c r="N731" i="1"/>
  <c r="P731" i="1"/>
  <c r="O738" i="1"/>
  <c r="N738" i="1"/>
  <c r="P738" i="1"/>
  <c r="O742" i="1"/>
  <c r="N742" i="1"/>
  <c r="P742" i="1"/>
  <c r="O746" i="1"/>
  <c r="N746" i="1"/>
  <c r="P746" i="1"/>
  <c r="O750" i="1"/>
  <c r="N750" i="1"/>
  <c r="P750" i="1"/>
  <c r="O754" i="1"/>
  <c r="N754" i="1"/>
  <c r="P754" i="1"/>
  <c r="O758" i="1"/>
  <c r="N758" i="1"/>
  <c r="P758" i="1"/>
  <c r="O762" i="1"/>
  <c r="N762" i="1"/>
  <c r="P762" i="1"/>
  <c r="O766" i="1"/>
  <c r="N766" i="1"/>
  <c r="P766" i="1"/>
  <c r="O770" i="1"/>
  <c r="N770" i="1"/>
  <c r="P770" i="1"/>
  <c r="O774" i="1"/>
  <c r="N774" i="1"/>
  <c r="P774" i="1"/>
  <c r="O778" i="1"/>
  <c r="N778" i="1"/>
  <c r="P778" i="1"/>
  <c r="O782" i="1"/>
  <c r="N782" i="1"/>
  <c r="P782" i="1"/>
  <c r="P787" i="1"/>
  <c r="O787" i="1"/>
  <c r="N787" i="1"/>
  <c r="P2" i="1"/>
  <c r="N4" i="1"/>
  <c r="O5" i="1"/>
  <c r="P6" i="1"/>
  <c r="N8" i="1"/>
  <c r="O9" i="1"/>
  <c r="P10" i="1"/>
  <c r="N12" i="1"/>
  <c r="O13" i="1"/>
  <c r="P14" i="1"/>
  <c r="N16" i="1"/>
  <c r="O17" i="1"/>
  <c r="P18" i="1"/>
  <c r="N20" i="1"/>
  <c r="O21" i="1"/>
  <c r="P22" i="1"/>
  <c r="N24" i="1"/>
  <c r="O25" i="1"/>
  <c r="P26" i="1"/>
  <c r="N28" i="1"/>
  <c r="O29" i="1"/>
  <c r="P30" i="1"/>
  <c r="N32" i="1"/>
  <c r="O33" i="1"/>
  <c r="P34" i="1"/>
  <c r="N36" i="1"/>
  <c r="O37" i="1"/>
  <c r="P38" i="1"/>
  <c r="N40" i="1"/>
  <c r="O41" i="1"/>
  <c r="P42" i="1"/>
  <c r="N44" i="1"/>
  <c r="O45" i="1"/>
  <c r="P46" i="1"/>
  <c r="N48" i="1"/>
  <c r="O49" i="1"/>
  <c r="P50" i="1"/>
  <c r="N52" i="1"/>
  <c r="O53" i="1"/>
  <c r="O55" i="1"/>
  <c r="N57" i="1"/>
  <c r="P58" i="1"/>
  <c r="P60" i="1"/>
  <c r="O62" i="1"/>
  <c r="N64" i="1"/>
  <c r="N66" i="1"/>
  <c r="P67" i="1"/>
  <c r="O69" i="1"/>
  <c r="O71" i="1"/>
  <c r="N73" i="1"/>
  <c r="P74" i="1"/>
  <c r="P76" i="1"/>
  <c r="O78" i="1"/>
  <c r="N80" i="1"/>
  <c r="N82" i="1"/>
  <c r="P83" i="1"/>
  <c r="O85" i="1"/>
  <c r="O87" i="1"/>
  <c r="N89" i="1"/>
  <c r="P90" i="1"/>
  <c r="P92" i="1"/>
  <c r="O94" i="1"/>
  <c r="N96" i="1"/>
  <c r="N98" i="1"/>
  <c r="P99" i="1"/>
  <c r="O101" i="1"/>
  <c r="O103" i="1"/>
  <c r="N105" i="1"/>
  <c r="P106" i="1"/>
  <c r="P108" i="1"/>
  <c r="O110" i="1"/>
  <c r="N112" i="1"/>
  <c r="N114" i="1"/>
  <c r="P115" i="1"/>
  <c r="P122" i="1"/>
  <c r="O125" i="1"/>
  <c r="O131" i="1"/>
  <c r="P136" i="1"/>
  <c r="P143" i="1"/>
  <c r="O146" i="1"/>
  <c r="P151" i="1"/>
  <c r="O154" i="1"/>
  <c r="P165" i="1"/>
  <c r="O168" i="1"/>
  <c r="O119" i="1"/>
  <c r="N119" i="1"/>
  <c r="O133" i="1"/>
  <c r="N133" i="1"/>
  <c r="O144" i="1"/>
  <c r="N144" i="1"/>
  <c r="O156" i="1"/>
  <c r="N156" i="1"/>
  <c r="O166" i="1"/>
  <c r="N166" i="1"/>
  <c r="P173" i="1"/>
  <c r="O173" i="1"/>
  <c r="N173" i="1"/>
  <c r="P184" i="1"/>
  <c r="O184" i="1"/>
  <c r="N184" i="1"/>
  <c r="P195" i="1"/>
  <c r="O195" i="1"/>
  <c r="N195" i="1"/>
  <c r="P206" i="1"/>
  <c r="O206" i="1"/>
  <c r="N206" i="1"/>
  <c r="P214" i="1"/>
  <c r="O214" i="1"/>
  <c r="N214" i="1"/>
  <c r="P226" i="1"/>
  <c r="O226" i="1"/>
  <c r="N226" i="1"/>
  <c r="P237" i="1"/>
  <c r="O237" i="1"/>
  <c r="N237" i="1"/>
  <c r="P248" i="1"/>
  <c r="O248" i="1"/>
  <c r="N248" i="1"/>
  <c r="P267" i="1"/>
  <c r="O267" i="1"/>
  <c r="N267" i="1"/>
  <c r="P275" i="1"/>
  <c r="O275" i="1"/>
  <c r="N275" i="1"/>
  <c r="P288" i="1"/>
  <c r="O288" i="1"/>
  <c r="N288" i="1"/>
  <c r="O295" i="1"/>
  <c r="N295" i="1"/>
  <c r="P295" i="1"/>
  <c r="O303" i="1"/>
  <c r="N303" i="1"/>
  <c r="P303" i="1"/>
  <c r="O313" i="1"/>
  <c r="N313" i="1"/>
  <c r="P313" i="1"/>
  <c r="O320" i="1"/>
  <c r="N320" i="1"/>
  <c r="P320" i="1"/>
  <c r="O327" i="1"/>
  <c r="N327" i="1"/>
  <c r="P327" i="1"/>
  <c r="O338" i="1"/>
  <c r="N338" i="1"/>
  <c r="P338" i="1"/>
  <c r="O347" i="1"/>
  <c r="N347" i="1"/>
  <c r="P347" i="1"/>
  <c r="O351" i="1"/>
  <c r="N351" i="1"/>
  <c r="P351" i="1"/>
  <c r="O359" i="1"/>
  <c r="N359" i="1"/>
  <c r="P359" i="1"/>
  <c r="P117" i="1"/>
  <c r="O117" i="1"/>
  <c r="P120" i="1"/>
  <c r="O120" i="1"/>
  <c r="P124" i="1"/>
  <c r="O124" i="1"/>
  <c r="P127" i="1"/>
  <c r="O127" i="1"/>
  <c r="P130" i="1"/>
  <c r="O130" i="1"/>
  <c r="P134" i="1"/>
  <c r="O134" i="1"/>
  <c r="P138" i="1"/>
  <c r="O138" i="1"/>
  <c r="P141" i="1"/>
  <c r="O141" i="1"/>
  <c r="P145" i="1"/>
  <c r="O145" i="1"/>
  <c r="P149" i="1"/>
  <c r="O149" i="1"/>
  <c r="P153" i="1"/>
  <c r="O153" i="1"/>
  <c r="P157" i="1"/>
  <c r="O157" i="1"/>
  <c r="P160" i="1"/>
  <c r="O160" i="1"/>
  <c r="P163" i="1"/>
  <c r="O163" i="1"/>
  <c r="P167" i="1"/>
  <c r="O167" i="1"/>
  <c r="P170" i="1"/>
  <c r="O170" i="1"/>
  <c r="P174" i="1"/>
  <c r="O174" i="1"/>
  <c r="P178" i="1"/>
  <c r="O178" i="1"/>
  <c r="P185" i="1"/>
  <c r="O185" i="1"/>
  <c r="P192" i="1"/>
  <c r="O192" i="1"/>
  <c r="P196" i="1"/>
  <c r="O196" i="1"/>
  <c r="P199" i="1"/>
  <c r="O199" i="1"/>
  <c r="P203" i="1"/>
  <c r="O203" i="1"/>
  <c r="P207" i="1"/>
  <c r="O207" i="1"/>
  <c r="P211" i="1"/>
  <c r="O211" i="1"/>
  <c r="N211" i="1"/>
  <c r="P215" i="1"/>
  <c r="O215" i="1"/>
  <c r="N215" i="1"/>
  <c r="P219" i="1"/>
  <c r="O219" i="1"/>
  <c r="N219" i="1"/>
  <c r="P223" i="1"/>
  <c r="O223" i="1"/>
  <c r="N223" i="1"/>
  <c r="P227" i="1"/>
  <c r="O227" i="1"/>
  <c r="N227" i="1"/>
  <c r="P231" i="1"/>
  <c r="O231" i="1"/>
  <c r="N231" i="1"/>
  <c r="P238" i="1"/>
  <c r="O238" i="1"/>
  <c r="N238" i="1"/>
  <c r="P242" i="1"/>
  <c r="O242" i="1"/>
  <c r="N242" i="1"/>
  <c r="P246" i="1"/>
  <c r="O246" i="1"/>
  <c r="N246" i="1"/>
  <c r="P249" i="1"/>
  <c r="O249" i="1"/>
  <c r="N249" i="1"/>
  <c r="P252" i="1"/>
  <c r="O252" i="1"/>
  <c r="N252" i="1"/>
  <c r="P256" i="1"/>
  <c r="O256" i="1"/>
  <c r="N256" i="1"/>
  <c r="P259" i="1"/>
  <c r="O259" i="1"/>
  <c r="N259" i="1"/>
  <c r="P262" i="1"/>
  <c r="O262" i="1"/>
  <c r="N262" i="1"/>
  <c r="P265" i="1"/>
  <c r="O265" i="1"/>
  <c r="N265" i="1"/>
  <c r="P268" i="1"/>
  <c r="O268" i="1"/>
  <c r="N268" i="1"/>
  <c r="P272" i="1"/>
  <c r="O272" i="1"/>
  <c r="N272" i="1"/>
  <c r="P276" i="1"/>
  <c r="O276" i="1"/>
  <c r="N276" i="1"/>
  <c r="P280" i="1"/>
  <c r="O280" i="1"/>
  <c r="N280" i="1"/>
  <c r="P282" i="1"/>
  <c r="O282" i="1"/>
  <c r="N282" i="1"/>
  <c r="P285" i="1"/>
  <c r="O285" i="1"/>
  <c r="N285" i="1"/>
  <c r="P289" i="1"/>
  <c r="O289" i="1"/>
  <c r="N289" i="1"/>
  <c r="P292" i="1"/>
  <c r="O292" i="1"/>
  <c r="N292" i="1"/>
  <c r="P296" i="1"/>
  <c r="O296" i="1"/>
  <c r="N296" i="1"/>
  <c r="P300" i="1"/>
  <c r="O300" i="1"/>
  <c r="N300" i="1"/>
  <c r="P304" i="1"/>
  <c r="O304" i="1"/>
  <c r="N304" i="1"/>
  <c r="P308" i="1"/>
  <c r="O308" i="1"/>
  <c r="N308" i="1"/>
  <c r="P314" i="1"/>
  <c r="O314" i="1"/>
  <c r="N314" i="1"/>
  <c r="P318" i="1"/>
  <c r="O318" i="1"/>
  <c r="N318" i="1"/>
  <c r="P321" i="1"/>
  <c r="O321" i="1"/>
  <c r="N321" i="1"/>
  <c r="P331" i="1"/>
  <c r="O331" i="1"/>
  <c r="N331" i="1"/>
  <c r="P335" i="1"/>
  <c r="O335" i="1"/>
  <c r="N335" i="1"/>
  <c r="P339" i="1"/>
  <c r="O339" i="1"/>
  <c r="N339" i="1"/>
  <c r="P341" i="1"/>
  <c r="O341" i="1"/>
  <c r="N341" i="1"/>
  <c r="P344" i="1"/>
  <c r="O344" i="1"/>
  <c r="N344" i="1"/>
  <c r="P348" i="1"/>
  <c r="O348" i="1"/>
  <c r="N348" i="1"/>
  <c r="P352" i="1"/>
  <c r="O352" i="1"/>
  <c r="N352" i="1"/>
  <c r="P356" i="1"/>
  <c r="O356" i="1"/>
  <c r="N356" i="1"/>
  <c r="P360" i="1"/>
  <c r="O360" i="1"/>
  <c r="N360" i="1"/>
  <c r="P363" i="1"/>
  <c r="O363" i="1"/>
  <c r="N363" i="1"/>
  <c r="P367" i="1"/>
  <c r="O367" i="1"/>
  <c r="N367" i="1"/>
  <c r="P374" i="1"/>
  <c r="O374" i="1"/>
  <c r="N374" i="1"/>
  <c r="P377" i="1"/>
  <c r="O377" i="1"/>
  <c r="N377" i="1"/>
  <c r="P381" i="1"/>
  <c r="O381" i="1"/>
  <c r="N381" i="1"/>
  <c r="P384" i="1"/>
  <c r="O384" i="1"/>
  <c r="N384" i="1"/>
  <c r="O391" i="1"/>
  <c r="P391" i="1"/>
  <c r="N391" i="1"/>
  <c r="O398" i="1"/>
  <c r="P398" i="1"/>
  <c r="N398" i="1"/>
  <c r="O402" i="1"/>
  <c r="N402" i="1"/>
  <c r="P402" i="1"/>
  <c r="O406" i="1"/>
  <c r="P406" i="1"/>
  <c r="N406" i="1"/>
  <c r="O410" i="1"/>
  <c r="N410" i="1"/>
  <c r="P410" i="1"/>
  <c r="O414" i="1"/>
  <c r="P414" i="1"/>
  <c r="N414" i="1"/>
  <c r="O418" i="1"/>
  <c r="N418" i="1"/>
  <c r="P418" i="1"/>
  <c r="O422" i="1"/>
  <c r="P422" i="1"/>
  <c r="N422" i="1"/>
  <c r="O426" i="1"/>
  <c r="N426" i="1"/>
  <c r="P426" i="1"/>
  <c r="O430" i="1"/>
  <c r="P430" i="1"/>
  <c r="N430" i="1"/>
  <c r="O434" i="1"/>
  <c r="N434" i="1"/>
  <c r="P434" i="1"/>
  <c r="N438" i="1"/>
  <c r="O438" i="1"/>
  <c r="P438" i="1"/>
  <c r="N442" i="1"/>
  <c r="O442" i="1"/>
  <c r="P442" i="1"/>
  <c r="N446" i="1"/>
  <c r="O446" i="1"/>
  <c r="P446" i="1"/>
  <c r="N450" i="1"/>
  <c r="O450" i="1"/>
  <c r="P450" i="1"/>
  <c r="N454" i="1"/>
  <c r="O454" i="1"/>
  <c r="P454" i="1"/>
  <c r="N458" i="1"/>
  <c r="O458" i="1"/>
  <c r="P458" i="1"/>
  <c r="N462" i="1"/>
  <c r="O462" i="1"/>
  <c r="P462" i="1"/>
  <c r="N466" i="1"/>
  <c r="O466" i="1"/>
  <c r="P466" i="1"/>
  <c r="N470" i="1"/>
  <c r="O470" i="1"/>
  <c r="P470" i="1"/>
  <c r="N474" i="1"/>
  <c r="O474" i="1"/>
  <c r="P474" i="1"/>
  <c r="N478" i="1"/>
  <c r="O478" i="1"/>
  <c r="P478" i="1"/>
  <c r="N482" i="1"/>
  <c r="O482" i="1"/>
  <c r="P482" i="1"/>
  <c r="N486" i="1"/>
  <c r="O486" i="1"/>
  <c r="P486" i="1"/>
  <c r="N490" i="1"/>
  <c r="O490" i="1"/>
  <c r="P490" i="1"/>
  <c r="N494" i="1"/>
  <c r="O494" i="1"/>
  <c r="P494" i="1"/>
  <c r="N498" i="1"/>
  <c r="O498" i="1"/>
  <c r="P498" i="1"/>
  <c r="N502" i="1"/>
  <c r="O502" i="1"/>
  <c r="P502" i="1"/>
  <c r="N506" i="1"/>
  <c r="O506" i="1"/>
  <c r="P506" i="1"/>
  <c r="N510" i="1"/>
  <c r="O510" i="1"/>
  <c r="P510" i="1"/>
  <c r="N514" i="1"/>
  <c r="O514" i="1"/>
  <c r="P514" i="1"/>
  <c r="N518" i="1"/>
  <c r="O518" i="1"/>
  <c r="P518" i="1"/>
  <c r="N522" i="1"/>
  <c r="O522" i="1"/>
  <c r="P522" i="1"/>
  <c r="N525" i="1"/>
  <c r="O525" i="1"/>
  <c r="P525" i="1"/>
  <c r="N529" i="1"/>
  <c r="O529" i="1"/>
  <c r="P529" i="1"/>
  <c r="N530" i="1"/>
  <c r="O530" i="1"/>
  <c r="P530" i="1"/>
  <c r="N532" i="1"/>
  <c r="O532" i="1"/>
  <c r="P532" i="1"/>
  <c r="N536" i="1"/>
  <c r="O536" i="1"/>
  <c r="P536" i="1"/>
  <c r="N540" i="1"/>
  <c r="O540" i="1"/>
  <c r="P540" i="1"/>
  <c r="N544" i="1"/>
  <c r="O544" i="1"/>
  <c r="P544" i="1"/>
  <c r="N548" i="1"/>
  <c r="O548" i="1"/>
  <c r="P548" i="1"/>
  <c r="N552" i="1"/>
  <c r="O552" i="1"/>
  <c r="P552" i="1"/>
  <c r="N555" i="1"/>
  <c r="O555" i="1"/>
  <c r="P555" i="1"/>
  <c r="N559" i="1"/>
  <c r="P559" i="1"/>
  <c r="O559" i="1"/>
  <c r="N563" i="1"/>
  <c r="P563" i="1"/>
  <c r="O563" i="1"/>
  <c r="N567" i="1"/>
  <c r="P567" i="1"/>
  <c r="O567" i="1"/>
  <c r="N571" i="1"/>
  <c r="P571" i="1"/>
  <c r="O571" i="1"/>
  <c r="N575" i="1"/>
  <c r="P575" i="1"/>
  <c r="O575" i="1"/>
  <c r="N579" i="1"/>
  <c r="P579" i="1"/>
  <c r="O579" i="1"/>
  <c r="N583" i="1"/>
  <c r="P583" i="1"/>
  <c r="O583" i="1"/>
  <c r="N587" i="1"/>
  <c r="P587" i="1"/>
  <c r="O587" i="1"/>
  <c r="P591" i="1"/>
  <c r="N591" i="1"/>
  <c r="O591" i="1"/>
  <c r="P595" i="1"/>
  <c r="O595" i="1"/>
  <c r="N595" i="1"/>
  <c r="P599" i="1"/>
  <c r="N599" i="1"/>
  <c r="O599" i="1"/>
  <c r="P603" i="1"/>
  <c r="O603" i="1"/>
  <c r="N603" i="1"/>
  <c r="P607" i="1"/>
  <c r="N607" i="1"/>
  <c r="O607" i="1"/>
  <c r="P611" i="1"/>
  <c r="O611" i="1"/>
  <c r="N611" i="1"/>
  <c r="P615" i="1"/>
  <c r="N615" i="1"/>
  <c r="O615" i="1"/>
  <c r="P619" i="1"/>
  <c r="O619" i="1"/>
  <c r="N619" i="1"/>
  <c r="P623" i="1"/>
  <c r="O623" i="1"/>
  <c r="N623" i="1"/>
  <c r="P627" i="1"/>
  <c r="O627" i="1"/>
  <c r="N627" i="1"/>
  <c r="P631" i="1"/>
  <c r="O631" i="1"/>
  <c r="N631" i="1"/>
  <c r="P635" i="1"/>
  <c r="O635" i="1"/>
  <c r="N635" i="1"/>
  <c r="N639" i="1"/>
  <c r="P639" i="1"/>
  <c r="O639" i="1"/>
  <c r="N643" i="1"/>
  <c r="P643" i="1"/>
  <c r="O643" i="1"/>
  <c r="N647" i="1"/>
  <c r="P647" i="1"/>
  <c r="O647" i="1"/>
  <c r="N651" i="1"/>
  <c r="O651" i="1"/>
  <c r="P651" i="1"/>
  <c r="N655" i="1"/>
  <c r="P655" i="1"/>
  <c r="O655" i="1"/>
  <c r="N659" i="1"/>
  <c r="P659" i="1"/>
  <c r="O659" i="1"/>
  <c r="N663" i="1"/>
  <c r="P663" i="1"/>
  <c r="O663" i="1"/>
  <c r="N667" i="1"/>
  <c r="O667" i="1"/>
  <c r="P667" i="1"/>
  <c r="N669" i="1"/>
  <c r="P669" i="1"/>
  <c r="O669" i="1"/>
  <c r="N673" i="1"/>
  <c r="P673" i="1"/>
  <c r="O673" i="1"/>
  <c r="N677" i="1"/>
  <c r="O677" i="1"/>
  <c r="P677" i="1"/>
  <c r="N679" i="1"/>
  <c r="P679" i="1"/>
  <c r="O679" i="1"/>
  <c r="P685" i="1"/>
  <c r="O685" i="1"/>
  <c r="N685" i="1"/>
  <c r="P689" i="1"/>
  <c r="O689" i="1"/>
  <c r="N689" i="1"/>
  <c r="P693" i="1"/>
  <c r="O693" i="1"/>
  <c r="N693" i="1"/>
  <c r="P697" i="1"/>
  <c r="O697" i="1"/>
  <c r="N697" i="1"/>
  <c r="P700" i="1"/>
  <c r="O700" i="1"/>
  <c r="N700" i="1"/>
  <c r="P704" i="1"/>
  <c r="O704" i="1"/>
  <c r="N704" i="1"/>
  <c r="P708" i="1"/>
  <c r="O708" i="1"/>
  <c r="N708" i="1"/>
  <c r="P712" i="1"/>
  <c r="O712" i="1"/>
  <c r="N712" i="1"/>
  <c r="P714" i="1"/>
  <c r="O714" i="1"/>
  <c r="N714" i="1"/>
  <c r="P717" i="1"/>
  <c r="O717" i="1"/>
  <c r="N717" i="1"/>
  <c r="P721" i="1"/>
  <c r="O721" i="1"/>
  <c r="N721" i="1"/>
  <c r="P725" i="1"/>
  <c r="O725" i="1"/>
  <c r="N725" i="1"/>
  <c r="P728" i="1"/>
  <c r="O728" i="1"/>
  <c r="N728" i="1"/>
  <c r="P732" i="1"/>
  <c r="O732" i="1"/>
  <c r="N732" i="1"/>
  <c r="P735" i="1"/>
  <c r="O735" i="1"/>
  <c r="N735" i="1"/>
  <c r="P739" i="1"/>
  <c r="O739" i="1"/>
  <c r="N739" i="1"/>
  <c r="P743" i="1"/>
  <c r="O743" i="1"/>
  <c r="N743" i="1"/>
  <c r="P747" i="1"/>
  <c r="O747" i="1"/>
  <c r="N747" i="1"/>
  <c r="P751" i="1"/>
  <c r="O751" i="1"/>
  <c r="N751" i="1"/>
  <c r="P755" i="1"/>
  <c r="O755" i="1"/>
  <c r="N755" i="1"/>
  <c r="P759" i="1"/>
  <c r="O759" i="1"/>
  <c r="N759" i="1"/>
  <c r="P763" i="1"/>
  <c r="O763" i="1"/>
  <c r="N763" i="1"/>
  <c r="P767" i="1"/>
  <c r="O767" i="1"/>
  <c r="N767" i="1"/>
  <c r="P771" i="1"/>
  <c r="O771" i="1"/>
  <c r="N771" i="1"/>
  <c r="P775" i="1"/>
  <c r="O775" i="1"/>
  <c r="N775" i="1"/>
  <c r="P779" i="1"/>
  <c r="O779" i="1"/>
  <c r="N779" i="1"/>
  <c r="P783" i="1"/>
  <c r="O783" i="1"/>
  <c r="N783" i="1"/>
  <c r="P788" i="1"/>
  <c r="O788" i="1"/>
  <c r="N788" i="1"/>
  <c r="N3" i="1"/>
  <c r="O4" i="1"/>
  <c r="P5" i="1"/>
  <c r="N7" i="1"/>
  <c r="O8" i="1"/>
  <c r="P9" i="1"/>
  <c r="N11" i="1"/>
  <c r="O12" i="1"/>
  <c r="P13" i="1"/>
  <c r="N15" i="1"/>
  <c r="O16" i="1"/>
  <c r="P17" i="1"/>
  <c r="N19" i="1"/>
  <c r="O20" i="1"/>
  <c r="P21" i="1"/>
  <c r="N23" i="1"/>
  <c r="O24" i="1"/>
  <c r="P25" i="1"/>
  <c r="N27" i="1"/>
  <c r="O28" i="1"/>
  <c r="P29" i="1"/>
  <c r="N31" i="1"/>
  <c r="O32" i="1"/>
  <c r="P33" i="1"/>
  <c r="N35" i="1"/>
  <c r="O36" i="1"/>
  <c r="P37" i="1"/>
  <c r="N39" i="1"/>
  <c r="O40" i="1"/>
  <c r="P41" i="1"/>
  <c r="N43" i="1"/>
  <c r="O44" i="1"/>
  <c r="P45" i="1"/>
  <c r="N47" i="1"/>
  <c r="O48" i="1"/>
  <c r="P49" i="1"/>
  <c r="N51" i="1"/>
  <c r="O52" i="1"/>
  <c r="N54" i="1"/>
  <c r="P55" i="1"/>
  <c r="O57" i="1"/>
  <c r="O59" i="1"/>
  <c r="N61" i="1"/>
  <c r="P62" i="1"/>
  <c r="P64" i="1"/>
  <c r="O66" i="1"/>
  <c r="N68" i="1"/>
  <c r="N70" i="1"/>
  <c r="P71" i="1"/>
  <c r="O73" i="1"/>
  <c r="O75" i="1"/>
  <c r="N77" i="1"/>
  <c r="P78" i="1"/>
  <c r="P80" i="1"/>
  <c r="O82" i="1"/>
  <c r="N84" i="1"/>
  <c r="N86" i="1"/>
  <c r="P87" i="1"/>
  <c r="O89" i="1"/>
  <c r="O91" i="1"/>
  <c r="N93" i="1"/>
  <c r="P94" i="1"/>
  <c r="P96" i="1"/>
  <c r="O98" i="1"/>
  <c r="N100" i="1"/>
  <c r="N102" i="1"/>
  <c r="P103" i="1"/>
  <c r="O105" i="1"/>
  <c r="O107" i="1"/>
  <c r="N109" i="1"/>
  <c r="P110" i="1"/>
  <c r="P112" i="1"/>
  <c r="O114" i="1"/>
  <c r="P116" i="1"/>
  <c r="O118" i="1"/>
  <c r="N121" i="1"/>
  <c r="O126" i="1"/>
  <c r="N128" i="1"/>
  <c r="O132" i="1"/>
  <c r="N135" i="1"/>
  <c r="P137" i="1"/>
  <c r="O139" i="1"/>
  <c r="N142" i="1"/>
  <c r="P144" i="1"/>
  <c r="O147" i="1"/>
  <c r="N150" i="1"/>
  <c r="P152" i="1"/>
  <c r="O155" i="1"/>
  <c r="N158" i="1"/>
  <c r="O161" i="1"/>
  <c r="N164" i="1"/>
  <c r="P166" i="1"/>
  <c r="O169" i="1"/>
  <c r="N178" i="1"/>
  <c r="N192" i="1"/>
  <c r="N207" i="1"/>
  <c r="N171" i="1"/>
  <c r="P171" i="1"/>
  <c r="N175" i="1"/>
  <c r="P175" i="1"/>
  <c r="N179" i="1"/>
  <c r="P179" i="1"/>
  <c r="N182" i="1"/>
  <c r="P182" i="1"/>
  <c r="N186" i="1"/>
  <c r="P186" i="1"/>
  <c r="N189" i="1"/>
  <c r="P189" i="1"/>
  <c r="N193" i="1"/>
  <c r="P193" i="1"/>
  <c r="N200" i="1"/>
  <c r="P200" i="1"/>
  <c r="N204" i="1"/>
  <c r="P204" i="1"/>
  <c r="N208" i="1"/>
  <c r="P208" i="1"/>
  <c r="N212" i="1"/>
  <c r="P212" i="1"/>
  <c r="O212" i="1"/>
  <c r="N216" i="1"/>
  <c r="P216" i="1"/>
  <c r="O216" i="1"/>
  <c r="N220" i="1"/>
  <c r="P220" i="1"/>
  <c r="O220" i="1"/>
  <c r="N224" i="1"/>
  <c r="P224" i="1"/>
  <c r="O224" i="1"/>
  <c r="N228" i="1"/>
  <c r="P228" i="1"/>
  <c r="O228" i="1"/>
  <c r="N232" i="1"/>
  <c r="P232" i="1"/>
  <c r="O232" i="1"/>
  <c r="N235" i="1"/>
  <c r="P235" i="1"/>
  <c r="O235" i="1"/>
  <c r="N239" i="1"/>
  <c r="P239" i="1"/>
  <c r="O239" i="1"/>
  <c r="N243" i="1"/>
  <c r="P243" i="1"/>
  <c r="O243" i="1"/>
  <c r="N247" i="1"/>
  <c r="P247" i="1"/>
  <c r="O247" i="1"/>
  <c r="N250" i="1"/>
  <c r="P250" i="1"/>
  <c r="O250" i="1"/>
  <c r="N253" i="1"/>
  <c r="P253" i="1"/>
  <c r="O253" i="1"/>
  <c r="N257" i="1"/>
  <c r="P257" i="1"/>
  <c r="O257" i="1"/>
  <c r="N260" i="1"/>
  <c r="P260" i="1"/>
  <c r="O260" i="1"/>
  <c r="N263" i="1"/>
  <c r="P263" i="1"/>
  <c r="O263" i="1"/>
  <c r="N266" i="1"/>
  <c r="P266" i="1"/>
  <c r="O266" i="1"/>
  <c r="N269" i="1"/>
  <c r="P269" i="1"/>
  <c r="O269" i="1"/>
  <c r="N273" i="1"/>
  <c r="P273" i="1"/>
  <c r="O273" i="1"/>
  <c r="N277" i="1"/>
  <c r="P277" i="1"/>
  <c r="O277" i="1"/>
  <c r="N281" i="1"/>
  <c r="P281" i="1"/>
  <c r="O281" i="1"/>
  <c r="N283" i="1"/>
  <c r="P283" i="1"/>
  <c r="O283" i="1"/>
  <c r="N286" i="1"/>
  <c r="P286" i="1"/>
  <c r="O286" i="1"/>
  <c r="P290" i="1"/>
  <c r="N290" i="1"/>
  <c r="O290" i="1"/>
  <c r="P293" i="1"/>
  <c r="O293" i="1"/>
  <c r="N293" i="1"/>
  <c r="P297" i="1"/>
  <c r="N297" i="1"/>
  <c r="O297" i="1"/>
  <c r="P301" i="1"/>
  <c r="O301" i="1"/>
  <c r="N301" i="1"/>
  <c r="P305" i="1"/>
  <c r="N305" i="1"/>
  <c r="O305" i="1"/>
  <c r="P309" i="1"/>
  <c r="O309" i="1"/>
  <c r="N309" i="1"/>
  <c r="P311" i="1"/>
  <c r="N311" i="1"/>
  <c r="O311" i="1"/>
  <c r="P315" i="1"/>
  <c r="O315" i="1"/>
  <c r="N315" i="1"/>
  <c r="P319" i="1"/>
  <c r="N319" i="1"/>
  <c r="O319" i="1"/>
  <c r="P322" i="1"/>
  <c r="O322" i="1"/>
  <c r="N322" i="1"/>
  <c r="P325" i="1"/>
  <c r="N325" i="1"/>
  <c r="O325" i="1"/>
  <c r="P328" i="1"/>
  <c r="O328" i="1"/>
  <c r="N328" i="1"/>
  <c r="P332" i="1"/>
  <c r="N332" i="1"/>
  <c r="O332" i="1"/>
  <c r="P336" i="1"/>
  <c r="O336" i="1"/>
  <c r="N336" i="1"/>
  <c r="P342" i="1"/>
  <c r="O342" i="1"/>
  <c r="N342" i="1"/>
  <c r="P345" i="1"/>
  <c r="O345" i="1"/>
  <c r="N345" i="1"/>
  <c r="P349" i="1"/>
  <c r="O349" i="1"/>
  <c r="N349" i="1"/>
  <c r="P353" i="1"/>
  <c r="O353" i="1"/>
  <c r="N353" i="1"/>
  <c r="P357" i="1"/>
  <c r="O357" i="1"/>
  <c r="N357" i="1"/>
  <c r="P361" i="1"/>
  <c r="O361" i="1"/>
  <c r="N361" i="1"/>
  <c r="P364" i="1"/>
  <c r="O364" i="1"/>
  <c r="N364" i="1"/>
  <c r="P368" i="1"/>
  <c r="O368" i="1"/>
  <c r="N368" i="1"/>
  <c r="P371" i="1"/>
  <c r="O371" i="1"/>
  <c r="N371" i="1"/>
  <c r="P375" i="1"/>
  <c r="O375" i="1"/>
  <c r="N375" i="1"/>
  <c r="P378" i="1"/>
  <c r="O378" i="1"/>
  <c r="N378" i="1"/>
  <c r="P382" i="1"/>
  <c r="O382" i="1"/>
  <c r="N382" i="1"/>
  <c r="P385" i="1"/>
  <c r="O385" i="1"/>
  <c r="N385" i="1"/>
  <c r="N388" i="1"/>
  <c r="P388" i="1"/>
  <c r="O388" i="1"/>
  <c r="N392" i="1"/>
  <c r="P392" i="1"/>
  <c r="O392" i="1"/>
  <c r="N395" i="1"/>
  <c r="P395" i="1"/>
  <c r="O395" i="1"/>
  <c r="N399" i="1"/>
  <c r="P399" i="1"/>
  <c r="O399" i="1"/>
  <c r="N403" i="1"/>
  <c r="P403" i="1"/>
  <c r="O403" i="1"/>
  <c r="N407" i="1"/>
  <c r="P407" i="1"/>
  <c r="O407" i="1"/>
  <c r="N411" i="1"/>
  <c r="P411" i="1"/>
  <c r="O411" i="1"/>
  <c r="N415" i="1"/>
  <c r="P415" i="1"/>
  <c r="O415" i="1"/>
  <c r="N419" i="1"/>
  <c r="P419" i="1"/>
  <c r="O419" i="1"/>
  <c r="N423" i="1"/>
  <c r="P423" i="1"/>
  <c r="O423" i="1"/>
  <c r="N427" i="1"/>
  <c r="P427" i="1"/>
  <c r="O427" i="1"/>
  <c r="N431" i="1"/>
  <c r="P431" i="1"/>
  <c r="O431" i="1"/>
  <c r="O435" i="1"/>
  <c r="N435" i="1"/>
  <c r="P435" i="1"/>
  <c r="O439" i="1"/>
  <c r="N439" i="1"/>
  <c r="P439" i="1"/>
  <c r="O443" i="1"/>
  <c r="N443" i="1"/>
  <c r="P443" i="1"/>
  <c r="O447" i="1"/>
  <c r="N447" i="1"/>
  <c r="P447" i="1"/>
  <c r="O451" i="1"/>
  <c r="N451" i="1"/>
  <c r="P451" i="1"/>
  <c r="O455" i="1"/>
  <c r="N455" i="1"/>
  <c r="P455" i="1"/>
  <c r="O459" i="1"/>
  <c r="N459" i="1"/>
  <c r="P459" i="1"/>
  <c r="O463" i="1"/>
  <c r="N463" i="1"/>
  <c r="P463" i="1"/>
  <c r="O467" i="1"/>
  <c r="N467" i="1"/>
  <c r="P467" i="1"/>
  <c r="O471" i="1"/>
  <c r="N471" i="1"/>
  <c r="P471" i="1"/>
  <c r="O475" i="1"/>
  <c r="N475" i="1"/>
  <c r="P475" i="1"/>
  <c r="O479" i="1"/>
  <c r="N479" i="1"/>
  <c r="P479" i="1"/>
  <c r="O483" i="1"/>
  <c r="N483" i="1"/>
  <c r="P483" i="1"/>
  <c r="O487" i="1"/>
  <c r="N487" i="1"/>
  <c r="P487" i="1"/>
  <c r="O491" i="1"/>
  <c r="N491" i="1"/>
  <c r="P491" i="1"/>
  <c r="O495" i="1"/>
  <c r="N495" i="1"/>
  <c r="P495" i="1"/>
  <c r="O499" i="1"/>
  <c r="N499" i="1"/>
  <c r="P499" i="1"/>
  <c r="O503" i="1"/>
  <c r="N503" i="1"/>
  <c r="P503" i="1"/>
  <c r="O507" i="1"/>
  <c r="N507" i="1"/>
  <c r="P507" i="1"/>
  <c r="O511" i="1"/>
  <c r="N511" i="1"/>
  <c r="P511" i="1"/>
  <c r="O515" i="1"/>
  <c r="N515" i="1"/>
  <c r="P515" i="1"/>
  <c r="O519" i="1"/>
  <c r="N519" i="1"/>
  <c r="P519" i="1"/>
  <c r="O523" i="1"/>
  <c r="N523" i="1"/>
  <c r="P523" i="1"/>
  <c r="O526" i="1"/>
  <c r="N526" i="1"/>
  <c r="P526" i="1"/>
  <c r="O533" i="1"/>
  <c r="N533" i="1"/>
  <c r="P533" i="1"/>
  <c r="O537" i="1"/>
  <c r="N537" i="1"/>
  <c r="P537" i="1"/>
  <c r="O541" i="1"/>
  <c r="N541" i="1"/>
  <c r="P541" i="1"/>
  <c r="O545" i="1"/>
  <c r="N545" i="1"/>
  <c r="P545" i="1"/>
  <c r="O549" i="1"/>
  <c r="N549" i="1"/>
  <c r="P549" i="1"/>
  <c r="O553" i="1"/>
  <c r="N553" i="1"/>
  <c r="P553" i="1"/>
  <c r="O556" i="1"/>
  <c r="N556" i="1"/>
  <c r="P556" i="1"/>
  <c r="O560" i="1"/>
  <c r="N560" i="1"/>
  <c r="P560" i="1"/>
  <c r="O564" i="1"/>
  <c r="N564" i="1"/>
  <c r="P564" i="1"/>
  <c r="O568" i="1"/>
  <c r="N568" i="1"/>
  <c r="P568" i="1"/>
  <c r="O572" i="1"/>
  <c r="N572" i="1"/>
  <c r="P572" i="1"/>
  <c r="O576" i="1"/>
  <c r="N576" i="1"/>
  <c r="P576" i="1"/>
  <c r="O580" i="1"/>
  <c r="N580" i="1"/>
  <c r="P580" i="1"/>
  <c r="O584" i="1"/>
  <c r="N584" i="1"/>
  <c r="P584" i="1"/>
  <c r="O588" i="1"/>
  <c r="N588" i="1"/>
  <c r="P588" i="1"/>
  <c r="N592" i="1"/>
  <c r="P592" i="1"/>
  <c r="O592" i="1"/>
  <c r="N596" i="1"/>
  <c r="O596" i="1"/>
  <c r="P596" i="1"/>
  <c r="N600" i="1"/>
  <c r="P600" i="1"/>
  <c r="O600" i="1"/>
  <c r="N604" i="1"/>
  <c r="O604" i="1"/>
  <c r="P604" i="1"/>
  <c r="N608" i="1"/>
  <c r="P608" i="1"/>
  <c r="O608" i="1"/>
  <c r="N612" i="1"/>
  <c r="O612" i="1"/>
  <c r="P612" i="1"/>
  <c r="N616" i="1"/>
  <c r="P616" i="1"/>
  <c r="O616" i="1"/>
  <c r="P620" i="1"/>
  <c r="O620" i="1"/>
  <c r="N620" i="1"/>
  <c r="P624" i="1"/>
  <c r="O624" i="1"/>
  <c r="N624" i="1"/>
  <c r="P628" i="1"/>
  <c r="O628" i="1"/>
  <c r="N628" i="1"/>
  <c r="P632" i="1"/>
  <c r="O632" i="1"/>
  <c r="N632" i="1"/>
  <c r="P636" i="1"/>
  <c r="O636" i="1"/>
  <c r="N636" i="1"/>
  <c r="O640" i="1"/>
  <c r="P640" i="1"/>
  <c r="N640" i="1"/>
  <c r="O644" i="1"/>
  <c r="N644" i="1"/>
  <c r="P644" i="1"/>
  <c r="O648" i="1"/>
  <c r="P648" i="1"/>
  <c r="N648" i="1"/>
  <c r="O652" i="1"/>
  <c r="P652" i="1"/>
  <c r="N652" i="1"/>
  <c r="O656" i="1"/>
  <c r="P656" i="1"/>
  <c r="N656" i="1"/>
  <c r="O660" i="1"/>
  <c r="N660" i="1"/>
  <c r="P660" i="1"/>
  <c r="O664" i="1"/>
  <c r="P664" i="1"/>
  <c r="N664" i="1"/>
  <c r="O670" i="1"/>
  <c r="P670" i="1"/>
  <c r="N670" i="1"/>
  <c r="O678" i="1"/>
  <c r="P678" i="1"/>
  <c r="N678" i="1"/>
  <c r="O680" i="1"/>
  <c r="P680" i="1"/>
  <c r="N680" i="1"/>
  <c r="O682" i="1"/>
  <c r="N682" i="1"/>
  <c r="P682" i="1"/>
  <c r="P686" i="1"/>
  <c r="O686" i="1"/>
  <c r="N686" i="1"/>
  <c r="P690" i="1"/>
  <c r="O690" i="1"/>
  <c r="N690" i="1"/>
  <c r="P694" i="1"/>
  <c r="N694" i="1"/>
  <c r="O694" i="1"/>
  <c r="P698" i="1"/>
  <c r="O698" i="1"/>
  <c r="N698" i="1"/>
  <c r="P701" i="1"/>
  <c r="O701" i="1"/>
  <c r="N701" i="1"/>
  <c r="P705" i="1"/>
  <c r="O705" i="1"/>
  <c r="N705" i="1"/>
  <c r="P709" i="1"/>
  <c r="O709" i="1"/>
  <c r="N709" i="1"/>
  <c r="P718" i="1"/>
  <c r="O718" i="1"/>
  <c r="N718" i="1"/>
  <c r="P722" i="1"/>
  <c r="N722" i="1"/>
  <c r="O722" i="1"/>
  <c r="P726" i="1"/>
  <c r="O726" i="1"/>
  <c r="N726" i="1"/>
  <c r="P729" i="1"/>
  <c r="O729" i="1"/>
  <c r="N729" i="1"/>
  <c r="P733" i="1"/>
  <c r="O733" i="1"/>
  <c r="N733" i="1"/>
  <c r="P736" i="1"/>
  <c r="O736" i="1"/>
  <c r="N736" i="1"/>
  <c r="P740" i="1"/>
  <c r="O740" i="1"/>
  <c r="N740" i="1"/>
  <c r="P744" i="1"/>
  <c r="O744" i="1"/>
  <c r="N744" i="1"/>
  <c r="P748" i="1"/>
  <c r="O748" i="1"/>
  <c r="N748" i="1"/>
  <c r="P752" i="1"/>
  <c r="O752" i="1"/>
  <c r="N752" i="1"/>
  <c r="P756" i="1"/>
  <c r="O756" i="1"/>
  <c r="N756" i="1"/>
  <c r="P760" i="1"/>
  <c r="O760" i="1"/>
  <c r="N760" i="1"/>
  <c r="P764" i="1"/>
  <c r="O764" i="1"/>
  <c r="N764" i="1"/>
  <c r="P768" i="1"/>
  <c r="O768" i="1"/>
  <c r="N768" i="1"/>
  <c r="P772" i="1"/>
  <c r="O772" i="1"/>
  <c r="N772" i="1"/>
  <c r="P776" i="1"/>
  <c r="O776" i="1"/>
  <c r="N776" i="1"/>
  <c r="P780" i="1"/>
  <c r="O780" i="1"/>
  <c r="N780" i="1"/>
  <c r="P784" i="1"/>
  <c r="O784" i="1"/>
  <c r="N784" i="1"/>
  <c r="N2" i="1"/>
  <c r="O3" i="1"/>
  <c r="N6" i="1"/>
  <c r="O7" i="1"/>
  <c r="N10" i="1"/>
  <c r="O11" i="1"/>
  <c r="N14" i="1"/>
  <c r="O15" i="1"/>
  <c r="N18" i="1"/>
  <c r="O19" i="1"/>
  <c r="N22" i="1"/>
  <c r="O23" i="1"/>
  <c r="N26" i="1"/>
  <c r="O27" i="1"/>
  <c r="N30" i="1"/>
  <c r="O31" i="1"/>
  <c r="N34" i="1"/>
  <c r="O35" i="1"/>
  <c r="N38" i="1"/>
  <c r="O39" i="1"/>
  <c r="N42" i="1"/>
  <c r="O43" i="1"/>
  <c r="N46" i="1"/>
  <c r="O47" i="1"/>
  <c r="N50" i="1"/>
  <c r="O51" i="1"/>
  <c r="O54" i="1"/>
  <c r="N56" i="1"/>
  <c r="N58" i="1"/>
  <c r="P59" i="1"/>
  <c r="O61" i="1"/>
  <c r="O63" i="1"/>
  <c r="N65" i="1"/>
  <c r="P68" i="1"/>
  <c r="O70" i="1"/>
  <c r="N72" i="1"/>
  <c r="N74" i="1"/>
  <c r="P75" i="1"/>
  <c r="O77" i="1"/>
  <c r="O79" i="1"/>
  <c r="N81" i="1"/>
  <c r="P84" i="1"/>
  <c r="O86" i="1"/>
  <c r="N88" i="1"/>
  <c r="N90" i="1"/>
  <c r="P91" i="1"/>
  <c r="O93" i="1"/>
  <c r="O95" i="1"/>
  <c r="N97" i="1"/>
  <c r="P100" i="1"/>
  <c r="O102" i="1"/>
  <c r="N104" i="1"/>
  <c r="N106" i="1"/>
  <c r="P107" i="1"/>
  <c r="O109" i="1"/>
  <c r="O111" i="1"/>
  <c r="N113" i="1"/>
  <c r="N117" i="1"/>
  <c r="P118" i="1"/>
  <c r="O121" i="1"/>
  <c r="N124" i="1"/>
  <c r="P126" i="1"/>
  <c r="O128" i="1"/>
  <c r="N130" i="1"/>
  <c r="P132" i="1"/>
  <c r="O135" i="1"/>
  <c r="N138" i="1"/>
  <c r="P139" i="1"/>
  <c r="O142" i="1"/>
  <c r="N145" i="1"/>
  <c r="P147" i="1"/>
  <c r="O150" i="1"/>
  <c r="N153" i="1"/>
  <c r="P155" i="1"/>
  <c r="O158" i="1"/>
  <c r="N160" i="1"/>
  <c r="P161" i="1"/>
  <c r="O164" i="1"/>
  <c r="N167" i="1"/>
  <c r="P169" i="1"/>
  <c r="N174" i="1"/>
  <c r="O179" i="1"/>
  <c r="O193" i="1"/>
  <c r="N203" i="1"/>
  <c r="O208" i="1"/>
  <c r="O123" i="1"/>
  <c r="N123" i="1"/>
  <c r="O129" i="1"/>
  <c r="N129" i="1"/>
  <c r="O140" i="1"/>
  <c r="N140" i="1"/>
  <c r="O148" i="1"/>
  <c r="N148" i="1"/>
  <c r="O159" i="1"/>
  <c r="N159" i="1"/>
  <c r="P181" i="1"/>
  <c r="O181" i="1"/>
  <c r="N181" i="1"/>
  <c r="P188" i="1"/>
  <c r="O188" i="1"/>
  <c r="N188" i="1"/>
  <c r="P198" i="1"/>
  <c r="O198" i="1"/>
  <c r="N198" i="1"/>
  <c r="P210" i="1"/>
  <c r="O210" i="1"/>
  <c r="N210" i="1"/>
  <c r="P222" i="1"/>
  <c r="O222" i="1"/>
  <c r="N222" i="1"/>
  <c r="P234" i="1"/>
  <c r="O234" i="1"/>
  <c r="N234" i="1"/>
  <c r="P245" i="1"/>
  <c r="O245" i="1"/>
  <c r="N245" i="1"/>
  <c r="P255" i="1"/>
  <c r="O255" i="1"/>
  <c r="N255" i="1"/>
  <c r="P279" i="1"/>
  <c r="O279" i="1"/>
  <c r="N279" i="1"/>
  <c r="O340" i="1"/>
  <c r="N340" i="1"/>
  <c r="P340" i="1"/>
  <c r="O172" i="1"/>
  <c r="N172" i="1"/>
  <c r="O176" i="1"/>
  <c r="N176" i="1"/>
  <c r="O180" i="1"/>
  <c r="N180" i="1"/>
  <c r="O183" i="1"/>
  <c r="N183" i="1"/>
  <c r="O187" i="1"/>
  <c r="N187" i="1"/>
  <c r="O190" i="1"/>
  <c r="N190" i="1"/>
  <c r="O194" i="1"/>
  <c r="N194" i="1"/>
  <c r="O197" i="1"/>
  <c r="N197" i="1"/>
  <c r="O201" i="1"/>
  <c r="N201" i="1"/>
  <c r="O205" i="1"/>
  <c r="N205" i="1"/>
  <c r="O209" i="1"/>
  <c r="N209" i="1"/>
  <c r="P209" i="1"/>
  <c r="O213" i="1"/>
  <c r="N213" i="1"/>
  <c r="P213" i="1"/>
  <c r="O217" i="1"/>
  <c r="N217" i="1"/>
  <c r="P217" i="1"/>
  <c r="O221" i="1"/>
  <c r="N221" i="1"/>
  <c r="P221" i="1"/>
  <c r="O225" i="1"/>
  <c r="N225" i="1"/>
  <c r="P225" i="1"/>
  <c r="O229" i="1"/>
  <c r="N229" i="1"/>
  <c r="P229" i="1"/>
  <c r="O233" i="1"/>
  <c r="N233" i="1"/>
  <c r="P233" i="1"/>
  <c r="O236" i="1"/>
  <c r="N236" i="1"/>
  <c r="P236" i="1"/>
  <c r="O240" i="1"/>
  <c r="N240" i="1"/>
  <c r="P240" i="1"/>
  <c r="O244" i="1"/>
  <c r="N244" i="1"/>
  <c r="P244" i="1"/>
  <c r="O254" i="1"/>
  <c r="N254" i="1"/>
  <c r="P254" i="1"/>
  <c r="O258" i="1"/>
  <c r="N258" i="1"/>
  <c r="P258" i="1"/>
  <c r="O264" i="1"/>
  <c r="N264" i="1"/>
  <c r="P264" i="1"/>
  <c r="O270" i="1"/>
  <c r="N270" i="1"/>
  <c r="P270" i="1"/>
  <c r="O274" i="1"/>
  <c r="N274" i="1"/>
  <c r="P274" i="1"/>
  <c r="O278" i="1"/>
  <c r="N278" i="1"/>
  <c r="P278" i="1"/>
  <c r="O284" i="1"/>
  <c r="N284" i="1"/>
  <c r="P284" i="1"/>
  <c r="O287" i="1"/>
  <c r="N287" i="1"/>
  <c r="P287" i="1"/>
  <c r="N294" i="1"/>
  <c r="O294" i="1"/>
  <c r="P294" i="1"/>
  <c r="N298" i="1"/>
  <c r="P298" i="1"/>
  <c r="O298" i="1"/>
  <c r="N302" i="1"/>
  <c r="O302" i="1"/>
  <c r="P302" i="1"/>
  <c r="N306" i="1"/>
  <c r="P306" i="1"/>
  <c r="O306" i="1"/>
  <c r="N310" i="1"/>
  <c r="O310" i="1"/>
  <c r="P310" i="1"/>
  <c r="N312" i="1"/>
  <c r="P312" i="1"/>
  <c r="O312" i="1"/>
  <c r="N316" i="1"/>
  <c r="O316" i="1"/>
  <c r="P316" i="1"/>
  <c r="N323" i="1"/>
  <c r="O323" i="1"/>
  <c r="P323" i="1"/>
  <c r="N326" i="1"/>
  <c r="P326" i="1"/>
  <c r="O326" i="1"/>
  <c r="N329" i="1"/>
  <c r="O329" i="1"/>
  <c r="P329" i="1"/>
  <c r="N333" i="1"/>
  <c r="P333" i="1"/>
  <c r="O333" i="1"/>
  <c r="N337" i="1"/>
  <c r="O337" i="1"/>
  <c r="P337" i="1"/>
  <c r="N343" i="1"/>
  <c r="P343" i="1"/>
  <c r="O343" i="1"/>
  <c r="N346" i="1"/>
  <c r="P346" i="1"/>
  <c r="O346" i="1"/>
  <c r="N350" i="1"/>
  <c r="P350" i="1"/>
  <c r="O350" i="1"/>
  <c r="N354" i="1"/>
  <c r="P354" i="1"/>
  <c r="O354" i="1"/>
  <c r="N358" i="1"/>
  <c r="P358" i="1"/>
  <c r="O358" i="1"/>
  <c r="N365" i="1"/>
  <c r="P365" i="1"/>
  <c r="O365" i="1"/>
  <c r="N369" i="1"/>
  <c r="P369" i="1"/>
  <c r="O369" i="1"/>
  <c r="N372" i="1"/>
  <c r="P372" i="1"/>
  <c r="O372" i="1"/>
  <c r="N376" i="1"/>
  <c r="P376" i="1"/>
  <c r="O376" i="1"/>
  <c r="N379" i="1"/>
  <c r="P379" i="1"/>
  <c r="O379" i="1"/>
  <c r="N383" i="1"/>
  <c r="P383" i="1"/>
  <c r="O383" i="1"/>
  <c r="N386" i="1"/>
  <c r="P386" i="1"/>
  <c r="O386" i="1"/>
  <c r="O389" i="1"/>
  <c r="P389" i="1"/>
  <c r="N389" i="1"/>
  <c r="O393" i="1"/>
  <c r="P393" i="1"/>
  <c r="N393" i="1"/>
  <c r="O396" i="1"/>
  <c r="P396" i="1"/>
  <c r="N396" i="1"/>
  <c r="O400" i="1"/>
  <c r="P400" i="1"/>
  <c r="N400" i="1"/>
  <c r="O404" i="1"/>
  <c r="P404" i="1"/>
  <c r="N404" i="1"/>
  <c r="O408" i="1"/>
  <c r="P408" i="1"/>
  <c r="N408" i="1"/>
  <c r="O412" i="1"/>
  <c r="P412" i="1"/>
  <c r="N412" i="1"/>
  <c r="O416" i="1"/>
  <c r="P416" i="1"/>
  <c r="N416" i="1"/>
  <c r="O420" i="1"/>
  <c r="P420" i="1"/>
  <c r="N420" i="1"/>
  <c r="O424" i="1"/>
  <c r="P424" i="1"/>
  <c r="N424" i="1"/>
  <c r="O428" i="1"/>
  <c r="P428" i="1"/>
  <c r="N428" i="1"/>
  <c r="O432" i="1"/>
  <c r="P432" i="1"/>
  <c r="N432" i="1"/>
  <c r="P436" i="1"/>
  <c r="O436" i="1"/>
  <c r="N436" i="1"/>
  <c r="P440" i="1"/>
  <c r="O440" i="1"/>
  <c r="N440" i="1"/>
  <c r="P444" i="1"/>
  <c r="O444" i="1"/>
  <c r="N444" i="1"/>
  <c r="P448" i="1"/>
  <c r="O448" i="1"/>
  <c r="N448" i="1"/>
  <c r="P452" i="1"/>
  <c r="O452" i="1"/>
  <c r="N452" i="1"/>
  <c r="P456" i="1"/>
  <c r="O456" i="1"/>
  <c r="N456" i="1"/>
  <c r="P460" i="1"/>
  <c r="O460" i="1"/>
  <c r="N460" i="1"/>
  <c r="P464" i="1"/>
  <c r="O464" i="1"/>
  <c r="N464" i="1"/>
  <c r="P468" i="1"/>
  <c r="O468" i="1"/>
  <c r="N468" i="1"/>
  <c r="P472" i="1"/>
  <c r="O472" i="1"/>
  <c r="N472" i="1"/>
  <c r="P476" i="1"/>
  <c r="O476" i="1"/>
  <c r="N476" i="1"/>
  <c r="P480" i="1"/>
  <c r="O480" i="1"/>
  <c r="N480" i="1"/>
  <c r="P484" i="1"/>
  <c r="O484" i="1"/>
  <c r="N484" i="1"/>
  <c r="P488" i="1"/>
  <c r="O488" i="1"/>
  <c r="N488" i="1"/>
  <c r="P492" i="1"/>
  <c r="O492" i="1"/>
  <c r="N492" i="1"/>
  <c r="P496" i="1"/>
  <c r="O496" i="1"/>
  <c r="N496" i="1"/>
  <c r="P500" i="1"/>
  <c r="O500" i="1"/>
  <c r="N500" i="1"/>
  <c r="P504" i="1"/>
  <c r="O504" i="1"/>
  <c r="N504" i="1"/>
  <c r="P508" i="1"/>
  <c r="O508" i="1"/>
  <c r="N508" i="1"/>
  <c r="P512" i="1"/>
  <c r="O512" i="1"/>
  <c r="N512" i="1"/>
  <c r="P516" i="1"/>
  <c r="O516" i="1"/>
  <c r="N516" i="1"/>
  <c r="P520" i="1"/>
  <c r="O520" i="1"/>
  <c r="N520" i="1"/>
  <c r="P527" i="1"/>
  <c r="O527" i="1"/>
  <c r="N527" i="1"/>
  <c r="P534" i="1"/>
  <c r="O534" i="1"/>
  <c r="N534" i="1"/>
  <c r="P538" i="1"/>
  <c r="O538" i="1"/>
  <c r="N538" i="1"/>
  <c r="P542" i="1"/>
  <c r="O542" i="1"/>
  <c r="N542" i="1"/>
  <c r="P546" i="1"/>
  <c r="O546" i="1"/>
  <c r="N546" i="1"/>
  <c r="P550" i="1"/>
  <c r="O550" i="1"/>
  <c r="N550" i="1"/>
  <c r="P557" i="1"/>
  <c r="O557" i="1"/>
  <c r="N557" i="1"/>
  <c r="P561" i="1"/>
  <c r="O561" i="1"/>
  <c r="N561" i="1"/>
  <c r="P565" i="1"/>
  <c r="O565" i="1"/>
  <c r="N565" i="1"/>
  <c r="P569" i="1"/>
  <c r="O569" i="1"/>
  <c r="N569" i="1"/>
  <c r="P573" i="1"/>
  <c r="O573" i="1"/>
  <c r="N573" i="1"/>
  <c r="P577" i="1"/>
  <c r="O577" i="1"/>
  <c r="N577" i="1"/>
  <c r="P581" i="1"/>
  <c r="O581" i="1"/>
  <c r="N581" i="1"/>
  <c r="P585" i="1"/>
  <c r="O585" i="1"/>
  <c r="N585" i="1"/>
  <c r="P589" i="1"/>
  <c r="O589" i="1"/>
  <c r="N589" i="1"/>
  <c r="N593" i="1"/>
  <c r="O593" i="1"/>
  <c r="P593" i="1"/>
  <c r="N597" i="1"/>
  <c r="O597" i="1"/>
  <c r="P597" i="1"/>
  <c r="N601" i="1"/>
  <c r="O601" i="1"/>
  <c r="P601" i="1"/>
  <c r="N605" i="1"/>
  <c r="O605" i="1"/>
  <c r="P605" i="1"/>
  <c r="N609" i="1"/>
  <c r="O609" i="1"/>
  <c r="P609" i="1"/>
  <c r="N613" i="1"/>
  <c r="O613" i="1"/>
  <c r="P613" i="1"/>
  <c r="N617" i="1"/>
  <c r="P617" i="1"/>
  <c r="O617" i="1"/>
  <c r="N621" i="1"/>
  <c r="P621" i="1"/>
  <c r="O621" i="1"/>
  <c r="N625" i="1"/>
  <c r="P625" i="1"/>
  <c r="O625" i="1"/>
  <c r="N629" i="1"/>
  <c r="P629" i="1"/>
  <c r="O629" i="1"/>
  <c r="N633" i="1"/>
  <c r="P633" i="1"/>
  <c r="O633" i="1"/>
  <c r="P637" i="1"/>
  <c r="N637" i="1"/>
  <c r="O637" i="1"/>
  <c r="P641" i="1"/>
  <c r="O641" i="1"/>
  <c r="N641" i="1"/>
  <c r="P645" i="1"/>
  <c r="O645" i="1"/>
  <c r="N645" i="1"/>
  <c r="P649" i="1"/>
  <c r="O649" i="1"/>
  <c r="N649" i="1"/>
  <c r="P653" i="1"/>
  <c r="N653" i="1"/>
  <c r="O653" i="1"/>
  <c r="P657" i="1"/>
  <c r="O657" i="1"/>
  <c r="N657" i="1"/>
  <c r="P661" i="1"/>
  <c r="O661" i="1"/>
  <c r="N661" i="1"/>
  <c r="P665" i="1"/>
  <c r="O665" i="1"/>
  <c r="N665" i="1"/>
  <c r="P671" i="1"/>
  <c r="O671" i="1"/>
  <c r="N671" i="1"/>
  <c r="P674" i="1"/>
  <c r="O674" i="1"/>
  <c r="N674" i="1"/>
  <c r="P676" i="1"/>
  <c r="O676" i="1"/>
  <c r="N676" i="1"/>
  <c r="P683" i="1"/>
  <c r="O683" i="1"/>
  <c r="N683" i="1"/>
  <c r="N687" i="1"/>
  <c r="P687" i="1"/>
  <c r="O687" i="1"/>
  <c r="N691" i="1"/>
  <c r="P691" i="1"/>
  <c r="O691" i="1"/>
  <c r="N695" i="1"/>
  <c r="P695" i="1"/>
  <c r="O695" i="1"/>
  <c r="N702" i="1"/>
  <c r="P702" i="1"/>
  <c r="O702" i="1"/>
  <c r="N706" i="1"/>
  <c r="P706" i="1"/>
  <c r="O706" i="1"/>
  <c r="N710" i="1"/>
  <c r="P710" i="1"/>
  <c r="O710" i="1"/>
  <c r="N715" i="1"/>
  <c r="P715" i="1"/>
  <c r="O715" i="1"/>
  <c r="N719" i="1"/>
  <c r="P719" i="1"/>
  <c r="O719" i="1"/>
  <c r="N723" i="1"/>
  <c r="P723" i="1"/>
  <c r="O723" i="1"/>
  <c r="N727" i="1"/>
  <c r="P727" i="1"/>
  <c r="O727" i="1"/>
  <c r="N730" i="1"/>
  <c r="P730" i="1"/>
  <c r="O730" i="1"/>
  <c r="N734" i="1"/>
  <c r="P734" i="1"/>
  <c r="O734" i="1"/>
  <c r="N737" i="1"/>
  <c r="P737" i="1"/>
  <c r="O737" i="1"/>
  <c r="N741" i="1"/>
  <c r="P741" i="1"/>
  <c r="O741" i="1"/>
  <c r="N745" i="1"/>
  <c r="P745" i="1"/>
  <c r="O745" i="1"/>
  <c r="N749" i="1"/>
  <c r="P749" i="1"/>
  <c r="O749" i="1"/>
  <c r="N753" i="1"/>
  <c r="P753" i="1"/>
  <c r="O753" i="1"/>
  <c r="N757" i="1"/>
  <c r="P757" i="1"/>
  <c r="O757" i="1"/>
  <c r="N761" i="1"/>
  <c r="P761" i="1"/>
  <c r="O761" i="1"/>
  <c r="N765" i="1"/>
  <c r="P765" i="1"/>
  <c r="O765" i="1"/>
  <c r="N769" i="1"/>
  <c r="P769" i="1"/>
  <c r="O769" i="1"/>
  <c r="N773" i="1"/>
  <c r="P773" i="1"/>
  <c r="O773" i="1"/>
  <c r="N777" i="1"/>
  <c r="P777" i="1"/>
  <c r="O777" i="1"/>
  <c r="N781" i="1"/>
  <c r="P781" i="1"/>
  <c r="O781" i="1"/>
  <c r="N785" i="1"/>
  <c r="P785" i="1"/>
  <c r="O785" i="1"/>
  <c r="N786" i="1"/>
  <c r="P786" i="1"/>
  <c r="O786" i="1"/>
  <c r="N53" i="1"/>
  <c r="P56" i="1"/>
  <c r="N60" i="1"/>
  <c r="P63" i="1"/>
  <c r="O65" i="1"/>
  <c r="O67" i="1"/>
  <c r="N69" i="1"/>
  <c r="P72" i="1"/>
  <c r="N76" i="1"/>
  <c r="P79" i="1"/>
  <c r="O81" i="1"/>
  <c r="O83" i="1"/>
  <c r="N85" i="1"/>
  <c r="P88" i="1"/>
  <c r="N92" i="1"/>
  <c r="P95" i="1"/>
  <c r="O97" i="1"/>
  <c r="O99" i="1"/>
  <c r="N101" i="1"/>
  <c r="P104" i="1"/>
  <c r="N108" i="1"/>
  <c r="P111" i="1"/>
  <c r="O113" i="1"/>
  <c r="O115" i="1"/>
  <c r="P119" i="1"/>
  <c r="O122" i="1"/>
  <c r="N125" i="1"/>
  <c r="N131" i="1"/>
  <c r="P133" i="1"/>
  <c r="O136" i="1"/>
  <c r="P140" i="1"/>
  <c r="O143" i="1"/>
  <c r="N146" i="1"/>
  <c r="P148" i="1"/>
  <c r="O151" i="1"/>
  <c r="N154" i="1"/>
  <c r="P156" i="1"/>
  <c r="P162" i="1"/>
  <c r="O165" i="1"/>
  <c r="N168" i="1"/>
  <c r="N170" i="1"/>
  <c r="O175" i="1"/>
  <c r="P180" i="1"/>
  <c r="N185" i="1"/>
  <c r="O189" i="1"/>
  <c r="P194" i="1"/>
  <c r="N199" i="1"/>
  <c r="O204" i="1"/>
  <c r="AK609" i="1"/>
  <c r="AM609" i="1" s="1"/>
  <c r="AL609" i="1"/>
  <c r="AL603" i="1" l="1"/>
  <c r="K3" i="1"/>
  <c r="AJ761" i="1"/>
  <c r="AJ785" i="1"/>
  <c r="AJ784" i="1"/>
  <c r="AJ782" i="1"/>
  <c r="AJ781" i="1"/>
  <c r="AJ780" i="1"/>
  <c r="AJ779" i="1"/>
  <c r="AJ778" i="1"/>
  <c r="AJ775" i="1"/>
  <c r="AJ774" i="1"/>
  <c r="AJ773" i="1"/>
  <c r="AJ772" i="1"/>
  <c r="AJ771" i="1"/>
  <c r="AJ770" i="1"/>
  <c r="AJ769" i="1"/>
  <c r="AJ766" i="1"/>
  <c r="AJ765" i="1"/>
  <c r="AJ764" i="1"/>
  <c r="AJ763" i="1"/>
  <c r="AJ759" i="1"/>
  <c r="AJ756" i="1"/>
  <c r="AJ755" i="1"/>
  <c r="AJ754" i="1"/>
  <c r="AJ752" i="1"/>
  <c r="AJ751" i="1"/>
  <c r="AJ750" i="1"/>
  <c r="AJ749" i="1"/>
  <c r="AJ745" i="1"/>
  <c r="AJ744" i="1"/>
  <c r="AJ742" i="1"/>
  <c r="AJ741" i="1"/>
  <c r="AJ734" i="1"/>
  <c r="AJ733" i="1"/>
  <c r="AJ732" i="1"/>
  <c r="AJ731" i="1"/>
  <c r="AJ730" i="1"/>
  <c r="AJ729" i="1"/>
  <c r="AJ725" i="1"/>
  <c r="AJ724" i="1"/>
  <c r="AJ721" i="1"/>
  <c r="AJ718" i="1"/>
  <c r="AJ717" i="1"/>
  <c r="AJ711" i="1"/>
  <c r="AJ710" i="1"/>
  <c r="AJ705" i="1"/>
  <c r="AJ704" i="1"/>
  <c r="AJ698" i="1"/>
  <c r="AJ692" i="1"/>
  <c r="AJ691" i="1"/>
  <c r="AJ688" i="1"/>
  <c r="AJ687" i="1"/>
  <c r="AJ686" i="1"/>
  <c r="AJ684" i="1"/>
  <c r="AJ670" i="1"/>
  <c r="AJ664" i="1"/>
  <c r="AJ662" i="1"/>
  <c r="AJ661" i="1"/>
  <c r="AJ659" i="1"/>
  <c r="AJ658" i="1"/>
  <c r="AJ655" i="1"/>
  <c r="AJ654" i="1"/>
  <c r="AJ651" i="1"/>
  <c r="AJ650" i="1"/>
  <c r="AJ649" i="1"/>
  <c r="AJ648" i="1"/>
  <c r="AJ647" i="1"/>
  <c r="AJ645" i="1"/>
  <c r="AJ644" i="1"/>
  <c r="AJ643" i="1"/>
  <c r="AJ642" i="1"/>
  <c r="AJ640" i="1"/>
  <c r="AJ639" i="1"/>
  <c r="AJ638" i="1"/>
  <c r="AJ637" i="1"/>
  <c r="AJ636" i="1"/>
  <c r="AJ633" i="1"/>
  <c r="AJ632" i="1"/>
  <c r="AJ631" i="1"/>
  <c r="AJ629" i="1"/>
  <c r="AJ625" i="1"/>
  <c r="AJ624" i="1"/>
  <c r="AJ619" i="1"/>
  <c r="AJ618" i="1"/>
  <c r="AJ617" i="1"/>
  <c r="AJ616" i="1"/>
  <c r="AJ605" i="1"/>
  <c r="AJ604" i="1"/>
  <c r="AJ602" i="1"/>
  <c r="AJ601" i="1"/>
  <c r="AJ596" i="1"/>
  <c r="AJ595" i="1"/>
  <c r="AJ594" i="1"/>
  <c r="AJ593" i="1"/>
  <c r="AJ592" i="1"/>
  <c r="AJ590" i="1"/>
  <c r="AJ587" i="1"/>
  <c r="AJ586" i="1"/>
  <c r="AJ585" i="1"/>
  <c r="AJ584" i="1"/>
  <c r="AJ583" i="1"/>
  <c r="AJ581" i="1"/>
  <c r="AJ580" i="1"/>
  <c r="AJ579" i="1"/>
  <c r="AJ578" i="1"/>
  <c r="AJ577" i="1"/>
  <c r="AJ576" i="1"/>
  <c r="AJ575" i="1"/>
  <c r="AJ574" i="1"/>
  <c r="AJ571" i="1"/>
  <c r="AJ570" i="1"/>
  <c r="AJ569" i="1"/>
  <c r="AJ568" i="1"/>
  <c r="AJ567" i="1"/>
  <c r="AJ566" i="1"/>
  <c r="AJ565" i="1"/>
  <c r="AJ563" i="1"/>
  <c r="AJ562" i="1"/>
  <c r="AJ561" i="1"/>
  <c r="AJ560" i="1"/>
  <c r="AJ559" i="1"/>
  <c r="AJ558" i="1"/>
  <c r="AJ557" i="1"/>
  <c r="AJ554" i="1"/>
  <c r="AJ553" i="1"/>
  <c r="AJ552" i="1"/>
  <c r="AJ551" i="1"/>
  <c r="AJ550" i="1"/>
  <c r="AJ549" i="1"/>
  <c r="AJ543" i="1"/>
  <c r="AJ540" i="1"/>
  <c r="AJ539" i="1"/>
  <c r="AJ538" i="1"/>
  <c r="AJ537" i="1"/>
  <c r="AJ536" i="1"/>
  <c r="AJ535" i="1"/>
  <c r="AJ534" i="1"/>
  <c r="AJ533" i="1"/>
  <c r="AJ528" i="1"/>
  <c r="AJ527" i="1"/>
  <c r="AJ522" i="1"/>
  <c r="AJ521" i="1"/>
  <c r="AJ520" i="1"/>
  <c r="AJ518" i="1"/>
  <c r="AJ512" i="1"/>
  <c r="AJ511" i="1"/>
  <c r="AJ508" i="1"/>
  <c r="AJ507" i="1"/>
  <c r="AJ502" i="1"/>
  <c r="AJ501" i="1"/>
  <c r="AJ500" i="1"/>
  <c r="AJ497" i="1"/>
  <c r="AJ495" i="1"/>
  <c r="AJ494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1" i="1"/>
  <c r="AJ468" i="1"/>
  <c r="AJ467" i="1"/>
  <c r="AJ466" i="1"/>
  <c r="AJ465" i="1"/>
  <c r="AJ464" i="1"/>
  <c r="AJ456" i="1"/>
  <c r="AJ451" i="1"/>
  <c r="AJ448" i="1"/>
  <c r="AJ447" i="1"/>
  <c r="AJ446" i="1"/>
  <c r="AJ444" i="1"/>
  <c r="AJ443" i="1"/>
  <c r="AJ441" i="1"/>
  <c r="AJ439" i="1"/>
  <c r="AJ437" i="1"/>
  <c r="AJ436" i="1"/>
  <c r="AJ434" i="1"/>
  <c r="AJ433" i="1"/>
  <c r="AJ432" i="1"/>
  <c r="AJ431" i="1"/>
  <c r="AJ429" i="1"/>
  <c r="AJ428" i="1"/>
  <c r="AJ427" i="1"/>
  <c r="AJ426" i="1"/>
  <c r="AJ425" i="1"/>
  <c r="AJ422" i="1"/>
  <c r="AJ421" i="1"/>
  <c r="AJ420" i="1"/>
  <c r="AJ419" i="1"/>
  <c r="AJ413" i="1"/>
  <c r="AJ412" i="1"/>
  <c r="AJ409" i="1"/>
  <c r="AJ404" i="1"/>
  <c r="AJ403" i="1"/>
  <c r="AJ402" i="1"/>
  <c r="AJ401" i="1"/>
  <c r="AJ400" i="1"/>
  <c r="AJ399" i="1"/>
  <c r="AJ398" i="1"/>
  <c r="AJ397" i="1"/>
  <c r="AJ392" i="1"/>
  <c r="AJ391" i="1"/>
  <c r="AJ390" i="1"/>
  <c r="AJ385" i="1"/>
  <c r="AJ384" i="1"/>
  <c r="AJ382" i="1"/>
  <c r="AJ381" i="1"/>
  <c r="AJ378" i="1"/>
  <c r="AJ375" i="1"/>
  <c r="AJ374" i="1"/>
  <c r="AJ373" i="1"/>
  <c r="AJ372" i="1"/>
  <c r="AJ371" i="1"/>
  <c r="AJ368" i="1"/>
  <c r="AJ367" i="1"/>
  <c r="AJ366" i="1"/>
  <c r="AJ365" i="1"/>
  <c r="AJ364" i="1"/>
  <c r="AJ363" i="1"/>
  <c r="AJ362" i="1"/>
  <c r="AJ360" i="1"/>
  <c r="AJ359" i="1"/>
  <c r="AJ358" i="1"/>
  <c r="AJ357" i="1"/>
  <c r="AJ351" i="1"/>
  <c r="AJ349" i="1"/>
  <c r="AJ348" i="1"/>
  <c r="AJ346" i="1"/>
  <c r="AJ345" i="1"/>
  <c r="AJ344" i="1"/>
  <c r="AJ332" i="1"/>
  <c r="AJ330" i="1"/>
  <c r="AJ329" i="1"/>
  <c r="AJ326" i="1"/>
  <c r="AJ322" i="1"/>
  <c r="AJ320" i="1"/>
  <c r="AJ319" i="1"/>
  <c r="AJ318" i="1"/>
  <c r="AJ317" i="1"/>
  <c r="AJ316" i="1"/>
  <c r="AJ315" i="1"/>
  <c r="AJ314" i="1"/>
  <c r="AJ313" i="1"/>
  <c r="AJ312" i="1"/>
  <c r="AJ308" i="1"/>
  <c r="AJ307" i="1"/>
  <c r="AJ306" i="1"/>
  <c r="AJ305" i="1"/>
  <c r="AJ304" i="1"/>
  <c r="AJ303" i="1"/>
  <c r="AJ302" i="1"/>
  <c r="AJ301" i="1"/>
  <c r="AJ300" i="1"/>
  <c r="AJ299" i="1"/>
  <c r="AJ298" i="1"/>
  <c r="AJ296" i="1"/>
  <c r="AJ295" i="1"/>
  <c r="AJ294" i="1"/>
  <c r="AJ293" i="1"/>
  <c r="AJ289" i="1"/>
  <c r="AJ288" i="1"/>
  <c r="AJ286" i="1"/>
  <c r="AJ282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4" i="1"/>
  <c r="AJ263" i="1"/>
  <c r="AJ262" i="1"/>
  <c r="AJ261" i="1"/>
  <c r="AJ257" i="1"/>
  <c r="AJ256" i="1"/>
  <c r="AJ255" i="1"/>
  <c r="AJ247" i="1"/>
  <c r="AJ246" i="1"/>
  <c r="AJ245" i="1"/>
  <c r="AJ243" i="1"/>
  <c r="AJ240" i="1"/>
  <c r="AJ238" i="1"/>
  <c r="AJ237" i="1"/>
  <c r="AJ236" i="1"/>
  <c r="AJ234" i="1"/>
  <c r="AJ233" i="1"/>
  <c r="AJ232" i="1"/>
  <c r="AJ230" i="1"/>
  <c r="AJ229" i="1"/>
  <c r="AJ228" i="1"/>
  <c r="AJ227" i="1"/>
  <c r="AJ222" i="1"/>
  <c r="AJ221" i="1"/>
  <c r="AJ220" i="1"/>
  <c r="AJ219" i="1"/>
  <c r="AJ218" i="1"/>
  <c r="AJ217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5" i="1"/>
  <c r="AJ194" i="1"/>
  <c r="AJ193" i="1"/>
  <c r="AJ192" i="1"/>
  <c r="AJ187" i="1"/>
  <c r="AJ186" i="1"/>
  <c r="AJ185" i="1"/>
  <c r="AJ184" i="1"/>
  <c r="AJ180" i="1"/>
  <c r="AJ179" i="1"/>
  <c r="AJ177" i="1"/>
  <c r="AJ176" i="1"/>
  <c r="AJ175" i="1"/>
  <c r="AJ174" i="1"/>
  <c r="AJ173" i="1"/>
  <c r="AJ172" i="1"/>
  <c r="AJ169" i="1"/>
  <c r="AJ167" i="1"/>
  <c r="AJ166" i="1"/>
  <c r="AJ165" i="1"/>
  <c r="AJ164" i="1"/>
  <c r="AJ163" i="1"/>
  <c r="AJ162" i="1"/>
  <c r="AJ160" i="1"/>
  <c r="AJ159" i="1"/>
  <c r="AJ158" i="1"/>
  <c r="AJ156" i="1"/>
  <c r="AJ155" i="1"/>
  <c r="AJ154" i="1"/>
  <c r="AJ153" i="1"/>
  <c r="AJ149" i="1"/>
  <c r="AJ148" i="1"/>
  <c r="AJ146" i="1"/>
  <c r="AJ145" i="1"/>
  <c r="AJ144" i="1"/>
  <c r="AJ143" i="1"/>
  <c r="AJ142" i="1"/>
  <c r="AJ141" i="1"/>
  <c r="AJ137" i="1"/>
  <c r="AJ136" i="1"/>
  <c r="AJ135" i="1"/>
  <c r="AJ134" i="1"/>
  <c r="AJ133" i="1"/>
  <c r="AJ132" i="1"/>
  <c r="AJ131" i="1"/>
  <c r="AJ130" i="1"/>
  <c r="AJ123" i="1"/>
  <c r="AJ122" i="1"/>
  <c r="AJ121" i="1"/>
  <c r="AJ120" i="1"/>
  <c r="AJ119" i="1"/>
  <c r="AJ115" i="1"/>
  <c r="AJ114" i="1"/>
  <c r="AJ112" i="1"/>
  <c r="AJ111" i="1"/>
  <c r="AJ107" i="1"/>
  <c r="AJ106" i="1"/>
  <c r="AJ105" i="1"/>
  <c r="AJ104" i="1"/>
  <c r="AJ103" i="1"/>
  <c r="AJ102" i="1"/>
  <c r="AJ99" i="1"/>
  <c r="AJ98" i="1"/>
  <c r="AJ97" i="1"/>
  <c r="AJ96" i="1"/>
  <c r="AJ93" i="1"/>
  <c r="AJ92" i="1"/>
  <c r="AJ89" i="1"/>
  <c r="AJ86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3" i="1"/>
  <c r="AJ51" i="1"/>
  <c r="AJ49" i="1"/>
  <c r="AJ46" i="1"/>
  <c r="AJ45" i="1"/>
  <c r="AJ44" i="1"/>
  <c r="AJ43" i="1"/>
  <c r="AJ42" i="1"/>
  <c r="AJ41" i="1"/>
  <c r="AJ40" i="1"/>
  <c r="AJ35" i="1"/>
  <c r="AJ34" i="1"/>
  <c r="AJ33" i="1"/>
  <c r="AJ29" i="1"/>
  <c r="AJ28" i="1"/>
  <c r="AJ27" i="1"/>
  <c r="AJ25" i="1"/>
  <c r="AJ19" i="1"/>
  <c r="AJ14" i="1"/>
  <c r="AJ2" i="1"/>
  <c r="AJ740" i="1"/>
  <c r="AJ673" i="1"/>
  <c r="AJ542" i="1"/>
  <c r="AJ510" i="1"/>
  <c r="AJ450" i="1"/>
  <c r="AJ285" i="1"/>
  <c r="AJ739" i="1"/>
  <c r="AJ728" i="1"/>
  <c r="AJ715" i="1"/>
  <c r="AJ788" i="1"/>
  <c r="AJ671" i="1"/>
  <c r="AJ458" i="1"/>
  <c r="AJ787" i="1"/>
  <c r="AJ786" i="1"/>
  <c r="AJ689" i="1"/>
  <c r="AJ284" i="1"/>
  <c r="AJ460" i="1"/>
  <c r="AJ13" i="1"/>
  <c r="AJ283" i="1"/>
  <c r="AJ738" i="1"/>
  <c r="AJ783" i="1"/>
  <c r="AJ777" i="1"/>
  <c r="AJ776" i="1"/>
  <c r="AJ768" i="1"/>
  <c r="AJ767" i="1"/>
  <c r="AJ762" i="1"/>
  <c r="AJ760" i="1"/>
  <c r="AJ758" i="1"/>
  <c r="AJ757" i="1"/>
  <c r="AJ753" i="1"/>
  <c r="AJ748" i="1"/>
  <c r="AJ747" i="1"/>
  <c r="AJ746" i="1"/>
  <c r="AJ743" i="1"/>
  <c r="AJ736" i="1"/>
  <c r="AJ735" i="1"/>
  <c r="AJ737" i="1"/>
  <c r="AJ727" i="1"/>
  <c r="AJ726" i="1"/>
  <c r="AJ722" i="1"/>
  <c r="AJ723" i="1"/>
  <c r="AJ720" i="1"/>
  <c r="AJ719" i="1"/>
  <c r="AJ716" i="1"/>
  <c r="AJ714" i="1"/>
  <c r="AJ713" i="1"/>
  <c r="AJ712" i="1"/>
  <c r="AJ709" i="1"/>
  <c r="AJ707" i="1"/>
  <c r="AJ708" i="1"/>
  <c r="AJ706" i="1"/>
  <c r="AJ703" i="1"/>
  <c r="AJ702" i="1"/>
  <c r="AJ700" i="1"/>
  <c r="AJ699" i="1"/>
  <c r="AJ701" i="1"/>
  <c r="AJ697" i="1"/>
  <c r="AJ695" i="1"/>
  <c r="AJ696" i="1"/>
  <c r="AJ694" i="1"/>
  <c r="AJ693" i="1"/>
  <c r="AJ690" i="1"/>
  <c r="AJ685" i="1"/>
  <c r="AJ683" i="1"/>
  <c r="AJ681" i="1"/>
  <c r="AJ682" i="1"/>
  <c r="AJ680" i="1"/>
  <c r="AJ679" i="1"/>
  <c r="AJ678" i="1"/>
  <c r="AJ674" i="1"/>
  <c r="AJ677" i="1"/>
  <c r="AJ676" i="1"/>
  <c r="AJ675" i="1"/>
  <c r="AJ672" i="1"/>
  <c r="AJ668" i="1"/>
  <c r="AJ667" i="1"/>
  <c r="AJ669" i="1"/>
  <c r="AJ666" i="1"/>
  <c r="AJ665" i="1"/>
  <c r="AJ663" i="1"/>
  <c r="AJ660" i="1"/>
  <c r="AJ657" i="1"/>
  <c r="AJ653" i="1"/>
  <c r="AJ652" i="1"/>
  <c r="AJ646" i="1"/>
  <c r="AJ641" i="1"/>
  <c r="AJ635" i="1"/>
  <c r="AJ634" i="1"/>
  <c r="AJ630" i="1"/>
  <c r="AJ628" i="1"/>
  <c r="AJ626" i="1"/>
  <c r="AJ627" i="1"/>
  <c r="AJ622" i="1"/>
  <c r="AJ621" i="1"/>
  <c r="AJ620" i="1"/>
  <c r="AJ623" i="1"/>
  <c r="AJ615" i="1"/>
  <c r="AJ613" i="1"/>
  <c r="AJ614" i="1"/>
  <c r="AJ612" i="1"/>
  <c r="AJ610" i="1"/>
  <c r="AJ611" i="1"/>
  <c r="AJ606" i="1"/>
  <c r="AJ608" i="1"/>
  <c r="AJ607" i="1"/>
  <c r="AJ600" i="1"/>
  <c r="AJ598" i="1"/>
  <c r="AJ599" i="1"/>
  <c r="AJ597" i="1"/>
  <c r="AJ591" i="1"/>
  <c r="AJ589" i="1"/>
  <c r="AJ588" i="1"/>
  <c r="AJ582" i="1"/>
  <c r="AJ573" i="1"/>
  <c r="AJ572" i="1"/>
  <c r="AJ564" i="1"/>
  <c r="AJ556" i="1"/>
  <c r="AJ555" i="1"/>
  <c r="AJ548" i="1"/>
  <c r="AJ546" i="1"/>
  <c r="AJ547" i="1"/>
  <c r="AJ545" i="1"/>
  <c r="AJ544" i="1"/>
  <c r="AJ541" i="1"/>
  <c r="AJ532" i="1"/>
  <c r="AJ530" i="1"/>
  <c r="AJ531" i="1"/>
  <c r="AJ529" i="1"/>
  <c r="AJ526" i="1"/>
  <c r="AJ524" i="1"/>
  <c r="AJ525" i="1"/>
  <c r="AJ523" i="1"/>
  <c r="AJ519" i="1"/>
  <c r="AJ517" i="1"/>
  <c r="AJ516" i="1"/>
  <c r="AJ515" i="1"/>
  <c r="AJ513" i="1"/>
  <c r="AJ514" i="1"/>
  <c r="AJ509" i="1"/>
  <c r="AJ506" i="1"/>
  <c r="AJ505" i="1"/>
  <c r="AJ503" i="1"/>
  <c r="AJ504" i="1"/>
  <c r="AJ499" i="1"/>
  <c r="AJ498" i="1"/>
  <c r="AJ496" i="1"/>
  <c r="AJ493" i="1"/>
  <c r="AJ473" i="1"/>
  <c r="AJ472" i="1"/>
  <c r="AJ470" i="1"/>
  <c r="AJ469" i="1"/>
  <c r="AJ463" i="1"/>
  <c r="AJ462" i="1"/>
  <c r="AJ461" i="1"/>
  <c r="AJ459" i="1"/>
  <c r="AJ457" i="1"/>
  <c r="AJ455" i="1"/>
  <c r="AJ453" i="1"/>
  <c r="AJ454" i="1"/>
  <c r="AJ452" i="1"/>
  <c r="AJ449" i="1"/>
  <c r="AJ445" i="1"/>
  <c r="AJ442" i="1"/>
  <c r="AJ440" i="1"/>
  <c r="AJ438" i="1"/>
  <c r="AJ435" i="1"/>
  <c r="AJ430" i="1"/>
  <c r="AJ424" i="1"/>
  <c r="AJ423" i="1"/>
  <c r="AJ418" i="1"/>
  <c r="AJ417" i="1"/>
  <c r="AJ416" i="1"/>
  <c r="AJ414" i="1"/>
  <c r="AJ415" i="1"/>
  <c r="AJ411" i="1"/>
  <c r="AJ410" i="1"/>
  <c r="AJ408" i="1"/>
  <c r="AJ407" i="1"/>
  <c r="AJ406" i="1"/>
  <c r="AJ405" i="1"/>
  <c r="AJ396" i="1"/>
  <c r="AJ394" i="1"/>
  <c r="AJ395" i="1"/>
  <c r="AJ393" i="1"/>
  <c r="AJ389" i="1"/>
  <c r="AJ388" i="1"/>
  <c r="AJ387" i="1"/>
  <c r="AJ386" i="1"/>
  <c r="AJ383" i="1"/>
  <c r="AJ380" i="1"/>
  <c r="AJ379" i="1"/>
  <c r="AJ376" i="1"/>
  <c r="AJ377" i="1"/>
  <c r="AJ370" i="1"/>
  <c r="AJ369" i="1"/>
  <c r="AJ361" i="1"/>
  <c r="AJ356" i="1"/>
  <c r="AJ355" i="1"/>
  <c r="AJ354" i="1"/>
  <c r="AJ353" i="1"/>
  <c r="AJ352" i="1"/>
  <c r="AJ350" i="1"/>
  <c r="AJ347" i="1"/>
  <c r="AJ343" i="1"/>
  <c r="AJ342" i="1"/>
  <c r="AJ341" i="1"/>
  <c r="AJ340" i="1"/>
  <c r="AJ339" i="1"/>
  <c r="AJ338" i="1"/>
  <c r="AJ337" i="1"/>
  <c r="AJ336" i="1"/>
  <c r="AJ335" i="1"/>
  <c r="AJ334" i="1"/>
  <c r="AJ333" i="1"/>
  <c r="AJ331" i="1"/>
  <c r="AJ328" i="1"/>
  <c r="AJ327" i="1"/>
  <c r="AJ325" i="1"/>
  <c r="AJ324" i="1"/>
  <c r="AJ323" i="1"/>
  <c r="AJ321" i="1"/>
  <c r="AJ311" i="1"/>
  <c r="AJ310" i="1"/>
  <c r="AJ309" i="1"/>
  <c r="AJ297" i="1"/>
  <c r="AJ292" i="1"/>
  <c r="AJ291" i="1"/>
  <c r="AJ287" i="1"/>
  <c r="AJ267" i="1"/>
  <c r="AJ266" i="1"/>
  <c r="AJ265" i="1"/>
  <c r="AJ260" i="1"/>
  <c r="AJ259" i="1"/>
  <c r="AJ258" i="1"/>
  <c r="AJ254" i="1"/>
  <c r="AJ253" i="1"/>
  <c r="AJ252" i="1"/>
  <c r="AJ251" i="1"/>
  <c r="AJ250" i="1"/>
  <c r="AJ249" i="1"/>
  <c r="AJ248" i="1"/>
  <c r="AJ244" i="1"/>
  <c r="AJ242" i="1"/>
  <c r="AJ241" i="1"/>
  <c r="AJ239" i="1"/>
  <c r="AJ235" i="1"/>
  <c r="AJ231" i="1"/>
  <c r="AJ226" i="1"/>
  <c r="AJ225" i="1"/>
  <c r="AJ224" i="1"/>
  <c r="AJ223" i="1"/>
  <c r="AJ216" i="1"/>
  <c r="AJ215" i="1"/>
  <c r="AJ214" i="1"/>
  <c r="AJ199" i="1"/>
  <c r="AJ198" i="1"/>
  <c r="AJ197" i="1"/>
  <c r="AJ196" i="1"/>
  <c r="AJ191" i="1"/>
  <c r="AJ190" i="1"/>
  <c r="AJ189" i="1"/>
  <c r="AJ188" i="1"/>
  <c r="AJ183" i="1"/>
  <c r="AJ182" i="1"/>
  <c r="AJ181" i="1"/>
  <c r="AJ178" i="1"/>
  <c r="AJ171" i="1"/>
  <c r="AJ170" i="1"/>
  <c r="AJ168" i="1"/>
  <c r="AJ161" i="1"/>
  <c r="AJ157" i="1"/>
  <c r="AJ152" i="1"/>
  <c r="AJ151" i="1"/>
  <c r="AJ150" i="1"/>
  <c r="AJ147" i="1"/>
  <c r="AJ140" i="1"/>
  <c r="AJ139" i="1"/>
  <c r="AJ138" i="1"/>
  <c r="AJ129" i="1"/>
  <c r="AJ128" i="1"/>
  <c r="AJ127" i="1"/>
  <c r="AJ126" i="1"/>
  <c r="AJ125" i="1"/>
  <c r="AJ124" i="1"/>
  <c r="AJ118" i="1"/>
  <c r="AJ117" i="1"/>
  <c r="AJ116" i="1"/>
  <c r="AJ113" i="1"/>
  <c r="AJ110" i="1"/>
  <c r="AJ109" i="1"/>
  <c r="AJ108" i="1"/>
  <c r="AJ101" i="1"/>
  <c r="AJ100" i="1"/>
  <c r="AJ95" i="1"/>
  <c r="AJ94" i="1"/>
  <c r="AJ91" i="1"/>
  <c r="AJ90" i="1"/>
  <c r="AJ88" i="1"/>
  <c r="AJ85" i="1"/>
  <c r="AJ54" i="1"/>
  <c r="AJ52" i="1"/>
  <c r="AJ50" i="1"/>
  <c r="AJ48" i="1"/>
  <c r="AJ47" i="1"/>
  <c r="AJ36" i="1"/>
  <c r="AJ39" i="1"/>
  <c r="AJ38" i="1"/>
  <c r="AJ37" i="1"/>
  <c r="AJ30" i="1"/>
  <c r="AJ32" i="1"/>
  <c r="AJ31" i="1"/>
  <c r="AJ26" i="1"/>
  <c r="AJ24" i="1"/>
  <c r="AJ20" i="1"/>
  <c r="AJ23" i="1"/>
  <c r="AJ22" i="1"/>
  <c r="AJ21" i="1"/>
  <c r="AJ15" i="1"/>
  <c r="AJ18" i="1"/>
  <c r="AJ17" i="1"/>
  <c r="AJ16" i="1"/>
  <c r="AJ9" i="1"/>
  <c r="AJ12" i="1"/>
  <c r="AJ11" i="1"/>
  <c r="AJ10" i="1"/>
  <c r="AJ5" i="1"/>
  <c r="AJ8" i="1"/>
  <c r="AJ7" i="1"/>
  <c r="AJ6" i="1"/>
  <c r="AJ4" i="1"/>
  <c r="AJ3" i="1"/>
  <c r="AJ87" i="1"/>
  <c r="AJ656" i="1"/>
  <c r="AJ290" i="1"/>
  <c r="AJ281" i="1"/>
  <c r="AK313" i="1" l="1"/>
  <c r="AM313" i="1" s="1"/>
  <c r="AK165" i="1"/>
  <c r="AM165" i="1" s="1"/>
  <c r="AK302" i="1"/>
  <c r="AM302" i="1" s="1"/>
  <c r="AK515" i="1"/>
  <c r="AM515" i="1" s="1"/>
  <c r="AK173" i="1"/>
  <c r="AM173" i="1" s="1"/>
  <c r="AK209" i="1"/>
  <c r="AM209" i="1" s="1"/>
  <c r="AK213" i="1"/>
  <c r="AM213" i="1" s="1"/>
  <c r="AK238" i="1"/>
  <c r="AM238" i="1" s="1"/>
  <c r="AK270" i="1"/>
  <c r="AM270" i="1" s="1"/>
  <c r="AK294" i="1"/>
  <c r="AM294" i="1" s="1"/>
  <c r="AK299" i="1"/>
  <c r="AM299" i="1" s="1"/>
  <c r="AK307" i="1"/>
  <c r="AM307" i="1" s="1"/>
  <c r="AK422" i="1"/>
  <c r="AM422" i="1" s="1"/>
  <c r="AK456" i="1"/>
  <c r="AM456" i="1" s="1"/>
  <c r="AK467" i="1"/>
  <c r="AM467" i="1" s="1"/>
  <c r="AK479" i="1"/>
  <c r="AM479" i="1" s="1"/>
  <c r="AK497" i="1"/>
  <c r="AM497" i="1" s="1"/>
  <c r="AK688" i="1"/>
  <c r="AM688" i="1" s="1"/>
  <c r="AK160" i="1"/>
  <c r="AM160" i="1" s="1"/>
  <c r="AK192" i="1"/>
  <c r="AM192" i="1" s="1"/>
  <c r="AK245" i="1"/>
  <c r="AM245" i="1" s="1"/>
  <c r="AK174" i="1"/>
  <c r="AM174" i="1" s="1"/>
  <c r="AK194" i="1"/>
  <c r="AM194" i="1" s="1"/>
  <c r="AK202" i="1"/>
  <c r="AM202" i="1" s="1"/>
  <c r="AK229" i="1"/>
  <c r="AM229" i="1" s="1"/>
  <c r="AK234" i="1"/>
  <c r="AM234" i="1" s="1"/>
  <c r="AK240" i="1"/>
  <c r="AM240" i="1" s="1"/>
  <c r="AK261" i="1"/>
  <c r="AM261" i="1" s="1"/>
  <c r="AK271" i="1"/>
  <c r="AM271" i="1" s="1"/>
  <c r="AK275" i="1"/>
  <c r="AM275" i="1" s="1"/>
  <c r="AK288" i="1"/>
  <c r="AM288" i="1" s="1"/>
  <c r="AK329" i="1"/>
  <c r="AM329" i="1" s="1"/>
  <c r="AK365" i="1"/>
  <c r="AM365" i="1" s="1"/>
  <c r="AK400" i="1"/>
  <c r="AM400" i="1" s="1"/>
  <c r="AK419" i="1"/>
  <c r="AM419" i="1" s="1"/>
  <c r="AK434" i="1"/>
  <c r="AM434" i="1" s="1"/>
  <c r="AK464" i="1"/>
  <c r="AM464" i="1" s="1"/>
  <c r="AK492" i="1"/>
  <c r="AM492" i="1" s="1"/>
  <c r="AK534" i="1"/>
  <c r="AM534" i="1" s="1"/>
  <c r="AK562" i="1"/>
  <c r="AM562" i="1" s="1"/>
  <c r="AK586" i="1"/>
  <c r="AM586" i="1" s="1"/>
  <c r="AK744" i="1"/>
  <c r="AM744" i="1" s="1"/>
  <c r="AK184" i="1"/>
  <c r="AM184" i="1" s="1"/>
  <c r="AK219" i="1"/>
  <c r="AM219" i="1" s="1"/>
  <c r="AK358" i="1"/>
  <c r="AM358" i="1" s="1"/>
  <c r="AK390" i="1"/>
  <c r="AM390" i="1" s="1"/>
  <c r="AK412" i="1"/>
  <c r="AM412" i="1" s="1"/>
  <c r="AK427" i="1"/>
  <c r="AM427" i="1" s="1"/>
  <c r="AK437" i="1"/>
  <c r="AM437" i="1" s="1"/>
  <c r="AK474" i="1"/>
  <c r="AM474" i="1" s="1"/>
  <c r="AK482" i="1"/>
  <c r="AM482" i="1" s="1"/>
  <c r="AK731" i="1"/>
  <c r="AM731" i="1" s="1"/>
  <c r="AK784" i="1"/>
  <c r="AM784" i="1" s="1"/>
  <c r="AK284" i="1"/>
  <c r="AM284" i="1" s="1"/>
  <c r="AK510" i="1"/>
  <c r="AM510" i="1" s="1"/>
  <c r="AK25" i="1"/>
  <c r="AM25" i="1" s="1"/>
  <c r="AK41" i="1"/>
  <c r="AM41" i="1" s="1"/>
  <c r="AK45" i="1"/>
  <c r="AM45" i="1" s="1"/>
  <c r="AK53" i="1"/>
  <c r="AM53" i="1" s="1"/>
  <c r="AK58" i="1"/>
  <c r="AM58" i="1" s="1"/>
  <c r="AK66" i="1"/>
  <c r="AM66" i="1" s="1"/>
  <c r="AK70" i="1"/>
  <c r="AM70" i="1" s="1"/>
  <c r="AK74" i="1"/>
  <c r="AM74" i="1" s="1"/>
  <c r="AK82" i="1"/>
  <c r="AM82" i="1" s="1"/>
  <c r="AK97" i="1"/>
  <c r="AM97" i="1" s="1"/>
  <c r="AK136" i="1"/>
  <c r="AM136" i="1" s="1"/>
  <c r="AK155" i="1"/>
  <c r="AM155" i="1" s="1"/>
  <c r="AK159" i="1"/>
  <c r="AM159" i="1" s="1"/>
  <c r="AK169" i="1"/>
  <c r="AM169" i="1" s="1"/>
  <c r="AK180" i="1"/>
  <c r="AM180" i="1" s="1"/>
  <c r="AK203" i="1"/>
  <c r="AM203" i="1" s="1"/>
  <c r="AK207" i="1"/>
  <c r="AM207" i="1" s="1"/>
  <c r="AK218" i="1"/>
  <c r="AM218" i="1" s="1"/>
  <c r="AK230" i="1"/>
  <c r="AM230" i="1" s="1"/>
  <c r="AK262" i="1"/>
  <c r="AM262" i="1" s="1"/>
  <c r="AK276" i="1"/>
  <c r="AM276" i="1" s="1"/>
  <c r="AK280" i="1"/>
  <c r="AM280" i="1" s="1"/>
  <c r="AK289" i="1"/>
  <c r="AM289" i="1" s="1"/>
  <c r="AK316" i="1"/>
  <c r="AM316" i="1" s="1"/>
  <c r="AK320" i="1"/>
  <c r="AM320" i="1" s="1"/>
  <c r="AK362" i="1"/>
  <c r="AM362" i="1" s="1"/>
  <c r="AK372" i="1"/>
  <c r="AM372" i="1" s="1"/>
  <c r="AK397" i="1"/>
  <c r="AM397" i="1" s="1"/>
  <c r="AK603" i="1"/>
  <c r="AM603" i="1" s="1"/>
  <c r="AL229" i="1"/>
  <c r="AL302" i="1"/>
  <c r="AL419" i="1"/>
  <c r="AL165" i="1"/>
  <c r="AL497" i="1"/>
  <c r="AL174" i="1"/>
  <c r="AL245" i="1"/>
  <c r="AL329" i="1"/>
  <c r="AL434" i="1"/>
  <c r="AL534" i="1"/>
  <c r="AL184" i="1"/>
  <c r="AL271" i="1"/>
  <c r="AL358" i="1"/>
  <c r="AL464" i="1"/>
  <c r="AL194" i="1"/>
  <c r="AL275" i="1"/>
  <c r="AL400" i="1"/>
  <c r="AL474" i="1"/>
  <c r="AL731" i="1"/>
  <c r="AL4" i="1"/>
  <c r="AL12" i="1"/>
  <c r="AL24" i="1"/>
  <c r="AL101" i="1"/>
  <c r="AL126" i="1"/>
  <c r="AL139" i="1"/>
  <c r="AL161" i="1"/>
  <c r="AL252" i="1"/>
  <c r="AL6" i="1"/>
  <c r="AL9" i="1"/>
  <c r="AL15" i="1"/>
  <c r="AL23" i="1"/>
  <c r="AL26" i="1"/>
  <c r="AL30" i="1"/>
  <c r="AL39" i="1"/>
  <c r="AL50" i="1"/>
  <c r="AL85" i="1"/>
  <c r="AL94" i="1"/>
  <c r="AL108" i="1"/>
  <c r="AL116" i="1"/>
  <c r="AL129" i="1"/>
  <c r="AL140" i="1"/>
  <c r="AL152" i="1"/>
  <c r="AL168" i="1"/>
  <c r="AL178" i="1"/>
  <c r="AL183" i="1"/>
  <c r="AL190" i="1"/>
  <c r="AL197" i="1"/>
  <c r="AL215" i="1"/>
  <c r="AL225" i="1"/>
  <c r="AL235" i="1"/>
  <c r="AL244" i="1"/>
  <c r="AL250" i="1"/>
  <c r="AL253" i="1"/>
  <c r="AL259" i="1"/>
  <c r="AL287" i="1"/>
  <c r="AL297" i="1"/>
  <c r="AL311" i="1"/>
  <c r="AL324" i="1"/>
  <c r="AL334" i="1"/>
  <c r="AL338" i="1"/>
  <c r="AL341" i="1"/>
  <c r="AL343" i="1"/>
  <c r="AL353" i="1"/>
  <c r="AL361" i="1"/>
  <c r="AL379" i="1"/>
  <c r="AL386" i="1"/>
  <c r="AL389" i="1"/>
  <c r="AL411" i="1"/>
  <c r="AL416" i="1"/>
  <c r="AL424" i="1"/>
  <c r="AL438" i="1"/>
  <c r="AL449" i="1"/>
  <c r="AL453" i="1"/>
  <c r="AL461" i="1"/>
  <c r="AL470" i="1"/>
  <c r="AL496" i="1"/>
  <c r="AL503" i="1"/>
  <c r="AL505" i="1"/>
  <c r="AL517" i="1"/>
  <c r="AL524" i="1"/>
  <c r="AL531" i="1"/>
  <c r="AL532" i="1"/>
  <c r="AL547" i="1"/>
  <c r="AL548" i="1"/>
  <c r="AL572" i="1"/>
  <c r="AL589" i="1"/>
  <c r="AL598" i="1"/>
  <c r="AL606" i="1"/>
  <c r="AL612" i="1"/>
  <c r="AL615" i="1"/>
  <c r="AL621" i="1"/>
  <c r="AL635" i="1"/>
  <c r="AL653" i="1"/>
  <c r="AL665" i="1"/>
  <c r="AL676" i="1"/>
  <c r="AL682" i="1"/>
  <c r="AL683" i="1"/>
  <c r="AL694" i="1"/>
  <c r="AL701" i="1"/>
  <c r="AL707" i="1"/>
  <c r="AL719" i="1"/>
  <c r="AL726" i="1"/>
  <c r="AL735" i="1"/>
  <c r="AL753" i="1"/>
  <c r="AL762" i="1"/>
  <c r="AL777" i="1"/>
  <c r="AL13" i="1"/>
  <c r="AL787" i="1"/>
  <c r="AL715" i="1"/>
  <c r="AL673" i="1"/>
  <c r="AL14" i="1"/>
  <c r="AL28" i="1"/>
  <c r="AL35" i="1"/>
  <c r="AL43" i="1"/>
  <c r="AL49" i="1"/>
  <c r="AL56" i="1"/>
  <c r="AL60" i="1"/>
  <c r="AL64" i="1"/>
  <c r="AL68" i="1"/>
  <c r="AL72" i="1"/>
  <c r="AL76" i="1"/>
  <c r="AL80" i="1"/>
  <c r="AL84" i="1"/>
  <c r="AL93" i="1"/>
  <c r="AL99" i="1"/>
  <c r="AL105" i="1"/>
  <c r="AL112" i="1"/>
  <c r="AL120" i="1"/>
  <c r="AL130" i="1"/>
  <c r="AL134" i="1"/>
  <c r="AL141" i="1"/>
  <c r="AL145" i="1"/>
  <c r="AL153" i="1"/>
  <c r="AL158" i="1"/>
  <c r="AL162" i="1"/>
  <c r="AL166" i="1"/>
  <c r="AL335" i="1"/>
  <c r="AL347" i="1"/>
  <c r="AL380" i="1"/>
  <c r="AL387" i="1"/>
  <c r="AK393" i="1"/>
  <c r="AM393" i="1" s="1"/>
  <c r="AL393" i="1"/>
  <c r="AL396" i="1"/>
  <c r="AL407" i="1"/>
  <c r="AL415" i="1"/>
  <c r="AL417" i="1"/>
  <c r="AL440" i="1"/>
  <c r="AL452" i="1"/>
  <c r="AL455" i="1"/>
  <c r="AL462" i="1"/>
  <c r="AL472" i="1"/>
  <c r="AL498" i="1"/>
  <c r="AL506" i="1"/>
  <c r="AL513" i="1"/>
  <c r="AL519" i="1"/>
  <c r="AL526" i="1"/>
  <c r="AL530" i="1"/>
  <c r="AL541" i="1"/>
  <c r="AL546" i="1"/>
  <c r="AL555" i="1"/>
  <c r="AL573" i="1"/>
  <c r="AL591" i="1"/>
  <c r="AL607" i="1"/>
  <c r="AL611" i="1"/>
  <c r="AL614" i="1"/>
  <c r="AL623" i="1"/>
  <c r="AL622" i="1"/>
  <c r="AL628" i="1"/>
  <c r="AL641" i="1"/>
  <c r="AL657" i="1"/>
  <c r="AL666" i="1"/>
  <c r="AL675" i="1"/>
  <c r="AL677" i="1"/>
  <c r="AL685" i="1"/>
  <c r="AL696" i="1"/>
  <c r="AL699" i="1"/>
  <c r="AL703" i="1"/>
  <c r="AL709" i="1"/>
  <c r="AL713" i="1"/>
  <c r="AL720" i="1"/>
  <c r="AL727" i="1"/>
  <c r="AL736" i="1"/>
  <c r="AL746" i="1"/>
  <c r="AL757" i="1"/>
  <c r="AL767" i="1"/>
  <c r="AL783" i="1"/>
  <c r="AL460" i="1"/>
  <c r="AL786" i="1"/>
  <c r="AL458" i="1"/>
  <c r="AL728" i="1"/>
  <c r="AL450" i="1"/>
  <c r="AL19" i="1"/>
  <c r="AL29" i="1"/>
  <c r="AL40" i="1"/>
  <c r="AL44" i="1"/>
  <c r="AL51" i="1"/>
  <c r="AL57" i="1"/>
  <c r="AL61" i="1"/>
  <c r="AL65" i="1"/>
  <c r="AL69" i="1"/>
  <c r="AL73" i="1"/>
  <c r="AL77" i="1"/>
  <c r="AL81" i="1"/>
  <c r="AL86" i="1"/>
  <c r="AL96" i="1"/>
  <c r="AL102" i="1"/>
  <c r="AL106" i="1"/>
  <c r="AL114" i="1"/>
  <c r="AL121" i="1"/>
  <c r="AL131" i="1"/>
  <c r="AL135" i="1"/>
  <c r="AL142" i="1"/>
  <c r="AL146" i="1"/>
  <c r="AL154" i="1"/>
  <c r="AL163" i="1"/>
  <c r="AL167" i="1"/>
  <c r="AL281" i="1"/>
  <c r="AL5" i="1"/>
  <c r="AL18" i="1"/>
  <c r="AL32" i="1"/>
  <c r="AL38" i="1"/>
  <c r="AL91" i="1"/>
  <c r="AL118" i="1"/>
  <c r="AL182" i="1"/>
  <c r="AL249" i="1"/>
  <c r="AL290" i="1"/>
  <c r="AL7" i="1"/>
  <c r="AL10" i="1"/>
  <c r="AL16" i="1"/>
  <c r="AL20" i="1"/>
  <c r="AL37" i="1"/>
  <c r="AL36" i="1"/>
  <c r="AL52" i="1"/>
  <c r="AL88" i="1"/>
  <c r="AL95" i="1"/>
  <c r="AL109" i="1"/>
  <c r="AL117" i="1"/>
  <c r="AL124" i="1"/>
  <c r="AL127" i="1"/>
  <c r="AL138" i="1"/>
  <c r="AL147" i="1"/>
  <c r="AL157" i="1"/>
  <c r="AL181" i="1"/>
  <c r="AL188" i="1"/>
  <c r="AL191" i="1"/>
  <c r="AL198" i="1"/>
  <c r="AL216" i="1"/>
  <c r="AL226" i="1"/>
  <c r="AL239" i="1"/>
  <c r="AL254" i="1"/>
  <c r="AL260" i="1"/>
  <c r="AL267" i="1"/>
  <c r="AL309" i="1"/>
  <c r="AL321" i="1"/>
  <c r="AL328" i="1"/>
  <c r="AL339" i="1"/>
  <c r="AL342" i="1"/>
  <c r="AL354" i="1"/>
  <c r="AL377" i="1"/>
  <c r="AL430" i="1"/>
  <c r="AL656" i="1"/>
  <c r="AL3" i="1"/>
  <c r="AL8" i="1"/>
  <c r="AL11" i="1"/>
  <c r="AL17" i="1"/>
  <c r="AL21" i="1"/>
  <c r="AL31" i="1"/>
  <c r="AL47" i="1"/>
  <c r="AL54" i="1"/>
  <c r="AL90" i="1"/>
  <c r="AL100" i="1"/>
  <c r="AL110" i="1"/>
  <c r="AL125" i="1"/>
  <c r="AL128" i="1"/>
  <c r="AL150" i="1"/>
  <c r="AL170" i="1"/>
  <c r="AL196" i="1"/>
  <c r="AL199" i="1"/>
  <c r="AL223" i="1"/>
  <c r="AL231" i="1"/>
  <c r="AL241" i="1"/>
  <c r="AL248" i="1"/>
  <c r="AL251" i="1"/>
  <c r="AL258" i="1"/>
  <c r="AL265" i="1"/>
  <c r="AL291" i="1"/>
  <c r="AL310" i="1"/>
  <c r="AL325" i="1"/>
  <c r="AL331" i="1"/>
  <c r="AL336" i="1"/>
  <c r="AL350" i="1"/>
  <c r="AL355" i="1"/>
  <c r="AL369" i="1"/>
  <c r="AL376" i="1"/>
  <c r="AL383" i="1"/>
  <c r="AL395" i="1"/>
  <c r="AL405" i="1"/>
  <c r="AL408" i="1"/>
  <c r="AL414" i="1"/>
  <c r="AL418" i="1"/>
  <c r="AL442" i="1"/>
  <c r="AL454" i="1"/>
  <c r="AL457" i="1"/>
  <c r="AL87" i="1"/>
  <c r="AL22" i="1"/>
  <c r="AL48" i="1"/>
  <c r="AL113" i="1"/>
  <c r="AL151" i="1"/>
  <c r="AL171" i="1"/>
  <c r="AL189" i="1"/>
  <c r="AL214" i="1"/>
  <c r="AL224" i="1"/>
  <c r="AL242" i="1"/>
  <c r="AL266" i="1"/>
  <c r="AL292" i="1"/>
  <c r="AL323" i="1"/>
  <c r="AL327" i="1"/>
  <c r="AL333" i="1"/>
  <c r="AL337" i="1"/>
  <c r="AL340" i="1"/>
  <c r="AL352" i="1"/>
  <c r="AL356" i="1"/>
  <c r="AL370" i="1"/>
  <c r="AL388" i="1"/>
  <c r="AL394" i="1"/>
  <c r="AL406" i="1"/>
  <c r="AL410" i="1"/>
  <c r="AL423" i="1"/>
  <c r="AL435" i="1"/>
  <c r="AL445" i="1"/>
  <c r="AL459" i="1"/>
  <c r="AL469" i="1"/>
  <c r="AL493" i="1"/>
  <c r="AL504" i="1"/>
  <c r="AL514" i="1"/>
  <c r="AL516" i="1"/>
  <c r="AL525" i="1"/>
  <c r="AL529" i="1"/>
  <c r="AL545" i="1"/>
  <c r="AL564" i="1"/>
  <c r="AL588" i="1"/>
  <c r="AL599" i="1"/>
  <c r="AL626" i="1"/>
  <c r="AL634" i="1"/>
  <c r="AL652" i="1"/>
  <c r="AL663" i="1"/>
  <c r="AL667" i="1"/>
  <c r="AL672" i="1"/>
  <c r="AL678" i="1"/>
  <c r="AL680" i="1"/>
  <c r="AL693" i="1"/>
  <c r="AL697" i="1"/>
  <c r="AL702" i="1"/>
  <c r="AL708" i="1"/>
  <c r="AL716" i="1"/>
  <c r="AL722" i="1"/>
  <c r="AL748" i="1"/>
  <c r="AL760" i="1"/>
  <c r="AL776" i="1"/>
  <c r="AL283" i="1"/>
  <c r="AL689" i="1"/>
  <c r="AL788" i="1"/>
  <c r="AL285" i="1"/>
  <c r="AL542" i="1"/>
  <c r="AL2" i="1"/>
  <c r="AL27" i="1"/>
  <c r="AL34" i="1"/>
  <c r="AL42" i="1"/>
  <c r="AL46" i="1"/>
  <c r="AL55" i="1"/>
  <c r="AL59" i="1"/>
  <c r="AL63" i="1"/>
  <c r="AL67" i="1"/>
  <c r="AL71" i="1"/>
  <c r="AL75" i="1"/>
  <c r="AL79" i="1"/>
  <c r="AL83" i="1"/>
  <c r="AL92" i="1"/>
  <c r="AL98" i="1"/>
  <c r="AL104" i="1"/>
  <c r="AL111" i="1"/>
  <c r="AL119" i="1"/>
  <c r="AL123" i="1"/>
  <c r="AL133" i="1"/>
  <c r="AL137" i="1"/>
  <c r="AL144" i="1"/>
  <c r="AL149" i="1"/>
  <c r="AL156" i="1"/>
  <c r="AL463" i="1"/>
  <c r="AL473" i="1"/>
  <c r="AL499" i="1"/>
  <c r="AL509" i="1"/>
  <c r="AL523" i="1"/>
  <c r="AL544" i="1"/>
  <c r="AL556" i="1"/>
  <c r="AL582" i="1"/>
  <c r="AL597" i="1"/>
  <c r="AL600" i="1"/>
  <c r="AL608" i="1"/>
  <c r="AL610" i="1"/>
  <c r="AL613" i="1"/>
  <c r="AL627" i="1"/>
  <c r="AL630" i="1"/>
  <c r="AL646" i="1"/>
  <c r="AL660" i="1"/>
  <c r="AL669" i="1"/>
  <c r="AL668" i="1"/>
  <c r="AL674" i="1"/>
  <c r="AL679" i="1"/>
  <c r="AL681" i="1"/>
  <c r="AL690" i="1"/>
  <c r="AL695" i="1"/>
  <c r="AL700" i="1"/>
  <c r="AL706" i="1"/>
  <c r="AL712" i="1"/>
  <c r="AL714" i="1"/>
  <c r="AL723" i="1"/>
  <c r="AL737" i="1"/>
  <c r="AL743" i="1"/>
  <c r="AL747" i="1"/>
  <c r="AL758" i="1"/>
  <c r="AL768" i="1"/>
  <c r="AL738" i="1"/>
  <c r="AL671" i="1"/>
  <c r="AL739" i="1"/>
  <c r="AL740" i="1"/>
  <c r="AL33" i="1"/>
  <c r="AL62" i="1"/>
  <c r="AL78" i="1"/>
  <c r="AL89" i="1"/>
  <c r="AL103" i="1"/>
  <c r="AL107" i="1"/>
  <c r="AL115" i="1"/>
  <c r="AL122" i="1"/>
  <c r="AL132" i="1"/>
  <c r="AL143" i="1"/>
  <c r="AL148" i="1"/>
  <c r="AL164" i="1"/>
  <c r="AL175" i="1"/>
  <c r="AL187" i="1"/>
  <c r="AL195" i="1"/>
  <c r="AL211" i="1"/>
  <c r="AL222" i="1"/>
  <c r="AL236" i="1"/>
  <c r="AL243" i="1"/>
  <c r="AL255" i="1"/>
  <c r="AL268" i="1"/>
  <c r="AL272" i="1"/>
  <c r="AL296" i="1"/>
  <c r="AL301" i="1"/>
  <c r="AL305" i="1"/>
  <c r="AL312" i="1"/>
  <c r="AL330" i="1"/>
  <c r="AL346" i="1"/>
  <c r="AL357" i="1"/>
  <c r="AL366" i="1"/>
  <c r="AL378" i="1"/>
  <c r="AL385" i="1"/>
  <c r="AL401" i="1"/>
  <c r="AL409" i="1"/>
  <c r="AL420" i="1"/>
  <c r="AL426" i="1"/>
  <c r="AL431" i="1"/>
  <c r="AL436" i="1"/>
  <c r="AL443" i="1"/>
  <c r="AL448" i="1"/>
  <c r="AL465" i="1"/>
  <c r="AL471" i="1"/>
  <c r="AL477" i="1"/>
  <c r="AL481" i="1"/>
  <c r="AL485" i="1"/>
  <c r="AL489" i="1"/>
  <c r="AL494" i="1"/>
  <c r="AL501" i="1"/>
  <c r="AL511" i="1"/>
  <c r="AL521" i="1"/>
  <c r="AL535" i="1"/>
  <c r="AL539" i="1"/>
  <c r="AL550" i="1"/>
  <c r="AL559" i="1"/>
  <c r="AL563" i="1"/>
  <c r="AL568" i="1"/>
  <c r="AL574" i="1"/>
  <c r="AL578" i="1"/>
  <c r="AL583" i="1"/>
  <c r="AL587" i="1"/>
  <c r="AL594" i="1"/>
  <c r="AL602" i="1"/>
  <c r="AL617" i="1"/>
  <c r="AL625" i="1"/>
  <c r="AL633" i="1"/>
  <c r="AL639" i="1"/>
  <c r="AL644" i="1"/>
  <c r="AL649" i="1"/>
  <c r="AL655" i="1"/>
  <c r="AL662" i="1"/>
  <c r="AL686" i="1"/>
  <c r="AL692" i="1"/>
  <c r="AL710" i="1"/>
  <c r="AL721" i="1"/>
  <c r="AL730" i="1"/>
  <c r="AL734" i="1"/>
  <c r="AL745" i="1"/>
  <c r="AL752" i="1"/>
  <c r="AL759" i="1"/>
  <c r="AL766" i="1"/>
  <c r="AL772" i="1"/>
  <c r="AL778" i="1"/>
  <c r="AL782" i="1"/>
  <c r="AL53" i="1"/>
  <c r="AL66" i="1"/>
  <c r="AL74" i="1"/>
  <c r="AL97" i="1"/>
  <c r="AL136" i="1"/>
  <c r="AL203" i="1"/>
  <c r="AL262" i="1"/>
  <c r="AL289" i="1"/>
  <c r="AL316" i="1"/>
  <c r="AL372" i="1"/>
  <c r="AL172" i="1"/>
  <c r="AL176" i="1"/>
  <c r="AL200" i="1"/>
  <c r="AL204" i="1"/>
  <c r="AL208" i="1"/>
  <c r="AL212" i="1"/>
  <c r="AL227" i="1"/>
  <c r="AL232" i="1"/>
  <c r="AL237" i="1"/>
  <c r="AL256" i="1"/>
  <c r="AL263" i="1"/>
  <c r="AL269" i="1"/>
  <c r="AL273" i="1"/>
  <c r="AL277" i="1"/>
  <c r="AL282" i="1"/>
  <c r="AL293" i="1"/>
  <c r="AL298" i="1"/>
  <c r="AL306" i="1"/>
  <c r="AL317" i="1"/>
  <c r="AL322" i="1"/>
  <c r="AL332" i="1"/>
  <c r="AL348" i="1"/>
  <c r="AL363" i="1"/>
  <c r="AL367" i="1"/>
  <c r="AL373" i="1"/>
  <c r="AL381" i="1"/>
  <c r="AL398" i="1"/>
  <c r="AL402" i="1"/>
  <c r="AL421" i="1"/>
  <c r="AL432" i="1"/>
  <c r="AL444" i="1"/>
  <c r="AL451" i="1"/>
  <c r="AL466" i="1"/>
  <c r="AL478" i="1"/>
  <c r="AL486" i="1"/>
  <c r="AL490" i="1"/>
  <c r="AL495" i="1"/>
  <c r="AL502" i="1"/>
  <c r="AL512" i="1"/>
  <c r="AL522" i="1"/>
  <c r="AL536" i="1"/>
  <c r="AL540" i="1"/>
  <c r="AL551" i="1"/>
  <c r="AL554" i="1"/>
  <c r="AL560" i="1"/>
  <c r="AL565" i="1"/>
  <c r="AL569" i="1"/>
  <c r="AL575" i="1"/>
  <c r="AL579" i="1"/>
  <c r="AL584" i="1"/>
  <c r="AL590" i="1"/>
  <c r="AL595" i="1"/>
  <c r="AL604" i="1"/>
  <c r="AL618" i="1"/>
  <c r="AL629" i="1"/>
  <c r="AL636" i="1"/>
  <c r="AL640" i="1"/>
  <c r="AL645" i="1"/>
  <c r="AL650" i="1"/>
  <c r="AL658" i="1"/>
  <c r="AL664" i="1"/>
  <c r="AL687" i="1"/>
  <c r="AL698" i="1"/>
  <c r="AL711" i="1"/>
  <c r="AL724" i="1"/>
  <c r="AL82" i="1"/>
  <c r="AL159" i="1"/>
  <c r="AL169" i="1"/>
  <c r="AL207" i="1"/>
  <c r="AL218" i="1"/>
  <c r="AL238" i="1"/>
  <c r="AL284" i="1"/>
  <c r="AL307" i="1"/>
  <c r="AL320" i="1"/>
  <c r="AL362" i="1"/>
  <c r="AL390" i="1"/>
  <c r="AL479" i="1"/>
  <c r="AL510" i="1"/>
  <c r="AL688" i="1"/>
  <c r="AL177" i="1"/>
  <c r="AL185" i="1"/>
  <c r="AL193" i="1"/>
  <c r="AL201" i="1"/>
  <c r="AL205" i="1"/>
  <c r="AL220" i="1"/>
  <c r="AL228" i="1"/>
  <c r="AL233" i="1"/>
  <c r="AL246" i="1"/>
  <c r="AL257" i="1"/>
  <c r="AL264" i="1"/>
  <c r="AL274" i="1"/>
  <c r="AL278" i="1"/>
  <c r="AL286" i="1"/>
  <c r="AL303" i="1"/>
  <c r="AL314" i="1"/>
  <c r="AL318" i="1"/>
  <c r="AL326" i="1"/>
  <c r="AL344" i="1"/>
  <c r="AL349" i="1"/>
  <c r="AL359" i="1"/>
  <c r="AL364" i="1"/>
  <c r="AL368" i="1"/>
  <c r="AL374" i="1"/>
  <c r="AL382" i="1"/>
  <c r="AL391" i="1"/>
  <c r="AL399" i="1"/>
  <c r="AL403" i="1"/>
  <c r="AL413" i="1"/>
  <c r="AL428" i="1"/>
  <c r="AL433" i="1"/>
  <c r="AL439" i="1"/>
  <c r="AL446" i="1"/>
  <c r="AL475" i="1"/>
  <c r="AL483" i="1"/>
  <c r="AL487" i="1"/>
  <c r="AL491" i="1"/>
  <c r="AL507" i="1"/>
  <c r="AL518" i="1"/>
  <c r="AL527" i="1"/>
  <c r="AL533" i="1"/>
  <c r="AL537" i="1"/>
  <c r="AL543" i="1"/>
  <c r="AL552" i="1"/>
  <c r="AL557" i="1"/>
  <c r="AL561" i="1"/>
  <c r="AL566" i="1"/>
  <c r="AL570" i="1"/>
  <c r="AL576" i="1"/>
  <c r="AL580" i="1"/>
  <c r="AL585" i="1"/>
  <c r="AL592" i="1"/>
  <c r="AL596" i="1"/>
  <c r="AL605" i="1"/>
  <c r="AL619" i="1"/>
  <c r="AL631" i="1"/>
  <c r="AL637" i="1"/>
  <c r="AL642" i="1"/>
  <c r="AL647" i="1"/>
  <c r="AL651" i="1"/>
  <c r="AL659" i="1"/>
  <c r="AL670" i="1"/>
  <c r="AL704" i="1"/>
  <c r="AL717" i="1"/>
  <c r="AL725" i="1"/>
  <c r="AL732" i="1"/>
  <c r="AL742" i="1"/>
  <c r="AL750" i="1"/>
  <c r="AL755" i="1"/>
  <c r="AL764" i="1"/>
  <c r="AL770" i="1"/>
  <c r="AL774" i="1"/>
  <c r="AL780" i="1"/>
  <c r="AL785" i="1"/>
  <c r="AL25" i="1"/>
  <c r="AL45" i="1"/>
  <c r="AL70" i="1"/>
  <c r="AL160" i="1"/>
  <c r="AL180" i="1"/>
  <c r="AL209" i="1"/>
  <c r="AL219" i="1"/>
  <c r="AL230" i="1"/>
  <c r="AL240" i="1"/>
  <c r="AL276" i="1"/>
  <c r="AL294" i="1"/>
  <c r="AL365" i="1"/>
  <c r="AL422" i="1"/>
  <c r="AL437" i="1"/>
  <c r="AL467" i="1"/>
  <c r="AL482" i="1"/>
  <c r="AL515" i="1"/>
  <c r="AL562" i="1"/>
  <c r="AL620" i="1"/>
  <c r="AL179" i="1"/>
  <c r="AL186" i="1"/>
  <c r="AL206" i="1"/>
  <c r="AL210" i="1"/>
  <c r="AL217" i="1"/>
  <c r="AL221" i="1"/>
  <c r="AL247" i="1"/>
  <c r="AL279" i="1"/>
  <c r="AL295" i="1"/>
  <c r="AL300" i="1"/>
  <c r="AL304" i="1"/>
  <c r="AL308" i="1"/>
  <c r="AL315" i="1"/>
  <c r="AL319" i="1"/>
  <c r="AL345" i="1"/>
  <c r="AL351" i="1"/>
  <c r="AL360" i="1"/>
  <c r="AL371" i="1"/>
  <c r="AL375" i="1"/>
  <c r="AL384" i="1"/>
  <c r="AL392" i="1"/>
  <c r="AL404" i="1"/>
  <c r="AL425" i="1"/>
  <c r="AL429" i="1"/>
  <c r="AL441" i="1"/>
  <c r="AL447" i="1"/>
  <c r="AL468" i="1"/>
  <c r="AL476" i="1"/>
  <c r="AL480" i="1"/>
  <c r="AL484" i="1"/>
  <c r="AL488" i="1"/>
  <c r="AL500" i="1"/>
  <c r="AL508" i="1"/>
  <c r="AL520" i="1"/>
  <c r="AL528" i="1"/>
  <c r="AL538" i="1"/>
  <c r="AL549" i="1"/>
  <c r="AL553" i="1"/>
  <c r="AL558" i="1"/>
  <c r="AL567" i="1"/>
  <c r="AL571" i="1"/>
  <c r="AL577" i="1"/>
  <c r="AL581" i="1"/>
  <c r="AL593" i="1"/>
  <c r="AL601" i="1"/>
  <c r="AL616" i="1"/>
  <c r="AL624" i="1"/>
  <c r="AL632" i="1"/>
  <c r="AL638" i="1"/>
  <c r="AL643" i="1"/>
  <c r="AL648" i="1"/>
  <c r="AL654" i="1"/>
  <c r="AL661" i="1"/>
  <c r="AL684" i="1"/>
  <c r="AL691" i="1"/>
  <c r="AL705" i="1"/>
  <c r="AL718" i="1"/>
  <c r="AL729" i="1"/>
  <c r="AL733" i="1"/>
  <c r="AL751" i="1"/>
  <c r="AL756" i="1"/>
  <c r="AL765" i="1"/>
  <c r="AL771" i="1"/>
  <c r="AL775" i="1"/>
  <c r="AL781" i="1"/>
  <c r="AL761" i="1"/>
  <c r="AL41" i="1"/>
  <c r="AL58" i="1"/>
  <c r="AL155" i="1"/>
  <c r="AL173" i="1"/>
  <c r="AL192" i="1"/>
  <c r="AL202" i="1"/>
  <c r="AL213" i="1"/>
  <c r="AL234" i="1"/>
  <c r="AL261" i="1"/>
  <c r="AL270" i="1"/>
  <c r="AL280" i="1"/>
  <c r="AL288" i="1"/>
  <c r="AL299" i="1"/>
  <c r="AL313" i="1"/>
  <c r="AL397" i="1"/>
  <c r="AL412" i="1"/>
  <c r="AL427" i="1"/>
  <c r="AL456" i="1"/>
  <c r="AL492" i="1"/>
  <c r="AL586" i="1"/>
  <c r="AL744" i="1"/>
  <c r="AL741" i="1"/>
  <c r="AL749" i="1"/>
  <c r="AL754" i="1"/>
  <c r="AL763" i="1"/>
  <c r="AL769" i="1"/>
  <c r="AL773" i="1"/>
  <c r="AL779" i="1"/>
  <c r="AL784" i="1"/>
  <c r="AK620" i="1"/>
  <c r="AM620" i="1" s="1"/>
  <c r="AK530" i="1" l="1"/>
  <c r="AM530" i="1" s="1"/>
  <c r="AK780" i="1"/>
  <c r="AM780" i="1" s="1"/>
  <c r="AK742" i="1"/>
  <c r="AM742" i="1" s="1"/>
  <c r="AK659" i="1"/>
  <c r="AM659" i="1" s="1"/>
  <c r="AK619" i="1"/>
  <c r="AM619" i="1" s="1"/>
  <c r="AK576" i="1"/>
  <c r="AM576" i="1" s="1"/>
  <c r="AK543" i="1"/>
  <c r="AM543" i="1" s="1"/>
  <c r="AK491" i="1"/>
  <c r="AM491" i="1" s="1"/>
  <c r="AK433" i="1"/>
  <c r="AM433" i="1" s="1"/>
  <c r="AK382" i="1"/>
  <c r="AM382" i="1" s="1"/>
  <c r="AK344" i="1"/>
  <c r="AM344" i="1" s="1"/>
  <c r="AK278" i="1"/>
  <c r="AM278" i="1" s="1"/>
  <c r="AK228" i="1"/>
  <c r="AM228" i="1" s="1"/>
  <c r="AK177" i="1"/>
  <c r="AM177" i="1" s="1"/>
  <c r="AK724" i="1"/>
  <c r="AM724" i="1" s="1"/>
  <c r="AK650" i="1"/>
  <c r="AM650" i="1" s="1"/>
  <c r="AK629" i="1"/>
  <c r="AM629" i="1" s="1"/>
  <c r="AK569" i="1"/>
  <c r="AM569" i="1" s="1"/>
  <c r="AK551" i="1"/>
  <c r="AM551" i="1" s="1"/>
  <c r="AK495" i="1"/>
  <c r="AM495" i="1" s="1"/>
  <c r="AK466" i="1"/>
  <c r="AM466" i="1" s="1"/>
  <c r="AK398" i="1"/>
  <c r="AM398" i="1" s="1"/>
  <c r="AK332" i="1"/>
  <c r="AM332" i="1" s="1"/>
  <c r="AK282" i="1"/>
  <c r="AM282" i="1" s="1"/>
  <c r="AK237" i="1"/>
  <c r="AM237" i="1" s="1"/>
  <c r="AK172" i="1"/>
  <c r="AM172" i="1" s="1"/>
  <c r="AK766" i="1"/>
  <c r="AM766" i="1" s="1"/>
  <c r="AK721" i="1"/>
  <c r="AM721" i="1" s="1"/>
  <c r="AK649" i="1"/>
  <c r="AM649" i="1" s="1"/>
  <c r="AK602" i="1"/>
  <c r="AM602" i="1" s="1"/>
  <c r="AK568" i="1"/>
  <c r="AM568" i="1" s="1"/>
  <c r="AK535" i="1"/>
  <c r="AM535" i="1" s="1"/>
  <c r="AK489" i="1"/>
  <c r="AM489" i="1" s="1"/>
  <c r="AK471" i="1"/>
  <c r="AM471" i="1" s="1"/>
  <c r="AK426" i="1"/>
  <c r="AM426" i="1" s="1"/>
  <c r="AK366" i="1"/>
  <c r="AM366" i="1" s="1"/>
  <c r="AK301" i="1"/>
  <c r="AM301" i="1" s="1"/>
  <c r="AK236" i="1"/>
  <c r="AM236" i="1" s="1"/>
  <c r="AK164" i="1"/>
  <c r="AM164" i="1" s="1"/>
  <c r="AK122" i="1"/>
  <c r="AM122" i="1" s="1"/>
  <c r="AK740" i="1"/>
  <c r="AM740" i="1" s="1"/>
  <c r="AK747" i="1"/>
  <c r="AM747" i="1" s="1"/>
  <c r="AK706" i="1"/>
  <c r="AM706" i="1" s="1"/>
  <c r="AK674" i="1"/>
  <c r="AM674" i="1" s="1"/>
  <c r="AK630" i="1"/>
  <c r="AM630" i="1" s="1"/>
  <c r="AK608" i="1"/>
  <c r="AM608" i="1" s="1"/>
  <c r="AK556" i="1"/>
  <c r="AM556" i="1" s="1"/>
  <c r="AK509" i="1"/>
  <c r="AM509" i="1" s="1"/>
  <c r="AK137" i="1"/>
  <c r="AM137" i="1" s="1"/>
  <c r="AK98" i="1"/>
  <c r="AM98" i="1" s="1"/>
  <c r="AK67" i="1"/>
  <c r="AM67" i="1" s="1"/>
  <c r="AK46" i="1"/>
  <c r="AM46" i="1" s="1"/>
  <c r="AK285" i="1"/>
  <c r="AM285" i="1" s="1"/>
  <c r="AK776" i="1"/>
  <c r="AM776" i="1" s="1"/>
  <c r="AK626" i="1"/>
  <c r="AM626" i="1" s="1"/>
  <c r="AK599" i="1"/>
  <c r="AM599" i="1" s="1"/>
  <c r="AK529" i="1"/>
  <c r="AM529" i="1" s="1"/>
  <c r="AK493" i="1"/>
  <c r="AM493" i="1" s="1"/>
  <c r="AK423" i="1"/>
  <c r="AM423" i="1" s="1"/>
  <c r="AK340" i="1"/>
  <c r="AM340" i="1" s="1"/>
  <c r="AK292" i="1"/>
  <c r="AM292" i="1" s="1"/>
  <c r="AK224" i="1"/>
  <c r="AM224" i="1" s="1"/>
  <c r="AK171" i="1"/>
  <c r="AM171" i="1" s="1"/>
  <c r="AK22" i="1"/>
  <c r="AM22" i="1" s="1"/>
  <c r="AK418" i="1"/>
  <c r="AM418" i="1" s="1"/>
  <c r="AK369" i="1"/>
  <c r="AM369" i="1" s="1"/>
  <c r="AK331" i="1"/>
  <c r="AM331" i="1" s="1"/>
  <c r="AK265" i="1"/>
  <c r="AM265" i="1" s="1"/>
  <c r="AK241" i="1"/>
  <c r="AM241" i="1" s="1"/>
  <c r="AK110" i="1"/>
  <c r="AM110" i="1" s="1"/>
  <c r="AK21" i="1"/>
  <c r="AM21" i="1" s="1"/>
  <c r="AK430" i="1"/>
  <c r="AM430" i="1" s="1"/>
  <c r="AK309" i="1"/>
  <c r="AM309" i="1" s="1"/>
  <c r="AK254" i="1"/>
  <c r="AM254" i="1" s="1"/>
  <c r="AK188" i="1"/>
  <c r="AM188" i="1" s="1"/>
  <c r="AK127" i="1"/>
  <c r="AM127" i="1" s="1"/>
  <c r="AK95" i="1"/>
  <c r="AM95" i="1" s="1"/>
  <c r="AK37" i="1"/>
  <c r="AM37" i="1" s="1"/>
  <c r="AK290" i="1"/>
  <c r="AM290" i="1" s="1"/>
  <c r="AK38" i="1"/>
  <c r="AM38" i="1" s="1"/>
  <c r="AK281" i="1"/>
  <c r="AM281" i="1" s="1"/>
  <c r="AK154" i="1"/>
  <c r="AM154" i="1" s="1"/>
  <c r="AK131" i="1"/>
  <c r="AM131" i="1" s="1"/>
  <c r="AK102" i="1"/>
  <c r="AM102" i="1" s="1"/>
  <c r="AK77" i="1"/>
  <c r="AM77" i="1" s="1"/>
  <c r="AK61" i="1"/>
  <c r="AM61" i="1" s="1"/>
  <c r="AK19" i="1"/>
  <c r="AM19" i="1" s="1"/>
  <c r="AK458" i="1"/>
  <c r="AM458" i="1" s="1"/>
  <c r="AK641" i="1"/>
  <c r="AM641" i="1" s="1"/>
  <c r="AK622" i="1"/>
  <c r="AM622" i="1" s="1"/>
  <c r="AK591" i="1"/>
  <c r="AM591" i="1" s="1"/>
  <c r="AK541" i="1"/>
  <c r="AM541" i="1" s="1"/>
  <c r="AK513" i="1"/>
  <c r="AM513" i="1" s="1"/>
  <c r="AK472" i="1"/>
  <c r="AM472" i="1" s="1"/>
  <c r="AK440" i="1"/>
  <c r="AM440" i="1" s="1"/>
  <c r="AK396" i="1"/>
  <c r="AM396" i="1" s="1"/>
  <c r="AK162" i="1"/>
  <c r="AM162" i="1" s="1"/>
  <c r="AK141" i="1"/>
  <c r="AM141" i="1" s="1"/>
  <c r="AK112" i="1"/>
  <c r="AM112" i="1" s="1"/>
  <c r="AK84" i="1"/>
  <c r="AM84" i="1" s="1"/>
  <c r="AK60" i="1"/>
  <c r="AM60" i="1" s="1"/>
  <c r="AK49" i="1"/>
  <c r="AM49" i="1" s="1"/>
  <c r="AK14" i="1"/>
  <c r="AM14" i="1" s="1"/>
  <c r="AK787" i="1"/>
  <c r="AM787" i="1" s="1"/>
  <c r="AK777" i="1"/>
  <c r="AM777" i="1" s="1"/>
  <c r="AK726" i="1"/>
  <c r="AM726" i="1" s="1"/>
  <c r="AK682" i="1"/>
  <c r="AM682" i="1" s="1"/>
  <c r="AK572" i="1"/>
  <c r="AM572" i="1" s="1"/>
  <c r="AK517" i="1"/>
  <c r="AM517" i="1" s="1"/>
  <c r="AK505" i="1"/>
  <c r="AM505" i="1" s="1"/>
  <c r="AK461" i="1"/>
  <c r="AM461" i="1" s="1"/>
  <c r="AK424" i="1"/>
  <c r="AM424" i="1" s="1"/>
  <c r="AK334" i="1"/>
  <c r="AM334" i="1" s="1"/>
  <c r="AK324" i="1"/>
  <c r="AM324" i="1" s="1"/>
  <c r="AK197" i="1"/>
  <c r="AM197" i="1" s="1"/>
  <c r="AK168" i="1"/>
  <c r="AM168" i="1" s="1"/>
  <c r="AK140" i="1"/>
  <c r="AM140" i="1" s="1"/>
  <c r="AK116" i="1"/>
  <c r="AM116" i="1" s="1"/>
  <c r="AK50" i="1"/>
  <c r="AM50" i="1" s="1"/>
  <c r="AK23" i="1"/>
  <c r="AM23" i="1" s="1"/>
  <c r="AK139" i="1"/>
  <c r="AM139" i="1" s="1"/>
  <c r="AK12" i="1"/>
  <c r="AM12" i="1" s="1"/>
  <c r="AK252" i="1"/>
  <c r="AM252" i="1" s="1"/>
  <c r="AK773" i="1"/>
  <c r="AM773" i="1" s="1"/>
  <c r="AK763" i="1"/>
  <c r="AM763" i="1" s="1"/>
  <c r="AK749" i="1"/>
  <c r="AM749" i="1" s="1"/>
  <c r="AK775" i="1"/>
  <c r="AM775" i="1" s="1"/>
  <c r="AK765" i="1"/>
  <c r="AM765" i="1" s="1"/>
  <c r="AK751" i="1"/>
  <c r="AM751" i="1" s="1"/>
  <c r="AK729" i="1"/>
  <c r="AM729" i="1" s="1"/>
  <c r="AK705" i="1"/>
  <c r="AM705" i="1" s="1"/>
  <c r="AK684" i="1"/>
  <c r="AM684" i="1" s="1"/>
  <c r="AK654" i="1"/>
  <c r="AM654" i="1" s="1"/>
  <c r="AK643" i="1"/>
  <c r="AM643" i="1" s="1"/>
  <c r="AK632" i="1"/>
  <c r="AM632" i="1" s="1"/>
  <c r="AK616" i="1"/>
  <c r="AM616" i="1" s="1"/>
  <c r="AK593" i="1"/>
  <c r="AM593" i="1" s="1"/>
  <c r="AK577" i="1"/>
  <c r="AM577" i="1" s="1"/>
  <c r="AK567" i="1"/>
  <c r="AM567" i="1" s="1"/>
  <c r="AK553" i="1"/>
  <c r="AM553" i="1" s="1"/>
  <c r="AK538" i="1"/>
  <c r="AM538" i="1" s="1"/>
  <c r="AK520" i="1"/>
  <c r="AM520" i="1" s="1"/>
  <c r="AK500" i="1"/>
  <c r="AM500" i="1" s="1"/>
  <c r="AK484" i="1"/>
  <c r="AM484" i="1" s="1"/>
  <c r="AK476" i="1"/>
  <c r="AM476" i="1" s="1"/>
  <c r="AK447" i="1"/>
  <c r="AM447" i="1" s="1"/>
  <c r="AK429" i="1"/>
  <c r="AM429" i="1" s="1"/>
  <c r="AK404" i="1"/>
  <c r="AM404" i="1" s="1"/>
  <c r="AK384" i="1"/>
  <c r="AM384" i="1" s="1"/>
  <c r="AK371" i="1"/>
  <c r="AM371" i="1" s="1"/>
  <c r="AK351" i="1"/>
  <c r="AM351" i="1" s="1"/>
  <c r="AK319" i="1"/>
  <c r="AM319" i="1" s="1"/>
  <c r="AK308" i="1"/>
  <c r="AM308" i="1" s="1"/>
  <c r="AK300" i="1"/>
  <c r="AM300" i="1" s="1"/>
  <c r="AK279" i="1"/>
  <c r="AM279" i="1" s="1"/>
  <c r="AK247" i="1"/>
  <c r="AM247" i="1" s="1"/>
  <c r="AK217" i="1"/>
  <c r="AM217" i="1" s="1"/>
  <c r="AK206" i="1"/>
  <c r="AM206" i="1" s="1"/>
  <c r="AK179" i="1"/>
  <c r="AM179" i="1" s="1"/>
  <c r="AK770" i="1"/>
  <c r="AM770" i="1" s="1"/>
  <c r="AK725" i="1"/>
  <c r="AM725" i="1" s="1"/>
  <c r="AK647" i="1"/>
  <c r="AM647" i="1" s="1"/>
  <c r="AK596" i="1"/>
  <c r="AM596" i="1" s="1"/>
  <c r="AK566" i="1"/>
  <c r="AM566" i="1" s="1"/>
  <c r="AK533" i="1"/>
  <c r="AM533" i="1" s="1"/>
  <c r="AK483" i="1"/>
  <c r="AM483" i="1" s="1"/>
  <c r="AK399" i="1"/>
  <c r="AM399" i="1" s="1"/>
  <c r="AK359" i="1"/>
  <c r="AM359" i="1" s="1"/>
  <c r="AK303" i="1"/>
  <c r="AM303" i="1" s="1"/>
  <c r="AK246" i="1"/>
  <c r="AM246" i="1" s="1"/>
  <c r="AK193" i="1"/>
  <c r="AM193" i="1" s="1"/>
  <c r="AK664" i="1"/>
  <c r="AM664" i="1" s="1"/>
  <c r="AK640" i="1"/>
  <c r="AM640" i="1" s="1"/>
  <c r="AK590" i="1"/>
  <c r="AM590" i="1" s="1"/>
  <c r="AK560" i="1"/>
  <c r="AM560" i="1" s="1"/>
  <c r="AK512" i="1"/>
  <c r="AM512" i="1" s="1"/>
  <c r="AK444" i="1"/>
  <c r="AM444" i="1" s="1"/>
  <c r="AK373" i="1"/>
  <c r="AM373" i="1" s="1"/>
  <c r="AK298" i="1"/>
  <c r="AM298" i="1" s="1"/>
  <c r="AK263" i="1"/>
  <c r="AM263" i="1" s="1"/>
  <c r="AK208" i="1"/>
  <c r="AM208" i="1" s="1"/>
  <c r="AK752" i="1"/>
  <c r="AM752" i="1" s="1"/>
  <c r="AK662" i="1"/>
  <c r="AM662" i="1" s="1"/>
  <c r="AK625" i="1"/>
  <c r="AM625" i="1" s="1"/>
  <c r="AK587" i="1"/>
  <c r="AM587" i="1" s="1"/>
  <c r="AK559" i="1"/>
  <c r="AM559" i="1" s="1"/>
  <c r="AK521" i="1"/>
  <c r="AM521" i="1" s="1"/>
  <c r="AK481" i="1"/>
  <c r="AM481" i="1" s="1"/>
  <c r="AK436" i="1"/>
  <c r="AM436" i="1" s="1"/>
  <c r="AK385" i="1"/>
  <c r="AM385" i="1" s="1"/>
  <c r="AK312" i="1"/>
  <c r="AM312" i="1" s="1"/>
  <c r="AK255" i="1"/>
  <c r="AM255" i="1" s="1"/>
  <c r="AK187" i="1"/>
  <c r="AM187" i="1" s="1"/>
  <c r="AK107" i="1"/>
  <c r="AM107" i="1" s="1"/>
  <c r="AK671" i="1"/>
  <c r="AM671" i="1" s="1"/>
  <c r="AK768" i="1"/>
  <c r="AM768" i="1" s="1"/>
  <c r="AK714" i="1"/>
  <c r="AM714" i="1" s="1"/>
  <c r="AK681" i="1"/>
  <c r="AM681" i="1" s="1"/>
  <c r="AK668" i="1"/>
  <c r="AM668" i="1" s="1"/>
  <c r="AK613" i="1"/>
  <c r="AM613" i="1" s="1"/>
  <c r="AK544" i="1"/>
  <c r="AM544" i="1" s="1"/>
  <c r="AK499" i="1"/>
  <c r="AM499" i="1" s="1"/>
  <c r="AK149" i="1"/>
  <c r="AM149" i="1" s="1"/>
  <c r="AK111" i="1"/>
  <c r="AM111" i="1" s="1"/>
  <c r="AK75" i="1"/>
  <c r="AM75" i="1" s="1"/>
  <c r="AK34" i="1"/>
  <c r="AM34" i="1" s="1"/>
  <c r="AK748" i="1"/>
  <c r="AM748" i="1" s="1"/>
  <c r="AK702" i="1"/>
  <c r="AM702" i="1" s="1"/>
  <c r="AK680" i="1"/>
  <c r="AM680" i="1" s="1"/>
  <c r="AK652" i="1"/>
  <c r="AM652" i="1" s="1"/>
  <c r="AK545" i="1"/>
  <c r="AM545" i="1" s="1"/>
  <c r="AK445" i="1"/>
  <c r="AM445" i="1" s="1"/>
  <c r="AK394" i="1"/>
  <c r="AM394" i="1" s="1"/>
  <c r="AK352" i="1"/>
  <c r="AM352" i="1" s="1"/>
  <c r="AK323" i="1"/>
  <c r="AM323" i="1" s="1"/>
  <c r="AK242" i="1"/>
  <c r="AM242" i="1" s="1"/>
  <c r="AK113" i="1"/>
  <c r="AM113" i="1" s="1"/>
  <c r="AK442" i="1"/>
  <c r="AM442" i="1" s="1"/>
  <c r="AK395" i="1"/>
  <c r="AM395" i="1" s="1"/>
  <c r="AK350" i="1"/>
  <c r="AM350" i="1" s="1"/>
  <c r="AK251" i="1"/>
  <c r="AM251" i="1" s="1"/>
  <c r="AK196" i="1"/>
  <c r="AM196" i="1" s="1"/>
  <c r="AK90" i="1"/>
  <c r="AM90" i="1" s="1"/>
  <c r="AK3" i="1"/>
  <c r="AM3" i="1" s="1"/>
  <c r="AK339" i="1"/>
  <c r="AM339" i="1" s="1"/>
  <c r="AK267" i="1"/>
  <c r="AM267" i="1" s="1"/>
  <c r="AK226" i="1"/>
  <c r="AM226" i="1" s="1"/>
  <c r="AK182" i="1"/>
  <c r="AM182" i="1" s="1"/>
  <c r="AK598" i="1"/>
  <c r="AM598" i="1" s="1"/>
  <c r="AK774" i="1"/>
  <c r="AM774" i="1" s="1"/>
  <c r="AK750" i="1"/>
  <c r="AM750" i="1" s="1"/>
  <c r="AK717" i="1"/>
  <c r="AM717" i="1" s="1"/>
  <c r="AK651" i="1"/>
  <c r="AM651" i="1" s="1"/>
  <c r="AK631" i="1"/>
  <c r="AM631" i="1" s="1"/>
  <c r="AK592" i="1"/>
  <c r="AM592" i="1" s="1"/>
  <c r="AK570" i="1"/>
  <c r="AM570" i="1" s="1"/>
  <c r="AK552" i="1"/>
  <c r="AM552" i="1" s="1"/>
  <c r="AK527" i="1"/>
  <c r="AM527" i="1" s="1"/>
  <c r="AK487" i="1"/>
  <c r="AM487" i="1" s="1"/>
  <c r="AK439" i="1"/>
  <c r="AM439" i="1" s="1"/>
  <c r="AK403" i="1"/>
  <c r="AM403" i="1" s="1"/>
  <c r="AK374" i="1"/>
  <c r="AM374" i="1" s="1"/>
  <c r="AK349" i="1"/>
  <c r="AM349" i="1" s="1"/>
  <c r="AK314" i="1"/>
  <c r="AM314" i="1" s="1"/>
  <c r="AK286" i="1"/>
  <c r="AM286" i="1" s="1"/>
  <c r="AK257" i="1"/>
  <c r="AM257" i="1" s="1"/>
  <c r="AK201" i="1"/>
  <c r="AM201" i="1" s="1"/>
  <c r="AK711" i="1"/>
  <c r="AM711" i="1" s="1"/>
  <c r="AK658" i="1"/>
  <c r="AM658" i="1" s="1"/>
  <c r="AK636" i="1"/>
  <c r="AM636" i="1" s="1"/>
  <c r="AK595" i="1"/>
  <c r="AM595" i="1" s="1"/>
  <c r="AK575" i="1"/>
  <c r="AM575" i="1" s="1"/>
  <c r="AK554" i="1"/>
  <c r="AM554" i="1" s="1"/>
  <c r="AK522" i="1"/>
  <c r="AM522" i="1" s="1"/>
  <c r="AK490" i="1"/>
  <c r="AM490" i="1" s="1"/>
  <c r="AK451" i="1"/>
  <c r="AM451" i="1" s="1"/>
  <c r="AK402" i="1"/>
  <c r="AM402" i="1" s="1"/>
  <c r="AK367" i="1"/>
  <c r="AM367" i="1" s="1"/>
  <c r="AK322" i="1"/>
  <c r="AM322" i="1" s="1"/>
  <c r="AK306" i="1"/>
  <c r="AM306" i="1" s="1"/>
  <c r="AK293" i="1"/>
  <c r="AM293" i="1" s="1"/>
  <c r="AK277" i="1"/>
  <c r="AM277" i="1" s="1"/>
  <c r="AK256" i="1"/>
  <c r="AM256" i="1" s="1"/>
  <c r="AK232" i="1"/>
  <c r="AM232" i="1" s="1"/>
  <c r="AK212" i="1"/>
  <c r="AM212" i="1" s="1"/>
  <c r="AK204" i="1"/>
  <c r="AM204" i="1" s="1"/>
  <c r="AK176" i="1"/>
  <c r="AM176" i="1" s="1"/>
  <c r="AK782" i="1"/>
  <c r="AM782" i="1" s="1"/>
  <c r="AK772" i="1"/>
  <c r="AM772" i="1" s="1"/>
  <c r="AK759" i="1"/>
  <c r="AM759" i="1" s="1"/>
  <c r="AK745" i="1"/>
  <c r="AM745" i="1" s="1"/>
  <c r="AK730" i="1"/>
  <c r="AM730" i="1" s="1"/>
  <c r="AK710" i="1"/>
  <c r="AM710" i="1" s="1"/>
  <c r="AK686" i="1"/>
  <c r="AM686" i="1" s="1"/>
  <c r="AK655" i="1"/>
  <c r="AM655" i="1" s="1"/>
  <c r="AK644" i="1"/>
  <c r="AM644" i="1" s="1"/>
  <c r="AK633" i="1"/>
  <c r="AM633" i="1" s="1"/>
  <c r="AK617" i="1"/>
  <c r="AM617" i="1" s="1"/>
  <c r="AK594" i="1"/>
  <c r="AM594" i="1" s="1"/>
  <c r="AK583" i="1"/>
  <c r="AM583" i="1" s="1"/>
  <c r="AK574" i="1"/>
  <c r="AM574" i="1" s="1"/>
  <c r="AK563" i="1"/>
  <c r="AM563" i="1" s="1"/>
  <c r="AK539" i="1"/>
  <c r="AM539" i="1" s="1"/>
  <c r="AK494" i="1"/>
  <c r="AM494" i="1" s="1"/>
  <c r="AK477" i="1"/>
  <c r="AM477" i="1" s="1"/>
  <c r="AK443" i="1"/>
  <c r="AM443" i="1" s="1"/>
  <c r="AK401" i="1"/>
  <c r="AM401" i="1" s="1"/>
  <c r="AK357" i="1"/>
  <c r="AM357" i="1" s="1"/>
  <c r="AK305" i="1"/>
  <c r="AM305" i="1" s="1"/>
  <c r="AK222" i="1"/>
  <c r="AM222" i="1" s="1"/>
  <c r="AK175" i="1"/>
  <c r="AM175" i="1" s="1"/>
  <c r="AK103" i="1"/>
  <c r="AM103" i="1" s="1"/>
  <c r="AK78" i="1"/>
  <c r="AM78" i="1" s="1"/>
  <c r="AK739" i="1"/>
  <c r="AM739" i="1" s="1"/>
  <c r="AK738" i="1"/>
  <c r="AM738" i="1" s="1"/>
  <c r="AK743" i="1"/>
  <c r="AM743" i="1" s="1"/>
  <c r="AK700" i="1"/>
  <c r="AM700" i="1" s="1"/>
  <c r="AK679" i="1"/>
  <c r="AM679" i="1" s="1"/>
  <c r="AK669" i="1"/>
  <c r="AM669" i="1" s="1"/>
  <c r="AK627" i="1"/>
  <c r="AM627" i="1" s="1"/>
  <c r="AK582" i="1"/>
  <c r="AM582" i="1" s="1"/>
  <c r="AK523" i="1"/>
  <c r="AM523" i="1" s="1"/>
  <c r="AK473" i="1"/>
  <c r="AM473" i="1" s="1"/>
  <c r="AK156" i="1"/>
  <c r="AM156" i="1" s="1"/>
  <c r="AK144" i="1"/>
  <c r="AM144" i="1" s="1"/>
  <c r="AK133" i="1"/>
  <c r="AM133" i="1" s="1"/>
  <c r="AK119" i="1"/>
  <c r="AM119" i="1" s="1"/>
  <c r="AK104" i="1"/>
  <c r="AM104" i="1" s="1"/>
  <c r="AK92" i="1"/>
  <c r="AM92" i="1" s="1"/>
  <c r="AK79" i="1"/>
  <c r="AM79" i="1" s="1"/>
  <c r="AK71" i="1"/>
  <c r="AM71" i="1" s="1"/>
  <c r="AK63" i="1"/>
  <c r="AM63" i="1" s="1"/>
  <c r="AK55" i="1"/>
  <c r="AM55" i="1" s="1"/>
  <c r="AK42" i="1"/>
  <c r="AM42" i="1" s="1"/>
  <c r="AK27" i="1"/>
  <c r="AM27" i="1" s="1"/>
  <c r="AK542" i="1"/>
  <c r="AM542" i="1" s="1"/>
  <c r="AK788" i="1"/>
  <c r="AM788" i="1" s="1"/>
  <c r="AK689" i="1"/>
  <c r="AM689" i="1" s="1"/>
  <c r="AK283" i="1"/>
  <c r="AM283" i="1" s="1"/>
  <c r="AK760" i="1"/>
  <c r="AM760" i="1" s="1"/>
  <c r="AK716" i="1"/>
  <c r="AM716" i="1" s="1"/>
  <c r="AK708" i="1"/>
  <c r="AM708" i="1" s="1"/>
  <c r="AK697" i="1"/>
  <c r="AM697" i="1" s="1"/>
  <c r="AK678" i="1"/>
  <c r="AM678" i="1" s="1"/>
  <c r="AK672" i="1"/>
  <c r="AM672" i="1" s="1"/>
  <c r="AK663" i="1"/>
  <c r="AM663" i="1" s="1"/>
  <c r="AK634" i="1"/>
  <c r="AM634" i="1" s="1"/>
  <c r="AK588" i="1"/>
  <c r="AM588" i="1" s="1"/>
  <c r="AK525" i="1"/>
  <c r="AM525" i="1" s="1"/>
  <c r="AK514" i="1"/>
  <c r="AM514" i="1" s="1"/>
  <c r="AK504" i="1"/>
  <c r="AM504" i="1" s="1"/>
  <c r="AK469" i="1"/>
  <c r="AM469" i="1" s="1"/>
  <c r="AK435" i="1"/>
  <c r="AM435" i="1" s="1"/>
  <c r="AK406" i="1"/>
  <c r="AM406" i="1" s="1"/>
  <c r="AK388" i="1"/>
  <c r="AM388" i="1" s="1"/>
  <c r="AK356" i="1"/>
  <c r="AM356" i="1" s="1"/>
  <c r="AK337" i="1"/>
  <c r="AM337" i="1" s="1"/>
  <c r="AK327" i="1"/>
  <c r="AM327" i="1" s="1"/>
  <c r="AK214" i="1"/>
  <c r="AM214" i="1" s="1"/>
  <c r="AK189" i="1"/>
  <c r="AM189" i="1" s="1"/>
  <c r="AK151" i="1"/>
  <c r="AM151" i="1" s="1"/>
  <c r="AK48" i="1"/>
  <c r="AM48" i="1" s="1"/>
  <c r="AK87" i="1"/>
  <c r="AM87" i="1" s="1"/>
  <c r="AK454" i="1"/>
  <c r="AM454" i="1" s="1"/>
  <c r="AK414" i="1"/>
  <c r="AM414" i="1" s="1"/>
  <c r="AK405" i="1"/>
  <c r="AM405" i="1" s="1"/>
  <c r="AK376" i="1"/>
  <c r="AM376" i="1" s="1"/>
  <c r="AK355" i="1"/>
  <c r="AM355" i="1" s="1"/>
  <c r="AK336" i="1"/>
  <c r="AM336" i="1" s="1"/>
  <c r="AK325" i="1"/>
  <c r="AM325" i="1" s="1"/>
  <c r="AK310" i="1"/>
  <c r="AM310" i="1" s="1"/>
  <c r="AK258" i="1"/>
  <c r="AM258" i="1" s="1"/>
  <c r="AK248" i="1"/>
  <c r="AM248" i="1" s="1"/>
  <c r="AK231" i="1"/>
  <c r="AM231" i="1" s="1"/>
  <c r="AK199" i="1"/>
  <c r="AM199" i="1" s="1"/>
  <c r="AK170" i="1"/>
  <c r="AM170" i="1" s="1"/>
  <c r="AK150" i="1"/>
  <c r="AM150" i="1" s="1"/>
  <c r="AK128" i="1"/>
  <c r="AM128" i="1" s="1"/>
  <c r="AK100" i="1"/>
  <c r="AM100" i="1" s="1"/>
  <c r="AK54" i="1"/>
  <c r="AM54" i="1" s="1"/>
  <c r="AK31" i="1"/>
  <c r="AM31" i="1" s="1"/>
  <c r="AK17" i="1"/>
  <c r="AM17" i="1" s="1"/>
  <c r="AK8" i="1"/>
  <c r="AM8" i="1" s="1"/>
  <c r="AK656" i="1"/>
  <c r="AM656" i="1" s="1"/>
  <c r="AK377" i="1"/>
  <c r="AM377" i="1" s="1"/>
  <c r="AK342" i="1"/>
  <c r="AM342" i="1" s="1"/>
  <c r="AK328" i="1"/>
  <c r="AM328" i="1" s="1"/>
  <c r="AK321" i="1"/>
  <c r="AM321" i="1" s="1"/>
  <c r="AK260" i="1"/>
  <c r="AM260" i="1" s="1"/>
  <c r="AK239" i="1"/>
  <c r="AM239" i="1" s="1"/>
  <c r="AK216" i="1"/>
  <c r="AM216" i="1" s="1"/>
  <c r="AK191" i="1"/>
  <c r="AM191" i="1" s="1"/>
  <c r="AK181" i="1"/>
  <c r="AM181" i="1" s="1"/>
  <c r="AK157" i="1"/>
  <c r="AM157" i="1" s="1"/>
  <c r="AK138" i="1"/>
  <c r="AM138" i="1" s="1"/>
  <c r="AK124" i="1"/>
  <c r="AM124" i="1" s="1"/>
  <c r="AK109" i="1"/>
  <c r="AM109" i="1" s="1"/>
  <c r="AK88" i="1"/>
  <c r="AM88" i="1" s="1"/>
  <c r="AK36" i="1"/>
  <c r="AM36" i="1" s="1"/>
  <c r="AK20" i="1"/>
  <c r="AM20" i="1" s="1"/>
  <c r="AK10" i="1"/>
  <c r="AM10" i="1" s="1"/>
  <c r="AK249" i="1"/>
  <c r="AM249" i="1" s="1"/>
  <c r="AK91" i="1"/>
  <c r="AM91" i="1" s="1"/>
  <c r="AK32" i="1"/>
  <c r="AM32" i="1" s="1"/>
  <c r="AK5" i="1"/>
  <c r="AM5" i="1" s="1"/>
  <c r="AK167" i="1"/>
  <c r="AM167" i="1" s="1"/>
  <c r="AK146" i="1"/>
  <c r="AM146" i="1" s="1"/>
  <c r="AK135" i="1"/>
  <c r="AM135" i="1" s="1"/>
  <c r="AK121" i="1"/>
  <c r="AM121" i="1" s="1"/>
  <c r="AK106" i="1"/>
  <c r="AM106" i="1" s="1"/>
  <c r="AK96" i="1"/>
  <c r="AM96" i="1" s="1"/>
  <c r="AK81" i="1"/>
  <c r="AM81" i="1" s="1"/>
  <c r="AK73" i="1"/>
  <c r="AM73" i="1" s="1"/>
  <c r="AK65" i="1"/>
  <c r="AM65" i="1" s="1"/>
  <c r="AK57" i="1"/>
  <c r="AM57" i="1" s="1"/>
  <c r="AK44" i="1"/>
  <c r="AM44" i="1" s="1"/>
  <c r="AK29" i="1"/>
  <c r="AM29" i="1" s="1"/>
  <c r="AK728" i="1"/>
  <c r="AM728" i="1" s="1"/>
  <c r="AK786" i="1"/>
  <c r="AM786" i="1" s="1"/>
  <c r="AK460" i="1"/>
  <c r="AM460" i="1" s="1"/>
  <c r="AK767" i="1"/>
  <c r="AM767" i="1" s="1"/>
  <c r="AK746" i="1"/>
  <c r="AM746" i="1" s="1"/>
  <c r="AK727" i="1"/>
  <c r="AM727" i="1" s="1"/>
  <c r="AK713" i="1"/>
  <c r="AM713" i="1" s="1"/>
  <c r="AK703" i="1"/>
  <c r="AM703" i="1" s="1"/>
  <c r="AK696" i="1"/>
  <c r="AM696" i="1" s="1"/>
  <c r="AK677" i="1"/>
  <c r="AM677" i="1" s="1"/>
  <c r="AK657" i="1"/>
  <c r="AM657" i="1" s="1"/>
  <c r="AK628" i="1"/>
  <c r="AM628" i="1" s="1"/>
  <c r="AK623" i="1"/>
  <c r="AM623" i="1" s="1"/>
  <c r="AK611" i="1"/>
  <c r="AM611" i="1" s="1"/>
  <c r="AK573" i="1"/>
  <c r="AM573" i="1" s="1"/>
  <c r="AK546" i="1"/>
  <c r="AM546" i="1" s="1"/>
  <c r="AK519" i="1"/>
  <c r="AM519" i="1" s="1"/>
  <c r="AK506" i="1"/>
  <c r="AM506" i="1" s="1"/>
  <c r="AK498" i="1"/>
  <c r="AM498" i="1" s="1"/>
  <c r="AK462" i="1"/>
  <c r="AM462" i="1" s="1"/>
  <c r="AK452" i="1"/>
  <c r="AM452" i="1" s="1"/>
  <c r="AK417" i="1"/>
  <c r="AM417" i="1" s="1"/>
  <c r="AK407" i="1"/>
  <c r="AM407" i="1" s="1"/>
  <c r="AK380" i="1"/>
  <c r="AM380" i="1" s="1"/>
  <c r="AK347" i="1"/>
  <c r="AM347" i="1" s="1"/>
  <c r="AK166" i="1"/>
  <c r="AM166" i="1" s="1"/>
  <c r="AK158" i="1"/>
  <c r="AM158" i="1" s="1"/>
  <c r="AK145" i="1"/>
  <c r="AM145" i="1" s="1"/>
  <c r="AK134" i="1"/>
  <c r="AM134" i="1" s="1"/>
  <c r="AK120" i="1"/>
  <c r="AM120" i="1" s="1"/>
  <c r="AK105" i="1"/>
  <c r="AM105" i="1" s="1"/>
  <c r="AK93" i="1"/>
  <c r="AM93" i="1" s="1"/>
  <c r="AK80" i="1"/>
  <c r="AM80" i="1" s="1"/>
  <c r="AK72" i="1"/>
  <c r="AM72" i="1" s="1"/>
  <c r="AK64" i="1"/>
  <c r="AM64" i="1" s="1"/>
  <c r="AK56" i="1"/>
  <c r="AM56" i="1" s="1"/>
  <c r="AK43" i="1"/>
  <c r="AM43" i="1" s="1"/>
  <c r="AK28" i="1"/>
  <c r="AM28" i="1" s="1"/>
  <c r="AK673" i="1"/>
  <c r="AM673" i="1" s="1"/>
  <c r="AK715" i="1"/>
  <c r="AM715" i="1" s="1"/>
  <c r="AK13" i="1"/>
  <c r="AM13" i="1" s="1"/>
  <c r="AK762" i="1"/>
  <c r="AM762" i="1" s="1"/>
  <c r="AK735" i="1"/>
  <c r="AM735" i="1" s="1"/>
  <c r="AK719" i="1"/>
  <c r="AM719" i="1" s="1"/>
  <c r="AK707" i="1"/>
  <c r="AM707" i="1" s="1"/>
  <c r="AK701" i="1"/>
  <c r="AM701" i="1" s="1"/>
  <c r="AK683" i="1"/>
  <c r="AM683" i="1" s="1"/>
  <c r="AK665" i="1"/>
  <c r="AM665" i="1" s="1"/>
  <c r="AK635" i="1"/>
  <c r="AM635" i="1" s="1"/>
  <c r="AK621" i="1"/>
  <c r="AM621" i="1" s="1"/>
  <c r="AK612" i="1"/>
  <c r="AM612" i="1" s="1"/>
  <c r="AK589" i="1"/>
  <c r="AM589" i="1" s="1"/>
  <c r="AK548" i="1"/>
  <c r="AM548" i="1" s="1"/>
  <c r="AK532" i="1"/>
  <c r="AM532" i="1" s="1"/>
  <c r="AK524" i="1"/>
  <c r="AM524" i="1" s="1"/>
  <c r="AK503" i="1"/>
  <c r="AM503" i="1" s="1"/>
  <c r="AK470" i="1"/>
  <c r="AM470" i="1" s="1"/>
  <c r="AK453" i="1"/>
  <c r="AM453" i="1" s="1"/>
  <c r="AK438" i="1"/>
  <c r="AM438" i="1" s="1"/>
  <c r="AK416" i="1"/>
  <c r="AM416" i="1" s="1"/>
  <c r="AK389" i="1"/>
  <c r="AM389" i="1" s="1"/>
  <c r="AK379" i="1"/>
  <c r="AM379" i="1" s="1"/>
  <c r="AK361" i="1"/>
  <c r="AM361" i="1" s="1"/>
  <c r="AK343" i="1"/>
  <c r="AM343" i="1" s="1"/>
  <c r="AK338" i="1"/>
  <c r="AM338" i="1" s="1"/>
  <c r="AK311" i="1"/>
  <c r="AM311" i="1" s="1"/>
  <c r="AK287" i="1"/>
  <c r="AM287" i="1" s="1"/>
  <c r="AK259" i="1"/>
  <c r="AM259" i="1" s="1"/>
  <c r="AK250" i="1"/>
  <c r="AM250" i="1" s="1"/>
  <c r="AK235" i="1"/>
  <c r="AM235" i="1" s="1"/>
  <c r="AK215" i="1"/>
  <c r="AM215" i="1" s="1"/>
  <c r="AK190" i="1"/>
  <c r="AM190" i="1" s="1"/>
  <c r="AK178" i="1"/>
  <c r="AM178" i="1" s="1"/>
  <c r="AK152" i="1"/>
  <c r="AM152" i="1" s="1"/>
  <c r="AK129" i="1"/>
  <c r="AM129" i="1" s="1"/>
  <c r="AK108" i="1"/>
  <c r="AM108" i="1" s="1"/>
  <c r="AK85" i="1"/>
  <c r="AM85" i="1" s="1"/>
  <c r="AK39" i="1"/>
  <c r="AM39" i="1" s="1"/>
  <c r="AK26" i="1"/>
  <c r="AM26" i="1" s="1"/>
  <c r="AK15" i="1"/>
  <c r="AM15" i="1" s="1"/>
  <c r="AK6" i="1"/>
  <c r="AM6" i="1" s="1"/>
  <c r="AK161" i="1"/>
  <c r="AM161" i="1" s="1"/>
  <c r="AK126" i="1"/>
  <c r="AM126" i="1" s="1"/>
  <c r="AK24" i="1"/>
  <c r="AM24" i="1" s="1"/>
  <c r="AK4" i="1"/>
  <c r="AM4" i="1" s="1"/>
  <c r="AK755" i="1"/>
  <c r="AM755" i="1" s="1"/>
  <c r="AK704" i="1"/>
  <c r="AM704" i="1" s="1"/>
  <c r="AK637" i="1"/>
  <c r="AM637" i="1" s="1"/>
  <c r="AK585" i="1"/>
  <c r="AM585" i="1" s="1"/>
  <c r="AK557" i="1"/>
  <c r="AM557" i="1" s="1"/>
  <c r="AK518" i="1"/>
  <c r="AM518" i="1" s="1"/>
  <c r="AK446" i="1"/>
  <c r="AM446" i="1" s="1"/>
  <c r="AK413" i="1"/>
  <c r="AM413" i="1" s="1"/>
  <c r="AK368" i="1"/>
  <c r="AM368" i="1" s="1"/>
  <c r="AK318" i="1"/>
  <c r="AM318" i="1" s="1"/>
  <c r="AK264" i="1"/>
  <c r="AM264" i="1" s="1"/>
  <c r="AK205" i="1"/>
  <c r="AM205" i="1" s="1"/>
  <c r="AK698" i="1"/>
  <c r="AM698" i="1" s="1"/>
  <c r="AK604" i="1"/>
  <c r="AM604" i="1" s="1"/>
  <c r="AK579" i="1"/>
  <c r="AM579" i="1" s="1"/>
  <c r="AK536" i="1"/>
  <c r="AM536" i="1" s="1"/>
  <c r="AK486" i="1"/>
  <c r="AM486" i="1" s="1"/>
  <c r="AK421" i="1"/>
  <c r="AM421" i="1" s="1"/>
  <c r="AK363" i="1"/>
  <c r="AM363" i="1" s="1"/>
  <c r="AK317" i="1"/>
  <c r="AM317" i="1" s="1"/>
  <c r="AK273" i="1"/>
  <c r="AM273" i="1" s="1"/>
  <c r="AK227" i="1"/>
  <c r="AM227" i="1" s="1"/>
  <c r="AK200" i="1"/>
  <c r="AM200" i="1" s="1"/>
  <c r="AK778" i="1"/>
  <c r="AM778" i="1" s="1"/>
  <c r="AK734" i="1"/>
  <c r="AM734" i="1" s="1"/>
  <c r="AK692" i="1"/>
  <c r="AM692" i="1" s="1"/>
  <c r="AK639" i="1"/>
  <c r="AM639" i="1" s="1"/>
  <c r="AK578" i="1"/>
  <c r="AM578" i="1" s="1"/>
  <c r="AK550" i="1"/>
  <c r="AM550" i="1" s="1"/>
  <c r="AK501" i="1"/>
  <c r="AM501" i="1" s="1"/>
  <c r="AK448" i="1"/>
  <c r="AM448" i="1" s="1"/>
  <c r="AK409" i="1"/>
  <c r="AM409" i="1" s="1"/>
  <c r="AK346" i="1"/>
  <c r="AM346" i="1" s="1"/>
  <c r="AK272" i="1"/>
  <c r="AM272" i="1" s="1"/>
  <c r="AK211" i="1"/>
  <c r="AM211" i="1" s="1"/>
  <c r="AK143" i="1"/>
  <c r="AM143" i="1" s="1"/>
  <c r="AK89" i="1"/>
  <c r="AM89" i="1" s="1"/>
  <c r="AK62" i="1"/>
  <c r="AM62" i="1" s="1"/>
  <c r="AK737" i="1"/>
  <c r="AM737" i="1" s="1"/>
  <c r="AK695" i="1"/>
  <c r="AM695" i="1" s="1"/>
  <c r="AK660" i="1"/>
  <c r="AM660" i="1" s="1"/>
  <c r="AK597" i="1"/>
  <c r="AM597" i="1" s="1"/>
  <c r="AK463" i="1"/>
  <c r="AM463" i="1" s="1"/>
  <c r="AK123" i="1"/>
  <c r="AM123" i="1" s="1"/>
  <c r="AK83" i="1"/>
  <c r="AM83" i="1" s="1"/>
  <c r="AK59" i="1"/>
  <c r="AM59" i="1" s="1"/>
  <c r="AK2" i="1"/>
  <c r="AM2" i="1" s="1"/>
  <c r="AK722" i="1"/>
  <c r="AM722" i="1" s="1"/>
  <c r="AK693" i="1"/>
  <c r="AM693" i="1" s="1"/>
  <c r="AK667" i="1"/>
  <c r="AM667" i="1" s="1"/>
  <c r="AK564" i="1"/>
  <c r="AM564" i="1" s="1"/>
  <c r="AK516" i="1"/>
  <c r="AM516" i="1" s="1"/>
  <c r="AK459" i="1"/>
  <c r="AM459" i="1" s="1"/>
  <c r="AK410" i="1"/>
  <c r="AM410" i="1" s="1"/>
  <c r="AK370" i="1"/>
  <c r="AM370" i="1" s="1"/>
  <c r="AK333" i="1"/>
  <c r="AM333" i="1" s="1"/>
  <c r="AK266" i="1"/>
  <c r="AM266" i="1" s="1"/>
  <c r="AK457" i="1"/>
  <c r="AM457" i="1" s="1"/>
  <c r="AK408" i="1"/>
  <c r="AM408" i="1" s="1"/>
  <c r="AK383" i="1"/>
  <c r="AM383" i="1" s="1"/>
  <c r="AK291" i="1"/>
  <c r="AM291" i="1" s="1"/>
  <c r="AK223" i="1"/>
  <c r="AM223" i="1" s="1"/>
  <c r="AK125" i="1"/>
  <c r="AM125" i="1" s="1"/>
  <c r="AK47" i="1"/>
  <c r="AM47" i="1" s="1"/>
  <c r="AK11" i="1"/>
  <c r="AM11" i="1" s="1"/>
  <c r="AK354" i="1"/>
  <c r="AM354" i="1" s="1"/>
  <c r="AK198" i="1"/>
  <c r="AM198" i="1" s="1"/>
  <c r="AK147" i="1"/>
  <c r="AM147" i="1" s="1"/>
  <c r="AK117" i="1"/>
  <c r="AM117" i="1" s="1"/>
  <c r="AK52" i="1"/>
  <c r="AM52" i="1" s="1"/>
  <c r="AK16" i="1"/>
  <c r="AM16" i="1" s="1"/>
  <c r="AK7" i="1"/>
  <c r="AM7" i="1" s="1"/>
  <c r="AK118" i="1"/>
  <c r="AM118" i="1" s="1"/>
  <c r="AK18" i="1"/>
  <c r="AM18" i="1" s="1"/>
  <c r="AK163" i="1"/>
  <c r="AM163" i="1" s="1"/>
  <c r="AK142" i="1"/>
  <c r="AM142" i="1" s="1"/>
  <c r="AK114" i="1"/>
  <c r="AM114" i="1" s="1"/>
  <c r="AK86" i="1"/>
  <c r="AM86" i="1" s="1"/>
  <c r="AK69" i="1"/>
  <c r="AM69" i="1" s="1"/>
  <c r="AK51" i="1"/>
  <c r="AM51" i="1" s="1"/>
  <c r="AK40" i="1"/>
  <c r="AM40" i="1" s="1"/>
  <c r="AK450" i="1"/>
  <c r="AM450" i="1" s="1"/>
  <c r="AK783" i="1"/>
  <c r="AM783" i="1" s="1"/>
  <c r="AK757" i="1"/>
  <c r="AM757" i="1" s="1"/>
  <c r="AK736" i="1"/>
  <c r="AM736" i="1" s="1"/>
  <c r="AK720" i="1"/>
  <c r="AM720" i="1" s="1"/>
  <c r="AK709" i="1"/>
  <c r="AM709" i="1" s="1"/>
  <c r="AK699" i="1"/>
  <c r="AM699" i="1" s="1"/>
  <c r="AK685" i="1"/>
  <c r="AM685" i="1" s="1"/>
  <c r="AK675" i="1"/>
  <c r="AM675" i="1" s="1"/>
  <c r="AK666" i="1"/>
  <c r="AM666" i="1" s="1"/>
  <c r="AK614" i="1"/>
  <c r="AM614" i="1" s="1"/>
  <c r="AK607" i="1"/>
  <c r="AM607" i="1" s="1"/>
  <c r="AK555" i="1"/>
  <c r="AM555" i="1" s="1"/>
  <c r="AK526" i="1"/>
  <c r="AM526" i="1" s="1"/>
  <c r="AK455" i="1"/>
  <c r="AM455" i="1" s="1"/>
  <c r="AK415" i="1"/>
  <c r="AM415" i="1" s="1"/>
  <c r="AK387" i="1"/>
  <c r="AM387" i="1" s="1"/>
  <c r="AK335" i="1"/>
  <c r="AM335" i="1" s="1"/>
  <c r="AK153" i="1"/>
  <c r="AM153" i="1" s="1"/>
  <c r="AK130" i="1"/>
  <c r="AM130" i="1" s="1"/>
  <c r="AK99" i="1"/>
  <c r="AM99" i="1" s="1"/>
  <c r="AK76" i="1"/>
  <c r="AM76" i="1" s="1"/>
  <c r="AK68" i="1"/>
  <c r="AM68" i="1" s="1"/>
  <c r="AK35" i="1"/>
  <c r="AM35" i="1" s="1"/>
  <c r="AK753" i="1"/>
  <c r="AM753" i="1" s="1"/>
  <c r="AK694" i="1"/>
  <c r="AM694" i="1" s="1"/>
  <c r="AK676" i="1"/>
  <c r="AM676" i="1" s="1"/>
  <c r="AK653" i="1"/>
  <c r="AM653" i="1" s="1"/>
  <c r="AK615" i="1"/>
  <c r="AM615" i="1" s="1"/>
  <c r="AK606" i="1"/>
  <c r="AM606" i="1" s="1"/>
  <c r="AK547" i="1"/>
  <c r="AM547" i="1" s="1"/>
  <c r="AK531" i="1"/>
  <c r="AM531" i="1" s="1"/>
  <c r="AK496" i="1"/>
  <c r="AM496" i="1" s="1"/>
  <c r="AK449" i="1"/>
  <c r="AM449" i="1" s="1"/>
  <c r="AK411" i="1"/>
  <c r="AM411" i="1" s="1"/>
  <c r="AK386" i="1"/>
  <c r="AM386" i="1" s="1"/>
  <c r="AK353" i="1"/>
  <c r="AM353" i="1" s="1"/>
  <c r="AK341" i="1"/>
  <c r="AM341" i="1" s="1"/>
  <c r="AK297" i="1"/>
  <c r="AM297" i="1" s="1"/>
  <c r="AK253" i="1"/>
  <c r="AM253" i="1" s="1"/>
  <c r="AK225" i="1"/>
  <c r="AM225" i="1" s="1"/>
  <c r="AK183" i="1"/>
  <c r="AM183" i="1" s="1"/>
  <c r="AK94" i="1"/>
  <c r="AM94" i="1" s="1"/>
  <c r="AK30" i="1"/>
  <c r="AM30" i="1" s="1"/>
  <c r="AK9" i="1"/>
  <c r="AM9" i="1" s="1"/>
  <c r="AK101" i="1"/>
  <c r="AM101" i="1" s="1"/>
  <c r="AK785" i="1"/>
  <c r="AM785" i="1" s="1"/>
  <c r="AK764" i="1"/>
  <c r="AM764" i="1" s="1"/>
  <c r="AK732" i="1"/>
  <c r="AM732" i="1" s="1"/>
  <c r="AK670" i="1"/>
  <c r="AM670" i="1" s="1"/>
  <c r="AK642" i="1"/>
  <c r="AM642" i="1" s="1"/>
  <c r="AK605" i="1"/>
  <c r="AM605" i="1" s="1"/>
  <c r="AK580" i="1"/>
  <c r="AM580" i="1" s="1"/>
  <c r="AK561" i="1"/>
  <c r="AM561" i="1" s="1"/>
  <c r="AK537" i="1"/>
  <c r="AM537" i="1" s="1"/>
  <c r="AK507" i="1"/>
  <c r="AM507" i="1" s="1"/>
  <c r="AK475" i="1"/>
  <c r="AM475" i="1" s="1"/>
  <c r="AK428" i="1"/>
  <c r="AM428" i="1" s="1"/>
  <c r="AK391" i="1"/>
  <c r="AM391" i="1" s="1"/>
  <c r="AK364" i="1"/>
  <c r="AM364" i="1" s="1"/>
  <c r="AK326" i="1"/>
  <c r="AM326" i="1" s="1"/>
  <c r="AK274" i="1"/>
  <c r="AM274" i="1" s="1"/>
  <c r="AK233" i="1"/>
  <c r="AM233" i="1" s="1"/>
  <c r="AK220" i="1"/>
  <c r="AM220" i="1" s="1"/>
  <c r="AK185" i="1"/>
  <c r="AM185" i="1" s="1"/>
  <c r="AK687" i="1"/>
  <c r="AM687" i="1" s="1"/>
  <c r="AK645" i="1"/>
  <c r="AM645" i="1" s="1"/>
  <c r="AK618" i="1"/>
  <c r="AM618" i="1" s="1"/>
  <c r="AK584" i="1"/>
  <c r="AM584" i="1" s="1"/>
  <c r="AK565" i="1"/>
  <c r="AM565" i="1" s="1"/>
  <c r="AK540" i="1"/>
  <c r="AM540" i="1" s="1"/>
  <c r="AK502" i="1"/>
  <c r="AM502" i="1" s="1"/>
  <c r="AK478" i="1"/>
  <c r="AM478" i="1" s="1"/>
  <c r="AK432" i="1"/>
  <c r="AM432" i="1" s="1"/>
  <c r="AK381" i="1"/>
  <c r="AM381" i="1" s="1"/>
  <c r="AK348" i="1"/>
  <c r="AM348" i="1" s="1"/>
  <c r="AK269" i="1"/>
  <c r="AM269" i="1" s="1"/>
  <c r="AK511" i="1"/>
  <c r="AM511" i="1" s="1"/>
  <c r="AK485" i="1"/>
  <c r="AM485" i="1" s="1"/>
  <c r="AK465" i="1"/>
  <c r="AM465" i="1" s="1"/>
  <c r="AK431" i="1"/>
  <c r="AM431" i="1" s="1"/>
  <c r="AK420" i="1"/>
  <c r="AM420" i="1" s="1"/>
  <c r="AK378" i="1"/>
  <c r="AM378" i="1" s="1"/>
  <c r="AK330" i="1"/>
  <c r="AM330" i="1" s="1"/>
  <c r="AK296" i="1"/>
  <c r="AM296" i="1" s="1"/>
  <c r="AK268" i="1"/>
  <c r="AM268" i="1" s="1"/>
  <c r="AK243" i="1"/>
  <c r="AM243" i="1" s="1"/>
  <c r="AK195" i="1"/>
  <c r="AM195" i="1" s="1"/>
  <c r="AK148" i="1"/>
  <c r="AM148" i="1" s="1"/>
  <c r="AK132" i="1"/>
  <c r="AM132" i="1" s="1"/>
  <c r="AK115" i="1"/>
  <c r="AM115" i="1" s="1"/>
  <c r="AK33" i="1"/>
  <c r="AM33" i="1" s="1"/>
  <c r="AK758" i="1"/>
  <c r="AM758" i="1" s="1"/>
  <c r="AK723" i="1"/>
  <c r="AM723" i="1" s="1"/>
  <c r="AK712" i="1"/>
  <c r="AM712" i="1" s="1"/>
  <c r="AK690" i="1"/>
  <c r="AM690" i="1" s="1"/>
  <c r="AK646" i="1"/>
  <c r="AM646" i="1" s="1"/>
  <c r="AK610" i="1"/>
  <c r="AM610" i="1" s="1"/>
  <c r="AK600" i="1"/>
  <c r="AM600" i="1" s="1"/>
  <c r="AK244" i="1"/>
  <c r="AM244" i="1" s="1"/>
  <c r="AK779" i="1"/>
  <c r="AM779" i="1" s="1"/>
  <c r="AK769" i="1"/>
  <c r="AM769" i="1" s="1"/>
  <c r="AK754" i="1"/>
  <c r="AM754" i="1" s="1"/>
  <c r="AK741" i="1"/>
  <c r="AM741" i="1" s="1"/>
  <c r="AK761" i="1"/>
  <c r="AM761" i="1" s="1"/>
  <c r="AK781" i="1"/>
  <c r="AM781" i="1" s="1"/>
  <c r="AK771" i="1"/>
  <c r="AM771" i="1" s="1"/>
  <c r="AK756" i="1"/>
  <c r="AM756" i="1" s="1"/>
  <c r="AK733" i="1"/>
  <c r="AM733" i="1" s="1"/>
  <c r="AK718" i="1"/>
  <c r="AM718" i="1" s="1"/>
  <c r="AK691" i="1"/>
  <c r="AM691" i="1" s="1"/>
  <c r="AK661" i="1"/>
  <c r="AM661" i="1" s="1"/>
  <c r="AK648" i="1"/>
  <c r="AM648" i="1" s="1"/>
  <c r="AK638" i="1"/>
  <c r="AM638" i="1" s="1"/>
  <c r="AK624" i="1"/>
  <c r="AM624" i="1" s="1"/>
  <c r="AK601" i="1"/>
  <c r="AM601" i="1" s="1"/>
  <c r="AK581" i="1"/>
  <c r="AM581" i="1" s="1"/>
  <c r="AK571" i="1"/>
  <c r="AM571" i="1" s="1"/>
  <c r="AK558" i="1"/>
  <c r="AM558" i="1" s="1"/>
  <c r="AK549" i="1"/>
  <c r="AM549" i="1" s="1"/>
  <c r="AK528" i="1"/>
  <c r="AM528" i="1" s="1"/>
  <c r="AK508" i="1"/>
  <c r="AM508" i="1" s="1"/>
  <c r="AK488" i="1"/>
  <c r="AM488" i="1" s="1"/>
  <c r="AK480" i="1"/>
  <c r="AM480" i="1" s="1"/>
  <c r="AK468" i="1"/>
  <c r="AM468" i="1" s="1"/>
  <c r="AK441" i="1"/>
  <c r="AM441" i="1" s="1"/>
  <c r="AK425" i="1"/>
  <c r="AM425" i="1" s="1"/>
  <c r="AK392" i="1"/>
  <c r="AM392" i="1" s="1"/>
  <c r="AK375" i="1"/>
  <c r="AM375" i="1" s="1"/>
  <c r="AK360" i="1"/>
  <c r="AM360" i="1" s="1"/>
  <c r="AK345" i="1"/>
  <c r="AM345" i="1" s="1"/>
  <c r="AK315" i="1"/>
  <c r="AM315" i="1" s="1"/>
  <c r="AK304" i="1"/>
  <c r="AM304" i="1" s="1"/>
  <c r="AK295" i="1"/>
  <c r="AM295" i="1" s="1"/>
  <c r="AK221" i="1"/>
  <c r="AM221" i="1" s="1"/>
  <c r="AK210" i="1"/>
  <c r="AM210" i="1" s="1"/>
  <c r="AK186" i="1"/>
  <c r="AM186" i="1" s="1"/>
</calcChain>
</file>

<file path=xl/sharedStrings.xml><?xml version="1.0" encoding="utf-8"?>
<sst xmlns="http://schemas.openxmlformats.org/spreadsheetml/2006/main" count="6324" uniqueCount="1255">
  <si>
    <t>CKC_ClientID</t>
  </si>
  <si>
    <t>CKC_ClientLegalName</t>
  </si>
  <si>
    <t>ProductID</t>
  </si>
  <si>
    <t>22 Kill_990_47-3864997</t>
  </si>
  <si>
    <t>22 Kill</t>
  </si>
  <si>
    <t>4F Comme_1065_81-4311941</t>
  </si>
  <si>
    <t>4F Commercial Services</t>
  </si>
  <si>
    <t>A&amp;M Solu_1120C_47-2585701</t>
  </si>
  <si>
    <t>A&amp;M Solutions Inc.</t>
  </si>
  <si>
    <t>Abilene Better Business Bureau</t>
  </si>
  <si>
    <t>ACL-AG L_1065_81-2106666</t>
  </si>
  <si>
    <t>ACL-AG LLC</t>
  </si>
  <si>
    <t>Adam's C_1120S_80-0694316</t>
  </si>
  <si>
    <t>Adam's CPR</t>
  </si>
  <si>
    <t>Alcon Se_1120S_75-2968808</t>
  </si>
  <si>
    <t>Alcon Services, Inc</t>
  </si>
  <si>
    <t>All Stat_1120C_75-2887863</t>
  </si>
  <si>
    <t>All State Paving, Inc.</t>
  </si>
  <si>
    <t>McKee &amp; Associates (American Franchise Finders)</t>
  </si>
  <si>
    <t>Anabell'_NoTax_0001</t>
  </si>
  <si>
    <t>Anabell's Brazilian Wax, LLC</t>
  </si>
  <si>
    <t>Anasofia_1040_82-2087037</t>
  </si>
  <si>
    <t>Anasofia Mexican Grill, LLC</t>
  </si>
  <si>
    <t>Bliss Pe_1120S_46-1539381</t>
  </si>
  <si>
    <t>Bliss Pet Resort, LLC</t>
  </si>
  <si>
    <t>Branded _1120C_45-2711219</t>
  </si>
  <si>
    <t>Branded Floors, Inc.</t>
  </si>
  <si>
    <t>Bubba Su_1120S_47-2382923</t>
  </si>
  <si>
    <t>Bubba Sully's Pocket Change</t>
  </si>
  <si>
    <t>Card Wav_1120C_30-0891115</t>
  </si>
  <si>
    <t>Card Wave Inc.</t>
  </si>
  <si>
    <t>CDJ Floo_1040_26-4630607</t>
  </si>
  <si>
    <t>CDJ Flooring, LLC</t>
  </si>
  <si>
    <t>CE Educa_1120C_27-3901735</t>
  </si>
  <si>
    <t>CE Educational Travel LLC</t>
  </si>
  <si>
    <t>Center S_1040_1</t>
  </si>
  <si>
    <t>Center Stage AV</t>
  </si>
  <si>
    <t>Charney _1120S_45-5144193</t>
  </si>
  <si>
    <t>Charney Capital, LLC</t>
  </si>
  <si>
    <t>Colby Vo_1120S_46-1664213</t>
  </si>
  <si>
    <t>Colby Vokey, PC</t>
  </si>
  <si>
    <t>Craftlog_1040_1</t>
  </si>
  <si>
    <t>Craftlogic Software LLC</t>
  </si>
  <si>
    <t>Daniel K_1120S_1</t>
  </si>
  <si>
    <t>Daniel K. Hagood PC</t>
  </si>
  <si>
    <t>DB Pro S_1120S_20-5620183</t>
  </si>
  <si>
    <t>DB Pro Solutions, Inc.</t>
  </si>
  <si>
    <t>Design G_1120S_46-4351258</t>
  </si>
  <si>
    <t>Design Gallery Dallas</t>
  </si>
  <si>
    <t>Dog Star_1120S_75-2613222</t>
  </si>
  <si>
    <t>Dog Star Media, Inc.</t>
  </si>
  <si>
    <t>EPE Inno_1120S_46-5139552</t>
  </si>
  <si>
    <t>EPE Innovations LLC</t>
  </si>
  <si>
    <t>Explosiv_1120S_20-1867377</t>
  </si>
  <si>
    <t>Explosive Concepts, Inc.</t>
  </si>
  <si>
    <t>Ferguson_1040_1</t>
  </si>
  <si>
    <t>Ferguson Residential Real Estate</t>
  </si>
  <si>
    <t>Five Pha_1065_83-3528383</t>
  </si>
  <si>
    <t>Five Phase LLC</t>
  </si>
  <si>
    <t>Franklin_1120S_46-4526089</t>
  </si>
  <si>
    <t>Franklin Media, LLC</t>
  </si>
  <si>
    <t>Fredshot_0_1</t>
  </si>
  <si>
    <t>Fredshots Photography</t>
  </si>
  <si>
    <t>Frisco A_1120S_45-4493332</t>
  </si>
  <si>
    <t>Frisco Area Listening and Learning</t>
  </si>
  <si>
    <t>G Capita_NoTax_1</t>
  </si>
  <si>
    <t>G Capital, LLC</t>
  </si>
  <si>
    <t>Gadles D_NoTax_1</t>
  </si>
  <si>
    <t>Gadles Development, LLC</t>
  </si>
  <si>
    <t>Gallantr_1065_82-4465506</t>
  </si>
  <si>
    <t>Gallantry Global Logistics, LLC</t>
  </si>
  <si>
    <t>Grace Co_990_27-0533151</t>
  </si>
  <si>
    <t>Grace Covenant Academy</t>
  </si>
  <si>
    <t>Grape Up, Inc.</t>
  </si>
  <si>
    <t>Guardian_1040_1</t>
  </si>
  <si>
    <t>Guardian 7 Training, LLC</t>
  </si>
  <si>
    <t>Ignite S_1065_1</t>
  </si>
  <si>
    <t>Ignite Synergy LLC</t>
  </si>
  <si>
    <t>Integr_1</t>
  </si>
  <si>
    <t>Integrity Custom</t>
  </si>
  <si>
    <t>Jennings_1120S_46-1143777</t>
  </si>
  <si>
    <t>Jennings Design</t>
  </si>
  <si>
    <t>Jessy Re_1120S_82-4267426</t>
  </si>
  <si>
    <t>Jessy Realty LLC</t>
  </si>
  <si>
    <t>Jewell R_1120S_82-1296266</t>
  </si>
  <si>
    <t>Jewell Realty</t>
  </si>
  <si>
    <t>Fatter_5786</t>
  </si>
  <si>
    <t>Fatter III, Mervin E &amp; Daphne</t>
  </si>
  <si>
    <t>Jordan D_1120S_75-2770808</t>
  </si>
  <si>
    <t>Jordan Development</t>
  </si>
  <si>
    <t>Fellma_5357</t>
  </si>
  <si>
    <t>Fellman, Jeremy</t>
  </si>
  <si>
    <t>Curry, James P</t>
  </si>
  <si>
    <t>K&amp;J Smal_1065_81-3546614</t>
  </si>
  <si>
    <t>K&amp;J Small Town Trucking, LLC</t>
  </si>
  <si>
    <t>KFIT Clu_1120S_45-4689322</t>
  </si>
  <si>
    <t>KFIT Club, Inc.</t>
  </si>
  <si>
    <t>King Cro_1120C_82-1157399</t>
  </si>
  <si>
    <t>King Crown Holdings</t>
  </si>
  <si>
    <t>Knox Fit_1120S_1</t>
  </si>
  <si>
    <t>Knox Fitzpatrick, P.C.</t>
  </si>
  <si>
    <t>KSF ICE _1040_1</t>
  </si>
  <si>
    <t>KSF ICE LLC</t>
  </si>
  <si>
    <t>KSF Prop_1040_1</t>
  </si>
  <si>
    <t>KSF Properties LLC</t>
  </si>
  <si>
    <t>Landmark_1120S_83-0457076</t>
  </si>
  <si>
    <t>Landmark Paint and Supply Co.</t>
  </si>
  <si>
    <t>Lee Coop_1120S_82-5289285</t>
  </si>
  <si>
    <t>Lee Cooper Homes LLC</t>
  </si>
  <si>
    <t>Liberty _1120C_27-3038070</t>
  </si>
  <si>
    <t>Liberty Farm Ironworks, Inc.</t>
  </si>
  <si>
    <t>Hsiao,_2193</t>
  </si>
  <si>
    <t>Hsiao, Loren</t>
  </si>
  <si>
    <t>M.G. Pro_1120S_46-3759326</t>
  </si>
  <si>
    <t>M.G. Properties, LLC</t>
  </si>
  <si>
    <t>MBA Pest Control</t>
  </si>
  <si>
    <t>Mccabe's_1120S_46-1202947</t>
  </si>
  <si>
    <t>Mccabe's Theater &amp; Living LLC</t>
  </si>
  <si>
    <t>Noah's P_1120S_46-0562548</t>
  </si>
  <si>
    <t>Noah's Pool Service</t>
  </si>
  <si>
    <t>Nortex Janitorial</t>
  </si>
  <si>
    <t>Odom Gro_1120S_82-1887528</t>
  </si>
  <si>
    <t>Odom Grooming, LLC</t>
  </si>
  <si>
    <t>Ora Dent_1120S_47-3995289</t>
  </si>
  <si>
    <t>Ora Dental PLLC</t>
  </si>
  <si>
    <t>Patton Electrical Contractors</t>
  </si>
  <si>
    <t>Peak Str_1120S_90-0783049</t>
  </si>
  <si>
    <t>Peak Strength and Condiitioning,</t>
  </si>
  <si>
    <t>Personab_1040_26-4054121</t>
  </si>
  <si>
    <t>Personable Pet Care</t>
  </si>
  <si>
    <t>Redtail _1065_46-3992935</t>
  </si>
  <si>
    <t>Redtail Rods LLC</t>
  </si>
  <si>
    <t>Renewabl_1065_36-4777678</t>
  </si>
  <si>
    <t>Renewable Diesel Micro Refinery,</t>
  </si>
  <si>
    <t>Rent Eng_1065_82-4609976</t>
  </si>
  <si>
    <t>Rent Engine</t>
  </si>
  <si>
    <t>Revoluti_1120S_45-4921581</t>
  </si>
  <si>
    <t>Revolution Real Estate Services,</t>
  </si>
  <si>
    <t>Ritch Ro_1120S_82-2378935</t>
  </si>
  <si>
    <t>Ritch Roberts Law</t>
  </si>
  <si>
    <t>Overkill_1120S_26-2109235</t>
  </si>
  <si>
    <t>Overkill Motorsports Inc.</t>
  </si>
  <si>
    <t>Robert R_1120S_20-1627083</t>
  </si>
  <si>
    <t>Robert R. Smith, P.C.</t>
  </si>
  <si>
    <t>Solisyst_1120S_75-2961419</t>
  </si>
  <si>
    <t>Solisystems Corp</t>
  </si>
  <si>
    <t>Sorrell Designs</t>
  </si>
  <si>
    <t>Sovereig_1120S_81-3934649</t>
  </si>
  <si>
    <t>Sovereign General Contracting,</t>
  </si>
  <si>
    <t>Spartan _1065_32-0436717</t>
  </si>
  <si>
    <t>Spartan Oilfield Solutions LLC</t>
  </si>
  <si>
    <t>Spectrum_1120C_26-4657666</t>
  </si>
  <si>
    <t>Spectrum VoIP, Inc.</t>
  </si>
  <si>
    <t>Stonebridge Financial</t>
  </si>
  <si>
    <t>Sullivan_1120S_75-2861628</t>
  </si>
  <si>
    <t>Sullivan Technology Associates</t>
  </si>
  <si>
    <t>Sure Sho_1065_47-5371628</t>
  </si>
  <si>
    <t>Sure Shot Labs, LLC</t>
  </si>
  <si>
    <t>Techieco_1120S_45-5495183</t>
  </si>
  <si>
    <t>Techieconn, LLC</t>
  </si>
  <si>
    <t>Tevis La_1120S_45-1669749</t>
  </si>
  <si>
    <t>Tevis Land Services, LLC</t>
  </si>
  <si>
    <t>Texas Sports Institute</t>
  </si>
  <si>
    <t>Tin Lyn</t>
  </si>
  <si>
    <t>Tin Ti_1</t>
  </si>
  <si>
    <t>Tin Tin</t>
  </si>
  <si>
    <t>Trinity _1120C_26-2894065</t>
  </si>
  <si>
    <t>Trinity Green Services, LLC</t>
  </si>
  <si>
    <t>Triple G</t>
  </si>
  <si>
    <t>Archer I_1065_45-2826643</t>
  </si>
  <si>
    <t>Archer Installations, LLC</t>
  </si>
  <si>
    <t>Burke,_1198</t>
  </si>
  <si>
    <t>Burke, Kevin &amp; Keri-Ann</t>
  </si>
  <si>
    <t>MBA Pest_1040_1</t>
  </si>
  <si>
    <t>MBA Pest Management, LLC</t>
  </si>
  <si>
    <t>Michael _1120S_1</t>
  </si>
  <si>
    <t>Michael J Uhl, P.C.</t>
  </si>
  <si>
    <t>Nortex J_1040_1</t>
  </si>
  <si>
    <t>Nortex Janitorial, LLC</t>
  </si>
  <si>
    <t>Patton E_1040_1</t>
  </si>
  <si>
    <t>Patton Electrical Contractors, LLC</t>
  </si>
  <si>
    <t>Shraim P_1040_1</t>
  </si>
  <si>
    <t>Shraim Properties, LLC</t>
  </si>
  <si>
    <t>Three Co_1065_38-3978880</t>
  </si>
  <si>
    <t>Three Commas LLC</t>
  </si>
  <si>
    <t>Walthal _1040_1</t>
  </si>
  <si>
    <t>Walthal Pest Services</t>
  </si>
  <si>
    <t>Allford _1120C_47-5330439</t>
  </si>
  <si>
    <t>Allford Select Inc.</t>
  </si>
  <si>
    <t>BetaBloc_1120C_82-5257663</t>
  </si>
  <si>
    <t>BetaBlocks Company</t>
  </si>
  <si>
    <t>Blubeta _1120C_82-5101732</t>
  </si>
  <si>
    <t>Blubeta Group Inc</t>
  </si>
  <si>
    <t>Chaco Re_1120C_43-1998850</t>
  </si>
  <si>
    <t>Chaco Resources Inc</t>
  </si>
  <si>
    <t>Density _1120C_32-0495531</t>
  </si>
  <si>
    <t>Density Labs</t>
  </si>
  <si>
    <t>Futura R_1120C_98-1146213</t>
  </si>
  <si>
    <t>Futura Risk Management, LTD</t>
  </si>
  <si>
    <t>Joe &amp; Je_1120C_83-0838504</t>
  </si>
  <si>
    <t>Joe &amp; Jean Enterprises, Inc</t>
  </si>
  <si>
    <t>Lillian _1120C_46-5624403</t>
  </si>
  <si>
    <t>Lillian Real Estate Investment</t>
  </si>
  <si>
    <t>MAI LY P_1120C_27-0161378</t>
  </si>
  <si>
    <t>MAI LY PHAN GP, LLC</t>
  </si>
  <si>
    <t>Nina Kel_1120C_46-4759434</t>
  </si>
  <si>
    <t>Nina Kelley Designs, Inc.</t>
  </si>
  <si>
    <t>Othram I_1120C_83-1835867</t>
  </si>
  <si>
    <t>Othram Inc</t>
  </si>
  <si>
    <t>Press Pa_1120C_47-4375901</t>
  </si>
  <si>
    <t>Press Parts Minnesota, Inc.</t>
  </si>
  <si>
    <t>Pro Qual_1120C_75-2675997</t>
  </si>
  <si>
    <t>Pro Quality, LLC</t>
  </si>
  <si>
    <t>Signs an_1120C_26-1908731</t>
  </si>
  <si>
    <t>Signs and Banners Inc.</t>
  </si>
  <si>
    <t>The Styl_1120C_47-4393993</t>
  </si>
  <si>
    <t>The Style Club</t>
  </si>
  <si>
    <t>Tiffany _1120C_46-4522791</t>
  </si>
  <si>
    <t>Tiffany Designs, Inc.</t>
  </si>
  <si>
    <t>Timeless_1120C_27-0263722</t>
  </si>
  <si>
    <t>Timeless Life, Inc.</t>
  </si>
  <si>
    <t>Laney, I_1120C_37-1795193</t>
  </si>
  <si>
    <t>Laney, Inc.</t>
  </si>
  <si>
    <t>Sealoc T_1120C_81-4524962</t>
  </si>
  <si>
    <t>Sealoc Texas, Inc.</t>
  </si>
  <si>
    <t>Gai Ly E_1120C_26-1431987</t>
  </si>
  <si>
    <t>Gai Ly Enterprises, Inc.</t>
  </si>
  <si>
    <t>Advanced_1120S_65-0143176</t>
  </si>
  <si>
    <t>Advanced Total Systems, Inc.</t>
  </si>
  <si>
    <t>AHDesign_1120S_47-1237847</t>
  </si>
  <si>
    <t>AHDesign Studios, Inc</t>
  </si>
  <si>
    <t>Alexcel,_1120S_16-1726674</t>
  </si>
  <si>
    <t>Alexcel, Inc.</t>
  </si>
  <si>
    <t>Andrew T_1120S_65-0875761</t>
  </si>
  <si>
    <t>Andrew Tarr PA</t>
  </si>
  <si>
    <t>Azul Est_1120S_26-3435244</t>
  </si>
  <si>
    <t>Azul Estrella Inc.</t>
  </si>
  <si>
    <t>BDU Ente_1120S_82-2643945</t>
  </si>
  <si>
    <t>BDU Enterprises LLC</t>
  </si>
  <si>
    <t>Beau Bec_1120S_47-1904930</t>
  </si>
  <si>
    <t>Beau Beck Industries, LLC</t>
  </si>
  <si>
    <t>Bernard _1120S_80-0728971</t>
  </si>
  <si>
    <t>Bernard J Gotway, PHD, PC</t>
  </si>
  <si>
    <t>Bingmed _1120S_27-2089283</t>
  </si>
  <si>
    <t>Bingmed LLC</t>
  </si>
  <si>
    <t>CBS Floo_1120S_47-1516291</t>
  </si>
  <si>
    <t>CBS Floors, LLC</t>
  </si>
  <si>
    <t>Dallas P_1120S_20-5603642</t>
  </si>
  <si>
    <t>Dallas Parkway Medical Clinic</t>
  </si>
  <si>
    <t>Daphne F_1120S_47-4941458</t>
  </si>
  <si>
    <t>Daphne Fatter, Ph.D., PLLC</t>
  </si>
  <si>
    <t>Elho Des_1120S_45-3802350</t>
  </si>
  <si>
    <t>Elho Design LLC</t>
  </si>
  <si>
    <t>ER Contr_1120S_46-1662149</t>
  </si>
  <si>
    <t>ER Contract Services, LLC</t>
  </si>
  <si>
    <t>Excellen_1120S_46-1992917</t>
  </si>
  <si>
    <t>Excellence Ecological Services LLC</t>
  </si>
  <si>
    <t>Glendaly_1120S_81-1588682</t>
  </si>
  <si>
    <t>Glendaly Fernandez PLLC</t>
  </si>
  <si>
    <t>HWY 380 _1120S_75-2684003</t>
  </si>
  <si>
    <t>HWY 380 Pawn, Incorporated</t>
  </si>
  <si>
    <t>IHH Inc _1120S_75-2633248</t>
  </si>
  <si>
    <t>IHH Inc (DBA Universal Capital</t>
  </si>
  <si>
    <t>K Todryk_1120S_81-4541139</t>
  </si>
  <si>
    <t>K Todryk &amp; Associates</t>
  </si>
  <si>
    <t>Law Offi_1120S_47-3782782</t>
  </si>
  <si>
    <t>Law Offices of Marc Tecce</t>
  </si>
  <si>
    <t>Leader T_1120S_46-2968883</t>
  </si>
  <si>
    <t>Leader Transmission and</t>
  </si>
  <si>
    <t>Legacy T_1120S_65-0884502</t>
  </si>
  <si>
    <t>Legacy Title Services Inc.</t>
  </si>
  <si>
    <t>M Todryk_1120S_81-0818267</t>
  </si>
  <si>
    <t>M Todryk LLC</t>
  </si>
  <si>
    <t>Marcopol_1120S_47-3552084</t>
  </si>
  <si>
    <t>Marcopolos Enterprises, LLC</t>
  </si>
  <si>
    <t>Medallio_1120S_45-4397024</t>
  </si>
  <si>
    <t>Medallion Financial, Inc.</t>
  </si>
  <si>
    <t>Nii Amaa_1120S_47-4503615</t>
  </si>
  <si>
    <t>Nii Amaa Ollennu Firm, PLLC</t>
  </si>
  <si>
    <t>Norris F_1120S_82-4217648</t>
  </si>
  <si>
    <t>Norris Family Law, PLLC</t>
  </si>
  <si>
    <t>P and C _1120S_82-1732927</t>
  </si>
  <si>
    <t>P and C Amaya Enterprises, LLC</t>
  </si>
  <si>
    <t>Reliance_1120S_45-5343870</t>
  </si>
  <si>
    <t>Reliance Mgmt &amp; Consulting, LLC</t>
  </si>
  <si>
    <t>Rioja In_1120S_Applied For</t>
  </si>
  <si>
    <t>Rioja Investment Properties GP, Inc</t>
  </si>
  <si>
    <t>Ryan Odo_1120S_46-2016220</t>
  </si>
  <si>
    <t>Ryan Odowd Photography LLC</t>
  </si>
  <si>
    <t>Sky Wood_1120S_82-5107879</t>
  </si>
  <si>
    <t>Sky Wood Working, LLC</t>
  </si>
  <si>
    <t>Team Off_1120S_81-1460119</t>
  </si>
  <si>
    <t>Team Offseason Productions, LLC</t>
  </si>
  <si>
    <t>Tiny Mon_1120S_81-2927226</t>
  </si>
  <si>
    <t>Tiny Mono, LLC</t>
  </si>
  <si>
    <t>Tricore _1120S_46-4757122</t>
  </si>
  <si>
    <t>Tricore Services, Inc.</t>
  </si>
  <si>
    <t>Trotter _1120S_42-1736184</t>
  </si>
  <si>
    <t>Trotter Insurance Group</t>
  </si>
  <si>
    <t>W5 Inves_1120S_20-1733363</t>
  </si>
  <si>
    <t>W5 Investments</t>
  </si>
  <si>
    <t>Weinbach_1120S_81-2918852</t>
  </si>
  <si>
    <t>Weinbach Enterprises, LLC</t>
  </si>
  <si>
    <t>Blue Dia_1120S_81-1496063</t>
  </si>
  <si>
    <t>Blue Diamond Consulting Group</t>
  </si>
  <si>
    <t>Computin_1120S_75-2671738</t>
  </si>
  <si>
    <t>Computing Plus Inc</t>
  </si>
  <si>
    <t>First Te_1120S_83-2791581</t>
  </si>
  <si>
    <t>First Texas Roofing LLC</t>
  </si>
  <si>
    <t>James Je_1120S_82-2587236</t>
  </si>
  <si>
    <t>James Jenkins Agency</t>
  </si>
  <si>
    <t>Mckam El_1120S_38-3909636</t>
  </si>
  <si>
    <t>Mckam Electric</t>
  </si>
  <si>
    <t>McKee &amp; _1120S_75-2574153</t>
  </si>
  <si>
    <t>McKee &amp; Associates (American</t>
  </si>
  <si>
    <t>Pilot Pr_1120S_45-4420471</t>
  </si>
  <si>
    <t>Pilot Processing DBA Next Level</t>
  </si>
  <si>
    <t>PMP Movi_1120S_82-2872894</t>
  </si>
  <si>
    <t>PMP Moving Corp.</t>
  </si>
  <si>
    <t>Process _1120S_47-4931647</t>
  </si>
  <si>
    <t>Process Service Culture LLC</t>
  </si>
  <si>
    <t>Stephen _1120S_45-5525672</t>
  </si>
  <si>
    <t>Stephen Kyle Callaway, CPA LLC</t>
  </si>
  <si>
    <t>Stonebri_1120S_46-1730328</t>
  </si>
  <si>
    <t>Stonebridge Financial Group, LLC</t>
  </si>
  <si>
    <t>Sure Sho_1120S_26-2708308</t>
  </si>
  <si>
    <t>Sure Shot Media &amp; Marketing, LLC</t>
  </si>
  <si>
    <t>The Coss_1120S_81-3287987</t>
  </si>
  <si>
    <t>The Cossio CPA Firm, PLLC</t>
  </si>
  <si>
    <t>Websmith_1120S_27-2601782</t>
  </si>
  <si>
    <t>Websmith LLC</t>
  </si>
  <si>
    <t>10Factor_1065_83-1973146</t>
  </si>
  <si>
    <t>10Factory, LLC</t>
  </si>
  <si>
    <t>Arroyo R_1065_82-5504175</t>
  </si>
  <si>
    <t>Arroyo Royalties, LLC</t>
  </si>
  <si>
    <t>Ashby To_1065_81-4685942</t>
  </si>
  <si>
    <t>Ashby Townhomes, LLC</t>
  </si>
  <si>
    <t>B&amp;R Hold_1065_82-1096560</t>
  </si>
  <si>
    <t>B&amp;R Holding</t>
  </si>
  <si>
    <t>Blubeta _1065_81-2869574</t>
  </si>
  <si>
    <t>Blubeta Holdings, LLC</t>
  </si>
  <si>
    <t>Cardinal_1065_81-4626892</t>
  </si>
  <si>
    <t>Cardinal Indemnity Group, LLC</t>
  </si>
  <si>
    <t>Chaco Re_1065_75-3099951</t>
  </si>
  <si>
    <t>Chaco Resources Partners LP</t>
  </si>
  <si>
    <t>Cheung-L_1065_26-3223698</t>
  </si>
  <si>
    <t>Cheung-Loon, LLC</t>
  </si>
  <si>
    <t>Church S_1065_82-1767231</t>
  </si>
  <si>
    <t>Church Street Professional</t>
  </si>
  <si>
    <t>Classifi_1065_47-3029336</t>
  </si>
  <si>
    <t>Classified Nutrition, LLC</t>
  </si>
  <si>
    <t>Cocktail_1065_47-5640356</t>
  </si>
  <si>
    <t>Cocktail Cartel Co, LLC</t>
  </si>
  <si>
    <t>Combat F_1065_37-1775051</t>
  </si>
  <si>
    <t>Combat Flip Flops, LLC</t>
  </si>
  <si>
    <t>Dayco Ho_1065_45-2553595</t>
  </si>
  <si>
    <t>Dayco Holdings, LP</t>
  </si>
  <si>
    <t>Diamond _1065_47-2158116</t>
  </si>
  <si>
    <t>Diamond CC Holding, LLC</t>
  </si>
  <si>
    <t>Gai Phan_1065_90-0483982</t>
  </si>
  <si>
    <t>Gai Phan Family Partners, LP</t>
  </si>
  <si>
    <t>Grimes I_1065_80-0651308</t>
  </si>
  <si>
    <t>Grimes Insurance Group, LLC</t>
  </si>
  <si>
    <t>Hampy Br_1065_47-4542441</t>
  </si>
  <si>
    <t>Hampy Brookshire Land Services LLC</t>
  </si>
  <si>
    <t>Horizon _1065_20-5237939</t>
  </si>
  <si>
    <t>Horizon Pest &amp; Termite, LTD</t>
  </si>
  <si>
    <t>HT Tech _1065_47-1437504</t>
  </si>
  <si>
    <t>HT Tech Marketing, LLC</t>
  </si>
  <si>
    <t>Juicy Bo_1065_46-3696239</t>
  </si>
  <si>
    <t>Juicy Bottoms, LLC</t>
  </si>
  <si>
    <t>Kasnetz _1065_75-2651423</t>
  </si>
  <si>
    <t>Kasnetz Properties, LLC</t>
  </si>
  <si>
    <t>MD Imagi_1065_81-5154859</t>
  </si>
  <si>
    <t>MD Imagine, LLC</t>
  </si>
  <si>
    <t>Milk Sno_1065_47-5048628</t>
  </si>
  <si>
    <t>Milk Snob LLC</t>
  </si>
  <si>
    <t>Mimi's S_1065_47-4400698</t>
  </si>
  <si>
    <t>Mimi's Sweet Treats, LLC</t>
  </si>
  <si>
    <t>NAQ Ente_1065_83-1440696</t>
  </si>
  <si>
    <t>NAQ Enterprises, LLC</t>
  </si>
  <si>
    <t>Plano Al_1065_47-1633874</t>
  </si>
  <si>
    <t>Plano All Star Auto Clinic</t>
  </si>
  <si>
    <t>Prosser _1065_46-3196579</t>
  </si>
  <si>
    <t>Prosser Service &amp; Technology, LLC</t>
  </si>
  <si>
    <t>RHK Insu_1065_46-5057096</t>
  </si>
  <si>
    <t>RHK Insurance Group LLC DBA</t>
  </si>
  <si>
    <t>Rioja In_1065_81-0780058</t>
  </si>
  <si>
    <t>Rioja Investment Properties, LTD</t>
  </si>
  <si>
    <t>Rival La_1065_45-1487823</t>
  </si>
  <si>
    <t>Rival Labs, LLC</t>
  </si>
  <si>
    <t>Second P_1065_32-0319718</t>
  </si>
  <si>
    <t>Second Phoenix Growth Fund, LTD</t>
  </si>
  <si>
    <t>Twin Cre_1065_82-0844183</t>
  </si>
  <si>
    <t>Twin Creek Resources, LLC</t>
  </si>
  <si>
    <t>Adaptive_1065_81-3569674</t>
  </si>
  <si>
    <t>Adaptive Nutrition</t>
  </si>
  <si>
    <t>IC Group_1065_36-4898405</t>
  </si>
  <si>
    <t>IC Group, LP</t>
  </si>
  <si>
    <t>Metal Ma_1065_82-2114650</t>
  </si>
  <si>
    <t>Metal Mate</t>
  </si>
  <si>
    <t>NHE Adva_1065_83-3977398</t>
  </si>
  <si>
    <t>NHE Advance, LLC</t>
  </si>
  <si>
    <t>Providen_1065_81-3417178</t>
  </si>
  <si>
    <t>Providence Hillcrest, LLC</t>
  </si>
  <si>
    <t>Therapie_1065_83-1182497</t>
  </si>
  <si>
    <t>Therapieces, LLC</t>
  </si>
  <si>
    <t>TSI Buck_1065_82-4380605</t>
  </si>
  <si>
    <t>TSI Buckner Basketball LLC</t>
  </si>
  <si>
    <t>Windsor _1065_27-2287706</t>
  </si>
  <si>
    <t>Windsor Iron and Metal, LLC</t>
  </si>
  <si>
    <t>Convergi_1065_81-3001658</t>
  </si>
  <si>
    <t>Converging Insights LLC</t>
  </si>
  <si>
    <t>Bates In_1065_81-3270377</t>
  </si>
  <si>
    <t>Bates Investment Group LLC</t>
  </si>
  <si>
    <t>Alexan_7405</t>
  </si>
  <si>
    <t>Alexander, David</t>
  </si>
  <si>
    <t>Allen,_7017</t>
  </si>
  <si>
    <t>Allen, Julee</t>
  </si>
  <si>
    <t>Allfor_8610</t>
  </si>
  <si>
    <t>Allford, Rick Jr.</t>
  </si>
  <si>
    <t>Allfor_1325</t>
  </si>
  <si>
    <t>Allford, Ricky R</t>
  </si>
  <si>
    <t>Ameron_5966</t>
  </si>
  <si>
    <t>Amerongen, Jeff</t>
  </si>
  <si>
    <t>Amidi,_4713</t>
  </si>
  <si>
    <t>Amidi, Joe</t>
  </si>
  <si>
    <t>Aporte_0491</t>
  </si>
  <si>
    <t>Aportela, Ricardo &amp; Xiomara</t>
  </si>
  <si>
    <t>Arring_1529</t>
  </si>
  <si>
    <t>Arrington, Larry C &amp; Brenda D</t>
  </si>
  <si>
    <t>Galind_7388</t>
  </si>
  <si>
    <t>Galindo, Carlos X &amp; Kimberly R</t>
  </si>
  <si>
    <t>Barrer_5530</t>
  </si>
  <si>
    <t>Barrera, Elvis R. (JR)</t>
  </si>
  <si>
    <t>Barrer_9370</t>
  </si>
  <si>
    <t>Barrera, Elvis R &amp; Marcelina M</t>
  </si>
  <si>
    <t>Barton_4783</t>
  </si>
  <si>
    <t>Barton, Nanette J.</t>
  </si>
  <si>
    <t>Barton_6416</t>
  </si>
  <si>
    <t>Barton, Trent</t>
  </si>
  <si>
    <t>Bass, _8746</t>
  </si>
  <si>
    <t>Bass, Chris</t>
  </si>
  <si>
    <t>Bean, _2903</t>
  </si>
  <si>
    <t>Bean, Clint</t>
  </si>
  <si>
    <t>Bearde_5676</t>
  </si>
  <si>
    <t>Bearden, Travis</t>
  </si>
  <si>
    <t>Beck, _8274</t>
  </si>
  <si>
    <t>Beck, Harrison J. &amp; Rachel M.</t>
  </si>
  <si>
    <t>Becket_5012</t>
  </si>
  <si>
    <t>Beckett, Matthew</t>
  </si>
  <si>
    <t>Bell, _6338</t>
  </si>
  <si>
    <t>Bell, Harlon &amp; Pansey</t>
  </si>
  <si>
    <t>Bellan_1780</t>
  </si>
  <si>
    <t>Bellan, Rachel</t>
  </si>
  <si>
    <t>Bender_7060</t>
  </si>
  <si>
    <t>Bender, Stephen A &amp; Rachael</t>
  </si>
  <si>
    <t>Bennet_9678</t>
  </si>
  <si>
    <t>Bennett, William B &amp; Tina J</t>
  </si>
  <si>
    <t>Bingha_7691</t>
  </si>
  <si>
    <t>Bingham, William</t>
  </si>
  <si>
    <t>Blanch_7405</t>
  </si>
  <si>
    <t>Blanchard, Taylor</t>
  </si>
  <si>
    <t>Bollap_3215</t>
  </si>
  <si>
    <t>Bollapragada, Rajesh &amp; Gayatri</t>
  </si>
  <si>
    <t>Bragag_6642</t>
  </si>
  <si>
    <t>Bragaglia, Allison</t>
  </si>
  <si>
    <t>Brooks_0321</t>
  </si>
  <si>
    <t>Brooks, Bryana</t>
  </si>
  <si>
    <t>Brumle_8427</t>
  </si>
  <si>
    <t>Brumley, Philip</t>
  </si>
  <si>
    <t>Brunem_1992</t>
  </si>
  <si>
    <t>Bruneman, Steven</t>
  </si>
  <si>
    <t>Burns,_5938</t>
  </si>
  <si>
    <t>Burns, Susan J.</t>
  </si>
  <si>
    <t>Ruiz, _0725</t>
  </si>
  <si>
    <t>Ruiz, Adrian Camacho</t>
  </si>
  <si>
    <t>Camm, _1650</t>
  </si>
  <si>
    <t>Camm, Phil</t>
  </si>
  <si>
    <t>Carel _5278</t>
  </si>
  <si>
    <t>Carel Jr., Edward J.</t>
  </si>
  <si>
    <t>Casada_5354</t>
  </si>
  <si>
    <t>Casada, Christopher &amp; Marla</t>
  </si>
  <si>
    <t>Castil_7260</t>
  </si>
  <si>
    <t>Castilleja, Salvador &amp; Esther</t>
  </si>
  <si>
    <t>Cervan_1922</t>
  </si>
  <si>
    <t>Cervantes, Michael B</t>
  </si>
  <si>
    <t>Chandl_7526</t>
  </si>
  <si>
    <t>Chandler, Marc</t>
  </si>
  <si>
    <t>Chasse_3115</t>
  </si>
  <si>
    <t>Chasse, Jonathan &amp; Ashley</t>
  </si>
  <si>
    <t>Clark,_2476</t>
  </si>
  <si>
    <t>Clark, Charles</t>
  </si>
  <si>
    <t>Clevel_4919</t>
  </si>
  <si>
    <t>Cleveland, Justin D &amp; Ashley G</t>
  </si>
  <si>
    <t>Cline,_3685</t>
  </si>
  <si>
    <t>Cline, Dustin &amp; Glendaly</t>
  </si>
  <si>
    <t>Combs,_9859</t>
  </si>
  <si>
    <t>Combs, Gary</t>
  </si>
  <si>
    <t>Cook, _2866</t>
  </si>
  <si>
    <t>Cook, Blaine</t>
  </si>
  <si>
    <t>Crawfo_1798</t>
  </si>
  <si>
    <t>Crawford, Jesse</t>
  </si>
  <si>
    <t>Crispi_8705</t>
  </si>
  <si>
    <t>Crispino, Vincenzo &amp; Lorena</t>
  </si>
  <si>
    <t>Crowso_2014</t>
  </si>
  <si>
    <t>Crowson, Luke</t>
  </si>
  <si>
    <t>Cummin_3828</t>
  </si>
  <si>
    <t>Cummings, Andrew C &amp; Jan N</t>
  </si>
  <si>
    <t>Dandeb_8962</t>
  </si>
  <si>
    <t>Dandeboyina, Nagaraj</t>
  </si>
  <si>
    <t>Darton_9027</t>
  </si>
  <si>
    <t>Darton, Eddie</t>
  </si>
  <si>
    <t>Davis,_5991</t>
  </si>
  <si>
    <t>Davis, Bryan</t>
  </si>
  <si>
    <t>Davies_5359</t>
  </si>
  <si>
    <t>Davies, Holli</t>
  </si>
  <si>
    <t>Day, K_4946</t>
  </si>
  <si>
    <t>Day, Kevin</t>
  </si>
  <si>
    <t>De Los_6025</t>
  </si>
  <si>
    <t>De Los Santos, Jesse</t>
  </si>
  <si>
    <t>Demarc_9744</t>
  </si>
  <si>
    <t>Demarco, John M. &amp; Michelle K.</t>
  </si>
  <si>
    <t>Dewey,_4863</t>
  </si>
  <si>
    <t>Dewey, Michael P &amp; Jillian B</t>
  </si>
  <si>
    <t>Dickso_1275</t>
  </si>
  <si>
    <t>Dickson, Colby</t>
  </si>
  <si>
    <t>Dierks_5723</t>
  </si>
  <si>
    <t>Dierks, David</t>
  </si>
  <si>
    <t>Dong, _5063</t>
  </si>
  <si>
    <t>Dong, Jonathan</t>
  </si>
  <si>
    <t>Dong, _4206</t>
  </si>
  <si>
    <t>Dong, Tiffany</t>
  </si>
  <si>
    <t>Dunn, _7084</t>
  </si>
  <si>
    <t>Dunn, Eric &amp; Desiree</t>
  </si>
  <si>
    <t>Dunn, _2360</t>
  </si>
  <si>
    <t>Dunn, Kalinda</t>
  </si>
  <si>
    <t>Dutton_1434</t>
  </si>
  <si>
    <t>Dutton Donald</t>
  </si>
  <si>
    <t>Edmond_1824</t>
  </si>
  <si>
    <t>Edmondson, Kenneth S &amp; Judith</t>
  </si>
  <si>
    <t>Elkind_5028</t>
  </si>
  <si>
    <t>Elkind, Stephen</t>
  </si>
  <si>
    <t>Elliot_6388</t>
  </si>
  <si>
    <t>Elliot, Rebecca Elgin</t>
  </si>
  <si>
    <t>Espino_5685</t>
  </si>
  <si>
    <t>Espinosa, Juan P &amp; Amber</t>
  </si>
  <si>
    <t>Evans,_8447</t>
  </si>
  <si>
    <t>Evans, Josh</t>
  </si>
  <si>
    <t>Vexler_4703</t>
  </si>
  <si>
    <t>Vexler, Phyllis (Sue)</t>
  </si>
  <si>
    <t>Fellma_1826</t>
  </si>
  <si>
    <t>Fellman, Cameran</t>
  </si>
  <si>
    <t>Fellma_2152</t>
  </si>
  <si>
    <t>Fellman, Hayden</t>
  </si>
  <si>
    <t>Fellma_9631</t>
  </si>
  <si>
    <t>Fellman, Tess</t>
  </si>
  <si>
    <t>Fergus_9171</t>
  </si>
  <si>
    <t>Ferguson, Patrick J &amp; Stacey R</t>
  </si>
  <si>
    <t>Forshe_8870</t>
  </si>
  <si>
    <t>Forshee, Jessica</t>
  </si>
  <si>
    <t>Fowler_0076</t>
  </si>
  <si>
    <t>Fowler, Dennis</t>
  </si>
  <si>
    <t>Franke_0666</t>
  </si>
  <si>
    <t>Frankel, Adam</t>
  </si>
  <si>
    <t>Gaddy,_4187</t>
  </si>
  <si>
    <t>Gaddy, David K</t>
  </si>
  <si>
    <t>Garret_9512</t>
  </si>
  <si>
    <t>Garrett, Herman "David"</t>
  </si>
  <si>
    <t>Genes,_8896</t>
  </si>
  <si>
    <t>Genes, Matthew</t>
  </si>
  <si>
    <t>Gentil_7637</t>
  </si>
  <si>
    <t>Gentiles, David A &amp; Emily</t>
  </si>
  <si>
    <t>Gestne_3249</t>
  </si>
  <si>
    <t>Gestner, Annemarie</t>
  </si>
  <si>
    <t>Godi, _3386</t>
  </si>
  <si>
    <t>Godi, Patricia &amp; Kenneth</t>
  </si>
  <si>
    <t>Godoy,_6032</t>
  </si>
  <si>
    <t>Godoy, Nicholas &amp; Beatriz</t>
  </si>
  <si>
    <t>Goldsc_7981</t>
  </si>
  <si>
    <t>Goldschmeding, Jeremy J. &amp; Frances C.</t>
  </si>
  <si>
    <t>Gonzal_7619</t>
  </si>
  <si>
    <t>Gonzales, (Marcelino) Nino</t>
  </si>
  <si>
    <t>Gotell_9622</t>
  </si>
  <si>
    <t>Gotell, Kerrie</t>
  </si>
  <si>
    <t>Gotway_3451</t>
  </si>
  <si>
    <t>Gotway, Bernard J &amp; Susan</t>
  </si>
  <si>
    <t>Graham_6929</t>
  </si>
  <si>
    <t>Graham, Corey</t>
  </si>
  <si>
    <t>Grimes_6749</t>
  </si>
  <si>
    <t>Grimes, William B &amp; Rachel C</t>
  </si>
  <si>
    <t>Hainge_1613</t>
  </si>
  <si>
    <t>Hainge, Adam</t>
  </si>
  <si>
    <t>Hall, _7683</t>
  </si>
  <si>
    <t>Hall, Anthony</t>
  </si>
  <si>
    <t>Hampy,_3657</t>
  </si>
  <si>
    <t>Hampy, Chris</t>
  </si>
  <si>
    <t>Hargro_0611</t>
  </si>
  <si>
    <t>Hargrove, Diana S.</t>
  </si>
  <si>
    <t>Harris_3564</t>
  </si>
  <si>
    <t>Harris, Brent</t>
  </si>
  <si>
    <t>Hathaw_8759</t>
  </si>
  <si>
    <t>Hathaway, Chris</t>
  </si>
  <si>
    <t>Havill_7112</t>
  </si>
  <si>
    <t>Haville, Mark</t>
  </si>
  <si>
    <t>Hicks _4343</t>
  </si>
  <si>
    <t>Hicks JR, Edward S</t>
  </si>
  <si>
    <t>Hilbun_3211</t>
  </si>
  <si>
    <t>Hilbun, Steve</t>
  </si>
  <si>
    <t>Holman_3268</t>
  </si>
  <si>
    <t>Holman, Jo. A.</t>
  </si>
  <si>
    <t>Housto_0151</t>
  </si>
  <si>
    <t>Houston, Jeffrey R.</t>
  </si>
  <si>
    <t>Howard_6215</t>
  </si>
  <si>
    <t>Howard, Chase</t>
  </si>
  <si>
    <t>Hoyos,_6380</t>
  </si>
  <si>
    <t>Hoyos, Adriana</t>
  </si>
  <si>
    <t>Hubbar_0252</t>
  </si>
  <si>
    <t>Hubbard, Eric</t>
  </si>
  <si>
    <t>Hudgen_1171</t>
  </si>
  <si>
    <t>Hudgens, Karl</t>
  </si>
  <si>
    <t>Hudgin_9436</t>
  </si>
  <si>
    <t>Hudgins, David</t>
  </si>
  <si>
    <t>Hursma_9337</t>
  </si>
  <si>
    <t>Hursman, Aaron</t>
  </si>
  <si>
    <t>Johans_7165</t>
  </si>
  <si>
    <t>Johns,_0119</t>
  </si>
  <si>
    <t>Johns, Tiffany</t>
  </si>
  <si>
    <t>Johnso_3512</t>
  </si>
  <si>
    <t>Johnson, Julian</t>
  </si>
  <si>
    <t>Johnso_1516</t>
  </si>
  <si>
    <t>Johnson, Luke M &amp; Sheena M</t>
  </si>
  <si>
    <t>Jones,_4434</t>
  </si>
  <si>
    <t>Jones, Channa</t>
  </si>
  <si>
    <t>Kamine_0009</t>
  </si>
  <si>
    <t>Kamineni, Indraneel &amp; Sireesha</t>
  </si>
  <si>
    <t>Keene,_0695</t>
  </si>
  <si>
    <t>Keene, Brian</t>
  </si>
  <si>
    <t>Kelley_2525</t>
  </si>
  <si>
    <t>Kelley, Kevin M &amp; Nina D</t>
  </si>
  <si>
    <t>Khamno_1106</t>
  </si>
  <si>
    <t>Khamnouane, Saengmeuang &amp; Inkham</t>
  </si>
  <si>
    <t>Khamno_6428</t>
  </si>
  <si>
    <t>Khamnouane, Zhang</t>
  </si>
  <si>
    <t>Khan, _3276</t>
  </si>
  <si>
    <t>Khan, Abdul B &amp; Saadia</t>
  </si>
  <si>
    <t>King, _0794</t>
  </si>
  <si>
    <t>King, Thomas</t>
  </si>
  <si>
    <t>Kirkma_0093</t>
  </si>
  <si>
    <t>Kirkman, Travis</t>
  </si>
  <si>
    <t>Klotz,_8522</t>
  </si>
  <si>
    <t>Klotz, Jennifer</t>
  </si>
  <si>
    <t>Krawie_5281</t>
  </si>
  <si>
    <t>Krawiec, Cherie</t>
  </si>
  <si>
    <t>Kyle, _8840</t>
  </si>
  <si>
    <t>Kyle, Jeffrey G &amp; Amy E</t>
  </si>
  <si>
    <t>Lacy, _8190</t>
  </si>
  <si>
    <t>Lacy, Georgine M</t>
  </si>
  <si>
    <t>Langdo_8027</t>
  </si>
  <si>
    <t>Langdon, Randal</t>
  </si>
  <si>
    <t>Lashle_4041</t>
  </si>
  <si>
    <t>Lashlee, Amy N. &amp; Justin D.</t>
  </si>
  <si>
    <t>Lea, J_5206</t>
  </si>
  <si>
    <t>Lea, James</t>
  </si>
  <si>
    <t>Ledbet_8884</t>
  </si>
  <si>
    <t>Ledbetter, Brad</t>
  </si>
  <si>
    <t>Dougla_9722</t>
  </si>
  <si>
    <t>Douglas, Danielle</t>
  </si>
  <si>
    <t>Less, _2001</t>
  </si>
  <si>
    <t>Less, Ryan</t>
  </si>
  <si>
    <t>Lewall_8613</t>
  </si>
  <si>
    <t>Lewallen, Jeffrey B &amp; Natalia E</t>
  </si>
  <si>
    <t>Ling, _8897</t>
  </si>
  <si>
    <t>Ling, Jennifer</t>
  </si>
  <si>
    <t>Lockam_7112</t>
  </si>
  <si>
    <t>Lockamy, Chris</t>
  </si>
  <si>
    <t>Lopez,_8670</t>
  </si>
  <si>
    <t>Lopez, Carlos</t>
  </si>
  <si>
    <t>Lopez,_2486</t>
  </si>
  <si>
    <t>Lopez, Juan &amp; Jennifer</t>
  </si>
  <si>
    <t>Machan_1258</t>
  </si>
  <si>
    <t>Machann, Charles</t>
  </si>
  <si>
    <t>Maddox_7532</t>
  </si>
  <si>
    <t>Maddox, Katherine G.</t>
  </si>
  <si>
    <t>Manche_5743</t>
  </si>
  <si>
    <t>Manchester, Sherry K.</t>
  </si>
  <si>
    <t>Manuec_8513</t>
  </si>
  <si>
    <t>Manueco, Antonio</t>
  </si>
  <si>
    <t>Marcop_4857</t>
  </si>
  <si>
    <t>Marcopolos, Alexander N. &amp; Sarah</t>
  </si>
  <si>
    <t>Martin_0071</t>
  </si>
  <si>
    <t>Martinez, Brent J. &amp; Crystal A.</t>
  </si>
  <si>
    <t>Martin_8654</t>
  </si>
  <si>
    <t>Martinez, Daniel B</t>
  </si>
  <si>
    <t>Mcbray_8687</t>
  </si>
  <si>
    <t>Mcbrayer, Charles T &amp; Jennifer</t>
  </si>
  <si>
    <t>Mcfarl_7968</t>
  </si>
  <si>
    <t>Mcfarland, Charles</t>
  </si>
  <si>
    <t>McMull_0573</t>
  </si>
  <si>
    <t>McMullen, Kenneth Britt</t>
  </si>
  <si>
    <t>McPhau_0981</t>
  </si>
  <si>
    <t>McPhaul, Hannah</t>
  </si>
  <si>
    <t>Mevius_9693</t>
  </si>
  <si>
    <t>Mevius, Jason S.</t>
  </si>
  <si>
    <t>Mills,_9130</t>
  </si>
  <si>
    <t>Mills, Jeffrey C.</t>
  </si>
  <si>
    <t>Mills,_8729</t>
  </si>
  <si>
    <t>Mills, Jennifer</t>
  </si>
  <si>
    <t>Mitche_6424</t>
  </si>
  <si>
    <t>Mitchell, Jhevass O &amp; Terrica</t>
  </si>
  <si>
    <t>Mittel_4824</t>
  </si>
  <si>
    <t>Mittelo, Aaron</t>
  </si>
  <si>
    <t>Mittel_1890</t>
  </si>
  <si>
    <t>Mittelo, Jared</t>
  </si>
  <si>
    <t>Monsch_4820</t>
  </si>
  <si>
    <t>Monschke, Marilyn</t>
  </si>
  <si>
    <t>Mooney_8234</t>
  </si>
  <si>
    <t>Mooneyham, Bryan</t>
  </si>
  <si>
    <t>Mounta_9832</t>
  </si>
  <si>
    <t>Mountain, Timothy B &amp; Jennafer</t>
  </si>
  <si>
    <t>Muelle_7636</t>
  </si>
  <si>
    <t>Mueller, Jens &amp; Anette</t>
  </si>
  <si>
    <t>Muniz _4859</t>
  </si>
  <si>
    <t>Muniz Juan</t>
  </si>
  <si>
    <t>Sarala_1871</t>
  </si>
  <si>
    <t>Sarala, Jayasree</t>
  </si>
  <si>
    <t>Nearga_6853</t>
  </si>
  <si>
    <t>Neargarder, Elizabeth</t>
  </si>
  <si>
    <t>Ngo, M_6608</t>
  </si>
  <si>
    <t>Ngo, Minh Trang T</t>
  </si>
  <si>
    <t>Nguyen_8982</t>
  </si>
  <si>
    <t>Nguyen, Raymond</t>
  </si>
  <si>
    <t>Nguyen_3145</t>
  </si>
  <si>
    <t>Nguyen, (Tuan) Quoctuan &amp; Ngoc</t>
  </si>
  <si>
    <t>Nguyen_7401</t>
  </si>
  <si>
    <t>Nguyen, VY</t>
  </si>
  <si>
    <t>Nguyen_0593</t>
  </si>
  <si>
    <t>Nguyen, VY Anh Hoang</t>
  </si>
  <si>
    <t>Norris_6939</t>
  </si>
  <si>
    <t>Norris, Christopher B. &amp; Mindi K.</t>
  </si>
  <si>
    <t>Norton_5754</t>
  </si>
  <si>
    <t>Norton, Susan</t>
  </si>
  <si>
    <t>O'Brie_2724</t>
  </si>
  <si>
    <t>O'Brien, Molly M &amp; Justin</t>
  </si>
  <si>
    <t>O'Dowd_3736</t>
  </si>
  <si>
    <t>O'Dowd, Ryan &amp; Laura</t>
  </si>
  <si>
    <t>Ollenn_8867</t>
  </si>
  <si>
    <t>Ollennu, Nii A.</t>
  </si>
  <si>
    <t>O'Neil_2136</t>
  </si>
  <si>
    <t>O'Neil, Ryan</t>
  </si>
  <si>
    <t>Orsak,_2804</t>
  </si>
  <si>
    <t>Orsak, Brett</t>
  </si>
  <si>
    <t>Patron_7905</t>
  </si>
  <si>
    <t>Patron, Peter</t>
  </si>
  <si>
    <t>Patton_0395</t>
  </si>
  <si>
    <t>Patton, Gary W</t>
  </si>
  <si>
    <t>Pearso_9780</t>
  </si>
  <si>
    <t>Pearson, Christian F &amp; Alexand</t>
  </si>
  <si>
    <t>Pelham_9710</t>
  </si>
  <si>
    <t>Pelham, Dono &amp; Angelia</t>
  </si>
  <si>
    <t>Pena, _9834</t>
  </si>
  <si>
    <t>Pena, Anthony D &amp; Katie J</t>
  </si>
  <si>
    <t>Perez,_6846</t>
  </si>
  <si>
    <t>Perez, Claudia Andira</t>
  </si>
  <si>
    <t>Perez,_6922</t>
  </si>
  <si>
    <t>Perez, Eduardo J.</t>
  </si>
  <si>
    <t>Peters_5272</t>
  </si>
  <si>
    <t>Peterson, Yumei &amp; Ives</t>
  </si>
  <si>
    <t>Petty,_4540</t>
  </si>
  <si>
    <t>Petty, Roy</t>
  </si>
  <si>
    <t>Pfeil,_9232</t>
  </si>
  <si>
    <t>Pfeil, Thomas C.</t>
  </si>
  <si>
    <t>Phan, _3115</t>
  </si>
  <si>
    <t>Phan, Gai Ly</t>
  </si>
  <si>
    <t>Phelps_9929</t>
  </si>
  <si>
    <t>Phelps, David J. &amp; Kacie L.</t>
  </si>
  <si>
    <t>Picon _3067</t>
  </si>
  <si>
    <t>Picon Delgado, Manuel E.</t>
  </si>
  <si>
    <t>Platuk_6726</t>
  </si>
  <si>
    <t>Platukas, Justin &amp; Wendy</t>
  </si>
  <si>
    <t>Polste_8315</t>
  </si>
  <si>
    <t>Polster, Matt</t>
  </si>
  <si>
    <t>Prosse_1876</t>
  </si>
  <si>
    <t>Prosser, Nikalus</t>
  </si>
  <si>
    <t>Pujazo_8100</t>
  </si>
  <si>
    <t>Pujazon, Paul M.</t>
  </si>
  <si>
    <t>Randol_4142</t>
  </si>
  <si>
    <t>Randol, Jeff</t>
  </si>
  <si>
    <t>Rawlin_9437</t>
  </si>
  <si>
    <t>Rawlins, Brian</t>
  </si>
  <si>
    <t>Ray, C_0646</t>
  </si>
  <si>
    <t>Ray, Chad</t>
  </si>
  <si>
    <t>Reed, _0813</t>
  </si>
  <si>
    <t>Reed, Adam T. &amp; Joni G.</t>
  </si>
  <si>
    <t>Reiser_0840</t>
  </si>
  <si>
    <t>Reiser, Cole</t>
  </si>
  <si>
    <t>Rement_7088</t>
  </si>
  <si>
    <t>Rementeria, Tomas &amp; Melissa</t>
  </si>
  <si>
    <t>Corbin_9170</t>
  </si>
  <si>
    <t>Corbin Dowell Ringley</t>
  </si>
  <si>
    <t>Rioja,_9984</t>
  </si>
  <si>
    <t>Rioja, Eric</t>
  </si>
  <si>
    <t>Jenkin_7386</t>
  </si>
  <si>
    <t>Jenkins, James</t>
  </si>
  <si>
    <t>Jennin_9368</t>
  </si>
  <si>
    <t>Jennings, Erica</t>
  </si>
  <si>
    <t>Johnso_1496</t>
  </si>
  <si>
    <t>Johnson, Maxwell</t>
  </si>
  <si>
    <t>Jones,_0252</t>
  </si>
  <si>
    <t>Jones, Keitric</t>
  </si>
  <si>
    <t>Jordan_3082</t>
  </si>
  <si>
    <t>Jordan, Joseph</t>
  </si>
  <si>
    <t>Key, J_5448</t>
  </si>
  <si>
    <t>Key, Justin &amp; Brittany</t>
  </si>
  <si>
    <t>Khamno_3881</t>
  </si>
  <si>
    <t>Khamnouane, Amphone</t>
  </si>
  <si>
    <t>King, _2401</t>
  </si>
  <si>
    <t>King, Leslie</t>
  </si>
  <si>
    <t>Kirker_5512</t>
  </si>
  <si>
    <t>Kirker, Mark &amp; Carrie</t>
  </si>
  <si>
    <t>Kriz, _5656</t>
  </si>
  <si>
    <t>Kriz, Douglas &amp; Meredith</t>
  </si>
  <si>
    <t>Leidy,_8869</t>
  </si>
  <si>
    <t>Leidy, Dave</t>
  </si>
  <si>
    <t>Leite,_0163</t>
  </si>
  <si>
    <t>Leite, Joseph</t>
  </si>
  <si>
    <t>Like, _4064</t>
  </si>
  <si>
    <t>Like, James</t>
  </si>
  <si>
    <t>Madan,_1439</t>
  </si>
  <si>
    <t>Madan, Teresa</t>
  </si>
  <si>
    <t>Mahon,_5652</t>
  </si>
  <si>
    <t>Mahon, Kirk</t>
  </si>
  <si>
    <t>Malone_9535</t>
  </si>
  <si>
    <t>Maloney, Douglas &amp; Kimberly</t>
  </si>
  <si>
    <t>Mancus_1130</t>
  </si>
  <si>
    <t>Mancuso, Barry</t>
  </si>
  <si>
    <t>Manuel_8347</t>
  </si>
  <si>
    <t>Manuel, Joshua R. &amp; Jessica L.</t>
  </si>
  <si>
    <t>Marr, _3472</t>
  </si>
  <si>
    <t>Marr, Chad</t>
  </si>
  <si>
    <t>McCabe_5803</t>
  </si>
  <si>
    <t>McCabe, Erin</t>
  </si>
  <si>
    <t>McKee,_7250</t>
  </si>
  <si>
    <t>McKee, William L. &amp; Dwana L.</t>
  </si>
  <si>
    <t>Miazga_9494</t>
  </si>
  <si>
    <t>Miazga, Chris P. &amp; Tracy N.</t>
  </si>
  <si>
    <t>Nguyen_1580</t>
  </si>
  <si>
    <t>Nguyen, Kenneth</t>
  </si>
  <si>
    <t>Nguyen_8776</t>
  </si>
  <si>
    <t>Nguyen, Tin Tin</t>
  </si>
  <si>
    <t>Nichol_0775</t>
  </si>
  <si>
    <t>Nicholson, Tyler M.</t>
  </si>
  <si>
    <t>Odom, _4880</t>
  </si>
  <si>
    <t>Odom, Parke &amp; Ellison G.</t>
  </si>
  <si>
    <t>Patton_9282</t>
  </si>
  <si>
    <t>Patton, Charles &amp; Julie</t>
  </si>
  <si>
    <t>Porter_3364</t>
  </si>
  <si>
    <t>Porter, Edward A &amp; Dianna</t>
  </si>
  <si>
    <t>Prows,_7750</t>
  </si>
  <si>
    <t>Prows, Chris</t>
  </si>
  <si>
    <t>Prows,_5083</t>
  </si>
  <si>
    <t>Prows, Joseph H</t>
  </si>
  <si>
    <t>Ramsay_9674</t>
  </si>
  <si>
    <t>Ramsay, Jared</t>
  </si>
  <si>
    <t>Redmon_0864</t>
  </si>
  <si>
    <t>Redmon, Mandi</t>
  </si>
  <si>
    <t>Robert_6795</t>
  </si>
  <si>
    <t>Roberts, (Ralph) R</t>
  </si>
  <si>
    <t>Robert_5820</t>
  </si>
  <si>
    <t>Robertson, Carl A</t>
  </si>
  <si>
    <t>Rodrig_6732</t>
  </si>
  <si>
    <t>Rodriguez, Abel &amp; Melinda L</t>
  </si>
  <si>
    <t>Rosa, _1109</t>
  </si>
  <si>
    <t>Rosa, Luciana</t>
  </si>
  <si>
    <t>Salim,_0336</t>
  </si>
  <si>
    <t>Salim, Nasim</t>
  </si>
  <si>
    <t>Shraim_3214</t>
  </si>
  <si>
    <t>Shraim, Adam</t>
  </si>
  <si>
    <t>Sinno, T_1040_2182</t>
  </si>
  <si>
    <t>Sinno, Tarek J &amp; Lauren N</t>
  </si>
  <si>
    <t>Smith,_8727</t>
  </si>
  <si>
    <t>Smith, Josh</t>
  </si>
  <si>
    <t>Smith,_7874</t>
  </si>
  <si>
    <t>Smith, Robert R. &amp; Ann B.</t>
  </si>
  <si>
    <t>Smith,_9664</t>
  </si>
  <si>
    <t>Smith, Ryan B &amp; Jayme A</t>
  </si>
  <si>
    <t>Smith,_1519</t>
  </si>
  <si>
    <t>Smith, Tracey</t>
  </si>
  <si>
    <t>Solis,_8425</t>
  </si>
  <si>
    <t>Solis, Roque</t>
  </si>
  <si>
    <t>Somarr_1985</t>
  </si>
  <si>
    <t>Somarriba, Noel &amp; Heather</t>
  </si>
  <si>
    <t>Sorrel_9706</t>
  </si>
  <si>
    <t>Sorrell, Sharon</t>
  </si>
  <si>
    <t>Sulliv_5883</t>
  </si>
  <si>
    <t>Sullivan, Diane E.</t>
  </si>
  <si>
    <t>Sulliv_2663</t>
  </si>
  <si>
    <t>Sullivan, Tina M</t>
  </si>
  <si>
    <t>Tevis,_7428</t>
  </si>
  <si>
    <t>Tevis, Matthew A &amp; Lauren J</t>
  </si>
  <si>
    <t>Ullman_3167</t>
  </si>
  <si>
    <t>Ullmann, Noah</t>
  </si>
  <si>
    <t>Ungare_7452</t>
  </si>
  <si>
    <t>Ungarean, Nate</t>
  </si>
  <si>
    <t>Urbina_1335</t>
  </si>
  <si>
    <t>Urbina, Miguel &amp; Caritina</t>
  </si>
  <si>
    <t>Vokey,_0110</t>
  </si>
  <si>
    <t>Vokey, Colby &amp; Cynthia</t>
  </si>
  <si>
    <t>Wagner_0661</t>
  </si>
  <si>
    <t>Wagner, Richard</t>
  </si>
  <si>
    <t>Waldin_9700</t>
  </si>
  <si>
    <t>Walding, John W</t>
  </si>
  <si>
    <t>Waltha_1804</t>
  </si>
  <si>
    <t>Walthall, Chris</t>
  </si>
  <si>
    <t>York, _7472</t>
  </si>
  <si>
    <t>York, David</t>
  </si>
  <si>
    <t>Gresse_0544</t>
  </si>
  <si>
    <t>Gressett, Lindsey E &amp; Leigh M</t>
  </si>
  <si>
    <t>Cantre_2871</t>
  </si>
  <si>
    <t>Cantrell, Aaron</t>
  </si>
  <si>
    <t>Stone,_0198</t>
  </si>
  <si>
    <t>Stone, Rhett</t>
  </si>
  <si>
    <t>Vepanj_8762</t>
  </si>
  <si>
    <t>Vepanjeri Muruga, Ravindranath</t>
  </si>
  <si>
    <t>Brothe_7662</t>
  </si>
  <si>
    <t>Brothers, Jack S.</t>
  </si>
  <si>
    <t>Degen _8821</t>
  </si>
  <si>
    <t>Degen Gerald</t>
  </si>
  <si>
    <t>Wiley,_5166</t>
  </si>
  <si>
    <t>Wiley, Melyssa</t>
  </si>
  <si>
    <t>Eisel,_8581</t>
  </si>
  <si>
    <t>Eisel, Brian</t>
  </si>
  <si>
    <t>Feiro,_8877</t>
  </si>
  <si>
    <t>Feiro, Brian &amp; Katherine</t>
  </si>
  <si>
    <t>Le, Ph_2980</t>
  </si>
  <si>
    <t>Le, Phuong</t>
  </si>
  <si>
    <t>Kasnet_1715</t>
  </si>
  <si>
    <t>Kasnetz, Andrew</t>
  </si>
  <si>
    <t>Malone_2867</t>
  </si>
  <si>
    <t>Maloney, Colton</t>
  </si>
  <si>
    <t>Preves_7290</t>
  </si>
  <si>
    <t>Prevest, Brian</t>
  </si>
  <si>
    <t>Bogue,_9368</t>
  </si>
  <si>
    <t>Bogue, Nathan A</t>
  </si>
  <si>
    <t>Nichol_8559</t>
  </si>
  <si>
    <t>Nicholson, Katie</t>
  </si>
  <si>
    <t>Worth,_3549</t>
  </si>
  <si>
    <t>Worth, Dana</t>
  </si>
  <si>
    <t>Centin_6533</t>
  </si>
  <si>
    <t>Centineo, Chris</t>
  </si>
  <si>
    <t>Robbin_3002</t>
  </si>
  <si>
    <t>Robbins, Caleb</t>
  </si>
  <si>
    <t>Monkey M_1065_45-2581939</t>
  </si>
  <si>
    <t>Monkey Mat, LLC</t>
  </si>
  <si>
    <t>Cole, _0066</t>
  </si>
  <si>
    <t>Cole, Jennifer</t>
  </si>
  <si>
    <t>Griswo_3431</t>
  </si>
  <si>
    <t>Griswold, Donald</t>
  </si>
  <si>
    <t>Old Scho_1120S_45-4136512</t>
  </si>
  <si>
    <t>Old School Pool Service LLC</t>
  </si>
  <si>
    <t>The Neig_1120S_82-1363173</t>
  </si>
  <si>
    <t>The Neighborhood Reach, LLC</t>
  </si>
  <si>
    <t>Alexan_9436</t>
  </si>
  <si>
    <t>Alexander, Thomas</t>
  </si>
  <si>
    <t>Pollar_2178</t>
  </si>
  <si>
    <t>Pollard (Allen), Angel</t>
  </si>
  <si>
    <t>Aquatect_1120S_26-4034326</t>
  </si>
  <si>
    <t>Aquatecture Design Group, LLC</t>
  </si>
  <si>
    <t>Gladne_1</t>
  </si>
  <si>
    <t>Gladney, Melissa</t>
  </si>
  <si>
    <t>Callaw_9857</t>
  </si>
  <si>
    <t>Callaway, Stephen K &amp; Sharayah R</t>
  </si>
  <si>
    <t>Woodruff_7231_1111</t>
  </si>
  <si>
    <t>Woodruff, John</t>
  </si>
  <si>
    <t>Polny,_1</t>
  </si>
  <si>
    <t>Polny, Ryan</t>
  </si>
  <si>
    <t>Shafi,_3968</t>
  </si>
  <si>
    <t>Shafi, Fazil</t>
  </si>
  <si>
    <t>Daphne_2763</t>
  </si>
  <si>
    <t>Daphne Fatter</t>
  </si>
  <si>
    <t>Pipeline_1120S_84-1912359</t>
  </si>
  <si>
    <t>Pipeline Consulting, LLC</t>
  </si>
  <si>
    <t>Techmen _1040_82-4964287</t>
  </si>
  <si>
    <t>Techmen USA, LLC</t>
  </si>
  <si>
    <t>Paradigm_1120S_20-0828718</t>
  </si>
  <si>
    <t>Paradigm Design &amp; Construction LLC</t>
  </si>
  <si>
    <t>IC Venue_TX-FTR_36-4898405</t>
  </si>
  <si>
    <t>IC Venues, LLC</t>
  </si>
  <si>
    <t>Lisa A_9734</t>
  </si>
  <si>
    <t>Lisa Allford</t>
  </si>
  <si>
    <t>Genesis _1040_1</t>
  </si>
  <si>
    <t>Genesis Abatement and Demolition, LLC</t>
  </si>
  <si>
    <t>DYC Comm_TX-FTR_1</t>
  </si>
  <si>
    <t>DYC Commercial Services, LLC</t>
  </si>
  <si>
    <t>Trinity _1040_1</t>
  </si>
  <si>
    <t>Trinity Oaks Tyler, LLC</t>
  </si>
  <si>
    <t>I Relax,_1040_1</t>
  </si>
  <si>
    <t>I Relax, LLC</t>
  </si>
  <si>
    <t>Tac7 USA_TX-FTR_1</t>
  </si>
  <si>
    <t>Tac7 USA LLC</t>
  </si>
  <si>
    <t>Kovis Ve_TX-FTR_1</t>
  </si>
  <si>
    <t>Kovis Ventures LLC</t>
  </si>
  <si>
    <t>JKC Tyle_1040_83-1870298</t>
  </si>
  <si>
    <t>JKC Tyler Holdings, LLC</t>
  </si>
  <si>
    <t>AG Ventu_1120S_83-3623762</t>
  </si>
  <si>
    <t>AG Ventures, LLC</t>
  </si>
  <si>
    <t>Project-_1120S_83-3618760</t>
  </si>
  <si>
    <t>Project-X, LLC</t>
  </si>
  <si>
    <t>Threat_5570</t>
  </si>
  <si>
    <t>Threat, Rhonda E</t>
  </si>
  <si>
    <t>Pittma_2910</t>
  </si>
  <si>
    <t>Pittman, Robert</t>
  </si>
  <si>
    <t>Waddel_0792</t>
  </si>
  <si>
    <t>Waddelow, David</t>
  </si>
  <si>
    <t>Cairn Bu_TX-FTR_1</t>
  </si>
  <si>
    <t>Cairn Business Consulting, LLC</t>
  </si>
  <si>
    <t>Ford, St_1040_1</t>
  </si>
  <si>
    <t>Ford, Steven</t>
  </si>
  <si>
    <t>Watson_0590</t>
  </si>
  <si>
    <t>Watson, Ricky</t>
  </si>
  <si>
    <t>Brock,_1251</t>
  </si>
  <si>
    <t>Brock, Adam</t>
  </si>
  <si>
    <t>Warren_1</t>
  </si>
  <si>
    <t>Warren, Raymond</t>
  </si>
  <si>
    <t>Webb, _0684</t>
  </si>
  <si>
    <t>Webb, Elena</t>
  </si>
  <si>
    <t>String_1075</t>
  </si>
  <si>
    <t>Stringer Trevor &amp; Lauren</t>
  </si>
  <si>
    <t>Darocy_3082</t>
  </si>
  <si>
    <t>Darocy, Judy A</t>
  </si>
  <si>
    <t>Morris_1</t>
  </si>
  <si>
    <t>Morrison, Maxwell</t>
  </si>
  <si>
    <t>Fine and_1120S_1</t>
  </si>
  <si>
    <t>Fine and Well, LLC</t>
  </si>
  <si>
    <t>Saelg,_1</t>
  </si>
  <si>
    <t>Saelg, Carlene</t>
  </si>
  <si>
    <t>Aceved_5086</t>
  </si>
  <si>
    <t>Acevedo, Raul</t>
  </si>
  <si>
    <t>Webste_8796</t>
  </si>
  <si>
    <t>Webster, Robert (Bob)</t>
  </si>
  <si>
    <t>Combs,_1205</t>
  </si>
  <si>
    <t>Combs, John R. (Rusty)</t>
  </si>
  <si>
    <t>Futura L_1120S_01-0722876</t>
  </si>
  <si>
    <t>Futura LLC</t>
  </si>
  <si>
    <t>Yeany,_3044</t>
  </si>
  <si>
    <t>Yeany, Matthew R.</t>
  </si>
  <si>
    <t>990 - Non-Profit</t>
  </si>
  <si>
    <t>Wetter, _6448_6448</t>
  </si>
  <si>
    <t>Wetter, Jeffery</t>
  </si>
  <si>
    <t>P and C _1065_82-1733178</t>
  </si>
  <si>
    <t>P and C Out of the Box, LLC</t>
  </si>
  <si>
    <t>PQPLUS, _1065_81-2736075</t>
  </si>
  <si>
    <t>PQPLUS, LLC</t>
  </si>
  <si>
    <t>Domestic_1065_45-3483170</t>
  </si>
  <si>
    <t>Domestic Investment Surveys LLC</t>
  </si>
  <si>
    <t>Rodrig_1</t>
  </si>
  <si>
    <t>Rodriguez, Saul</t>
  </si>
  <si>
    <t>Zubiet_4797</t>
  </si>
  <si>
    <t>Zubieta, Rosita</t>
  </si>
  <si>
    <t>Olson,_6181</t>
  </si>
  <si>
    <t>Olson, Jeffrey W</t>
  </si>
  <si>
    <t>Green, M_1040_4513</t>
  </si>
  <si>
    <t>Green, Mitch</t>
  </si>
  <si>
    <t>Todryk_5703</t>
  </si>
  <si>
    <t>Todryk, Michael</t>
  </si>
  <si>
    <t>Bose, _1234</t>
  </si>
  <si>
    <t>Bose, Tim</t>
  </si>
  <si>
    <t>Whole Pl_TBD_1234</t>
  </si>
  <si>
    <t>Whole Plant Inc</t>
  </si>
  <si>
    <t>Shore,_5396</t>
  </si>
  <si>
    <t>Shore, Shaun</t>
  </si>
  <si>
    <t>Yabuwi I_TBD_1234</t>
  </si>
  <si>
    <t>Yabuwi Inc</t>
  </si>
  <si>
    <t>Juan Ard_1120S_810837682</t>
  </si>
  <si>
    <t>Juan Ardila Isurance Agency, LLC</t>
  </si>
  <si>
    <t>Chaffi_1070</t>
  </si>
  <si>
    <t>Chaffin, Michael</t>
  </si>
  <si>
    <t>BitFavor_1065_8858</t>
  </si>
  <si>
    <t>BitFavors LLC</t>
  </si>
  <si>
    <t>Athens R_1065_84-4513729</t>
  </si>
  <si>
    <t>Athens Real Estate Investment</t>
  </si>
  <si>
    <t>Stille_1468</t>
  </si>
  <si>
    <t>Stiller, Daniel &amp; Laura</t>
  </si>
  <si>
    <t>Storms_9161</t>
  </si>
  <si>
    <t>Storms, Steven &amp; Phyllis</t>
  </si>
  <si>
    <t>Sheryl_4358</t>
  </si>
  <si>
    <t>Sheryl Webb</t>
  </si>
  <si>
    <t>Sass, _9472</t>
  </si>
  <si>
    <t>Sass, Will</t>
  </si>
  <si>
    <t>Kelby _4359</t>
  </si>
  <si>
    <t>Kelby Washa</t>
  </si>
  <si>
    <t>Washa,_4359</t>
  </si>
  <si>
    <t>Washa, Kelby</t>
  </si>
  <si>
    <t>Rod Ro_2794</t>
  </si>
  <si>
    <t>Rod Rodriguez</t>
  </si>
  <si>
    <t>Razor La_1065_1</t>
  </si>
  <si>
    <t>Razor Land Clearing and Maintenace, LLC</t>
  </si>
  <si>
    <t>TIP Exci_1065_1</t>
  </si>
  <si>
    <t>TIP Excise, LLC</t>
  </si>
  <si>
    <t>Smith,_3034</t>
  </si>
  <si>
    <t>Smith, Gardner</t>
  </si>
  <si>
    <t>P and C _TX-FTR_82-1949135</t>
  </si>
  <si>
    <t>P and C Leverage Your Network, LLC</t>
  </si>
  <si>
    <t>Amaya,_9535</t>
  </si>
  <si>
    <t>Amaya, Pete &amp; Chelsea</t>
  </si>
  <si>
    <t>Integrit_1120S_11-3830498</t>
  </si>
  <si>
    <t>Integrity Appraisers of Texas, LLC</t>
  </si>
  <si>
    <t>Ziesle_1</t>
  </si>
  <si>
    <t>Ziesler, Rodger</t>
  </si>
  <si>
    <t>Truelo_3533</t>
  </si>
  <si>
    <t>Truelove, Beth</t>
  </si>
  <si>
    <t>Kurt H_0064</t>
  </si>
  <si>
    <t>Kurt Hoffman</t>
  </si>
  <si>
    <t>Blair,_3261</t>
  </si>
  <si>
    <t>Blair, Ian B</t>
  </si>
  <si>
    <t>Fitzge_1479</t>
  </si>
  <si>
    <t>Fitzgerald, Douglas S. &amp; Anne M.</t>
  </si>
  <si>
    <t>Teodor_9951</t>
  </si>
  <si>
    <t>Teodorescu, Cristian &amp; Ana-Marie</t>
  </si>
  <si>
    <t>Smith,_6412</t>
  </si>
  <si>
    <t>Smith, Kim</t>
  </si>
  <si>
    <t>Rodger_3005</t>
  </si>
  <si>
    <t>Rodgers, Michael R &amp; Lori G</t>
  </si>
  <si>
    <t>Schroe_0569</t>
  </si>
  <si>
    <t>Schroeder, Thomas &amp; Katherine</t>
  </si>
  <si>
    <t>Vawter_7171</t>
  </si>
  <si>
    <t>Vawter, Michael R. &amp; Ann T.</t>
  </si>
  <si>
    <t>Salas,_4191</t>
  </si>
  <si>
    <t>Salas, Daniel</t>
  </si>
  <si>
    <t>Cuong _1</t>
  </si>
  <si>
    <t>Cuong Nguyen</t>
  </si>
  <si>
    <t>Pizza Am_1065_823222718</t>
  </si>
  <si>
    <t>Pizza Americana LLC</t>
  </si>
  <si>
    <t>Lone Sta_1120C_82-1102834</t>
  </si>
  <si>
    <t>Lone State Larrikins, LLC</t>
  </si>
  <si>
    <t>Phelps P_TX-FTR_1</t>
  </si>
  <si>
    <t>Phelps Pharm, LLC</t>
  </si>
  <si>
    <t>Smiley_1</t>
  </si>
  <si>
    <t>Smiley, Clay</t>
  </si>
  <si>
    <t>Balcar_0015</t>
  </si>
  <si>
    <t>Balcarcel, Melvin</t>
  </si>
  <si>
    <t>Belvin_5668</t>
  </si>
  <si>
    <t>Belvin, Michael</t>
  </si>
  <si>
    <t>Harden_5872</t>
  </si>
  <si>
    <t>Harden, Chavontta</t>
  </si>
  <si>
    <t>Stanto_2832</t>
  </si>
  <si>
    <t>Stanton, Michael</t>
  </si>
  <si>
    <t>Scott _1817</t>
  </si>
  <si>
    <t>Scott Dickson</t>
  </si>
  <si>
    <t>Fordin_1150</t>
  </si>
  <si>
    <t>Fordinal, Michael</t>
  </si>
  <si>
    <t>Perez,_9892</t>
  </si>
  <si>
    <t>Perez, Paul M &amp; Andrea E</t>
  </si>
  <si>
    <t>The Trai_N/A - Church_82-4834733</t>
  </si>
  <si>
    <t>The Trails Church</t>
  </si>
  <si>
    <t>Walsh, K_1040_4986</t>
  </si>
  <si>
    <t>Walsh, Kevin</t>
  </si>
  <si>
    <t>Field,_4734</t>
  </si>
  <si>
    <t>Field, David</t>
  </si>
  <si>
    <t>Bryan,_6541</t>
  </si>
  <si>
    <t>Bryan, Timitha</t>
  </si>
  <si>
    <t>Urune,_2224</t>
  </si>
  <si>
    <t>Urune, Dennis A.</t>
  </si>
  <si>
    <t>Widmer_5020</t>
  </si>
  <si>
    <t>Widmer, Steven</t>
  </si>
  <si>
    <t>Mitche_1</t>
  </si>
  <si>
    <t>Mitchell, Patricia</t>
  </si>
  <si>
    <t>Jaroszuk_1040NR_ITIN</t>
  </si>
  <si>
    <t>Jaroszuk, Tomasz</t>
  </si>
  <si>
    <t>Summer_1916</t>
  </si>
  <si>
    <t>Summers, Sean O. &amp; Nikki M.</t>
  </si>
  <si>
    <t>Tull, _4257</t>
  </si>
  <si>
    <t>Tull, III, Charles S. &amp; Sarah J.</t>
  </si>
  <si>
    <t>Davis,_6870</t>
  </si>
  <si>
    <t>Davis, Nicolas D. &amp; Connie M.</t>
  </si>
  <si>
    <t>Shrews_8099</t>
  </si>
  <si>
    <t>Shrewsbury, Matthew &amp; Fernanda</t>
  </si>
  <si>
    <t>Wible,_6406</t>
  </si>
  <si>
    <t>Wible, Jon</t>
  </si>
  <si>
    <t>Charney _1065_83-3071260</t>
  </si>
  <si>
    <t>Charney Storage, LLC</t>
  </si>
  <si>
    <t>Shore,_7183</t>
  </si>
  <si>
    <t>Shore, Caleb</t>
  </si>
  <si>
    <t>Stewar_6551</t>
  </si>
  <si>
    <t>Stewart, Adam</t>
  </si>
  <si>
    <t>McKinney_1120S_81-4474300</t>
  </si>
  <si>
    <t>McKinney Foundations Counseling,</t>
  </si>
  <si>
    <t>Logos Me_1120S_47-1441547</t>
  </si>
  <si>
    <t>Logos Media, LLC</t>
  </si>
  <si>
    <t>Wood, _1137</t>
  </si>
  <si>
    <t>Wood, Matthew</t>
  </si>
  <si>
    <t>Engagement</t>
  </si>
  <si>
    <t>Recurrance</t>
  </si>
  <si>
    <t>ComplexityValue</t>
  </si>
  <si>
    <t>ComplexityLevel</t>
  </si>
  <si>
    <t>ServiceType</t>
  </si>
  <si>
    <t>NM</t>
  </si>
  <si>
    <t>MO</t>
  </si>
  <si>
    <t/>
  </si>
  <si>
    <t>1065 - Partnership</t>
  </si>
  <si>
    <t>Texas Franchise Tax Return</t>
  </si>
  <si>
    <t>Accounting Services</t>
  </si>
  <si>
    <t>Sales Tax Services</t>
  </si>
  <si>
    <t>1040 - Personal</t>
  </si>
  <si>
    <t>1120S - S Corporation</t>
  </si>
  <si>
    <t>Payroll Services</t>
  </si>
  <si>
    <t>1120 - C Corporation</t>
  </si>
  <si>
    <t>Triple G_NoTax_1.1</t>
  </si>
  <si>
    <t>Grape Up_1120C_47-4475207</t>
  </si>
  <si>
    <t>Abilene _0_75-1306985</t>
  </si>
  <si>
    <t>Tinlyn L_1065_82-0690348</t>
  </si>
  <si>
    <t>Texas Sp_1040_1</t>
  </si>
  <si>
    <t>A</t>
  </si>
  <si>
    <t>Fee Type</t>
  </si>
  <si>
    <t>Standard Fee</t>
  </si>
  <si>
    <t>FeeAdj</t>
  </si>
  <si>
    <t>Adj Type</t>
  </si>
  <si>
    <t>NetTime_Fee</t>
  </si>
  <si>
    <t>Product Status</t>
  </si>
  <si>
    <t>Proposal Notes</t>
  </si>
  <si>
    <t>ANN</t>
  </si>
  <si>
    <t>Mid</t>
  </si>
  <si>
    <t>Adv</t>
  </si>
  <si>
    <t>Basic</t>
  </si>
  <si>
    <t>QTR</t>
  </si>
  <si>
    <t>Nortex_1040_1</t>
  </si>
  <si>
    <t>Patton Electrical_1040_1</t>
  </si>
  <si>
    <t>ProductSimpleName</t>
  </si>
  <si>
    <t>ServiceDetail</t>
  </si>
  <si>
    <t>Client_Product_ID</t>
  </si>
  <si>
    <t>Client_Product_Simple</t>
  </si>
  <si>
    <t>TotalHrs_Est</t>
  </si>
  <si>
    <t>StaffLevel_Req</t>
  </si>
  <si>
    <t>StaffRole_Req</t>
  </si>
  <si>
    <t>Tax</t>
  </si>
  <si>
    <t>Accountant</t>
  </si>
  <si>
    <t>Staff_Req</t>
  </si>
  <si>
    <t>Rev_Req</t>
  </si>
  <si>
    <t>Sign_Req</t>
  </si>
  <si>
    <t>ProposalDate</t>
  </si>
  <si>
    <t>ProposalID</t>
  </si>
  <si>
    <t>Tax Services</t>
  </si>
  <si>
    <t>StaffHrs_Est_Complexity</t>
  </si>
  <si>
    <t>ReviewHrs_Est_Complexity</t>
  </si>
  <si>
    <t>SignHrs_Est_Complexity</t>
  </si>
  <si>
    <t>StaffHrs_Est_Quote</t>
  </si>
  <si>
    <t>ReviewHrs_Est_Quote</t>
  </si>
  <si>
    <t>SignHrs_Est_Quote</t>
  </si>
  <si>
    <t>TotalHrs_Quote</t>
  </si>
  <si>
    <t>Time_FeeEst</t>
  </si>
  <si>
    <t>HardCost_Fixed</t>
  </si>
  <si>
    <t>HardCost_Var</t>
  </si>
  <si>
    <t>HardCost_Total</t>
  </si>
  <si>
    <t>Total_Invoice</t>
  </si>
  <si>
    <t>Johanson, Erik A. &amp; Janette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</si>
</sst>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2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kcadvisors.sharepoint.com/sites/CKCShareptDev/Shared%20Documents/ProposalQuote_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CKC ID</v>
          </cell>
          <cell r="I1" t="str">
            <v>ProductSimpleName</v>
          </cell>
          <cell r="L1" t="str">
            <v>MO</v>
          </cell>
        </row>
        <row r="2">
          <cell r="C2" t="str">
            <v>Ritch Ro_1120S_82-2378935</v>
          </cell>
          <cell r="I2" t="str">
            <v>MO Accounting Services</v>
          </cell>
          <cell r="L2">
            <v>2.5</v>
          </cell>
        </row>
        <row r="3">
          <cell r="C3" t="str">
            <v>Ritch Ro_1120S_82-2378935</v>
          </cell>
          <cell r="I3" t="str">
            <v>MO Accounting Services</v>
          </cell>
          <cell r="L3">
            <v>2</v>
          </cell>
        </row>
        <row r="4">
          <cell r="C4" t="str">
            <v>Ritch Ro_1120S_82-2378935</v>
          </cell>
          <cell r="I4" t="str">
            <v>MO Accounting Services</v>
          </cell>
          <cell r="L4">
            <v>1</v>
          </cell>
        </row>
        <row r="5">
          <cell r="C5" t="str">
            <v>Ritch Ro_1120S_82-2378935</v>
          </cell>
          <cell r="I5" t="str">
            <v xml:space="preserve">MO </v>
          </cell>
          <cell r="L5">
            <v>1</v>
          </cell>
        </row>
        <row r="6">
          <cell r="C6" t="str">
            <v>Ritch Ro_1120S_82-2378935</v>
          </cell>
          <cell r="I6" t="str">
            <v>MO 1120S - S Corporation</v>
          </cell>
        </row>
        <row r="7">
          <cell r="C7" t="str">
            <v>Ritch Ro_1120S_82-2378935</v>
          </cell>
          <cell r="I7" t="str">
            <v xml:space="preserve">MO </v>
          </cell>
        </row>
        <row r="8">
          <cell r="C8" t="str">
            <v>Ritch Ro_1120S_82-2378935</v>
          </cell>
          <cell r="I8" t="str">
            <v xml:space="preserve">MO </v>
          </cell>
        </row>
        <row r="9">
          <cell r="C9" t="str">
            <v>Ritch Ro_1120S_82-2378935</v>
          </cell>
          <cell r="I9" t="str">
            <v>MO 1120S - S Corporation</v>
          </cell>
        </row>
        <row r="10">
          <cell r="C10" t="str">
            <v>Ritch Ro_1120S_82-2378935</v>
          </cell>
          <cell r="I10" t="str">
            <v>MO 1120S - S Corporation</v>
          </cell>
        </row>
        <row r="11">
          <cell r="C11" t="str">
            <v>Ritch Ro_1120S_82-2378935</v>
          </cell>
          <cell r="I11" t="str">
            <v xml:space="preserve">MO </v>
          </cell>
        </row>
        <row r="12">
          <cell r="C12" t="str">
            <v>Ritch Ro_1120S_82-2378935</v>
          </cell>
          <cell r="I12" t="str">
            <v xml:space="preserve">MO </v>
          </cell>
        </row>
        <row r="13">
          <cell r="C13" t="str">
            <v>Ritch Ro_1120S_82-2378935</v>
          </cell>
          <cell r="I13" t="str">
            <v xml:space="preserve">MO </v>
          </cell>
        </row>
        <row r="14">
          <cell r="C14" t="str">
            <v>Ritch Ro_1120S_82-2378935</v>
          </cell>
          <cell r="I14" t="str">
            <v xml:space="preserve">MO </v>
          </cell>
        </row>
        <row r="15">
          <cell r="C15" t="str">
            <v>Grace Co_990_27-0533151</v>
          </cell>
          <cell r="I15" t="str">
            <v>MO Accounting Services</v>
          </cell>
          <cell r="L15">
            <v>5</v>
          </cell>
        </row>
        <row r="16">
          <cell r="C16" t="str">
            <v>Grace Co_990_27-0533151</v>
          </cell>
          <cell r="I16" t="str">
            <v>MO Accounting Services</v>
          </cell>
          <cell r="L16">
            <v>1</v>
          </cell>
        </row>
        <row r="17">
          <cell r="C17" t="str">
            <v>Grace Co_990_27-0533151</v>
          </cell>
          <cell r="I17" t="str">
            <v xml:space="preserve">MO </v>
          </cell>
          <cell r="L17">
            <v>1</v>
          </cell>
        </row>
        <row r="18">
          <cell r="C18" t="str">
            <v>Grace Co_990_27-0533151</v>
          </cell>
          <cell r="I18" t="str">
            <v>MO 990 - Non-Profit</v>
          </cell>
        </row>
        <row r="19">
          <cell r="C19" t="str">
            <v>Grace Co_990_27-0533151</v>
          </cell>
          <cell r="I19" t="str">
            <v xml:space="preserve">MO </v>
          </cell>
        </row>
        <row r="20">
          <cell r="C20" t="str">
            <v>Grace Co_990_27-0533151</v>
          </cell>
          <cell r="I20" t="str">
            <v>MO Accounting Services</v>
          </cell>
        </row>
        <row r="21">
          <cell r="C21" t="str">
            <v>Grace Co_990_27-0533151</v>
          </cell>
          <cell r="I21" t="str">
            <v xml:space="preserve">MO </v>
          </cell>
        </row>
        <row r="22">
          <cell r="C22" t="str">
            <v>Grace Co_990_27-0533151</v>
          </cell>
          <cell r="I22" t="str">
            <v>MO 990 - Non-Profit</v>
          </cell>
        </row>
        <row r="23">
          <cell r="C23" t="str">
            <v>Grace Co_990_27-0533151</v>
          </cell>
          <cell r="I23" t="str">
            <v>MO Accounting Services</v>
          </cell>
        </row>
        <row r="24">
          <cell r="C24" t="str">
            <v>Grace Co_990_27-0533151</v>
          </cell>
          <cell r="I24" t="str">
            <v>MO 990 - Non-Profit</v>
          </cell>
          <cell r="L24" t="str">
            <v>HoursCost = SUMX('TimeHist_2018_Current (2)','TimeHist_2018_Current (2)'[Hours]*LOOKUPVALUE(TOV_StaffRolesRates[CKC_CostRate],Staff_RefTable[StaffEmail],'TimeHist_2018_Current (2)'[StaffEmail]))</v>
          </cell>
        </row>
        <row r="25">
          <cell r="C25" t="str">
            <v>Grace Co_990_27-0533151</v>
          </cell>
          <cell r="I25" t="str">
            <v xml:space="preserve">MO </v>
          </cell>
        </row>
        <row r="26">
          <cell r="C26" t="str">
            <v>Grace Co_990_27-0533151</v>
          </cell>
          <cell r="I26" t="str">
            <v xml:space="preserve">MO </v>
          </cell>
        </row>
        <row r="27">
          <cell r="C27" t="str">
            <v>K&amp;J Smal_1065_81-3546614</v>
          </cell>
          <cell r="I27" t="str">
            <v>MO Accounting Services</v>
          </cell>
          <cell r="L27">
            <v>3</v>
          </cell>
        </row>
        <row r="28">
          <cell r="C28" t="str">
            <v>K&amp;J Smal_1065_81-3546614</v>
          </cell>
          <cell r="I28" t="str">
            <v>MO Accounting Services</v>
          </cell>
          <cell r="L28">
            <v>1</v>
          </cell>
        </row>
        <row r="29">
          <cell r="C29" t="str">
            <v>K&amp;J Smal_1065_81-3546614</v>
          </cell>
          <cell r="I29" t="str">
            <v>MO Accounting Services</v>
          </cell>
        </row>
        <row r="30">
          <cell r="C30" t="str">
            <v>K&amp;J Smal_1065_81-3546614</v>
          </cell>
          <cell r="I30" t="str">
            <v>MO Accounting Services</v>
          </cell>
        </row>
        <row r="31">
          <cell r="C31" t="str">
            <v>K&amp;J Smal_1065_81-3546614</v>
          </cell>
          <cell r="I31" t="str">
            <v>MO Tax Estimate</v>
          </cell>
        </row>
        <row r="32">
          <cell r="C32" t="str">
            <v>K&amp;J Smal_1065_81-3546614</v>
          </cell>
          <cell r="I32" t="str">
            <v xml:space="preserve">MO </v>
          </cell>
        </row>
        <row r="33">
          <cell r="C33" t="str">
            <v>K&amp;J Smal_1065_81-3546614</v>
          </cell>
          <cell r="I33" t="str">
            <v xml:space="preserve">MO </v>
          </cell>
        </row>
        <row r="34">
          <cell r="C34" t="str">
            <v>K&amp;J Smal_1065_81-3546614</v>
          </cell>
          <cell r="I34" t="str">
            <v>MO Accounting Services</v>
          </cell>
        </row>
        <row r="35">
          <cell r="C35" t="str">
            <v>K&amp;J Smal_1065_81-3546614</v>
          </cell>
          <cell r="I35" t="str">
            <v xml:space="preserve">MO </v>
          </cell>
        </row>
        <row r="36">
          <cell r="C36" t="str">
            <v>K&amp;J Smal_1065_81-3546614</v>
          </cell>
          <cell r="I36" t="str">
            <v xml:space="preserve">MO </v>
          </cell>
        </row>
        <row r="37">
          <cell r="C37" t="str">
            <v>Landmark_1120S_83-0457076</v>
          </cell>
          <cell r="I37" t="str">
            <v>MO Accounting Services</v>
          </cell>
          <cell r="L37">
            <v>4</v>
          </cell>
        </row>
        <row r="38">
          <cell r="C38" t="str">
            <v>Landmark_1120S_83-0457076</v>
          </cell>
          <cell r="I38" t="str">
            <v>MO Accounting Services</v>
          </cell>
          <cell r="L38">
            <v>1</v>
          </cell>
        </row>
        <row r="39">
          <cell r="C39" t="str">
            <v>Landmark_1120S_83-0457076</v>
          </cell>
          <cell r="I39" t="str">
            <v>MO 1120S - S Corporation</v>
          </cell>
        </row>
        <row r="40">
          <cell r="C40" t="str">
            <v>Landmark_1120S_83-0457076</v>
          </cell>
          <cell r="I40" t="str">
            <v xml:space="preserve">MO </v>
          </cell>
        </row>
        <row r="41">
          <cell r="C41" t="str">
            <v>Landmark_1120S_83-0457076</v>
          </cell>
          <cell r="I41" t="str">
            <v>MO Accounting Services</v>
          </cell>
        </row>
        <row r="42">
          <cell r="C42" t="str">
            <v>Landmark_1120S_83-0457076</v>
          </cell>
          <cell r="I42" t="str">
            <v>MO 1120S - S Corporation</v>
          </cell>
        </row>
        <row r="43">
          <cell r="C43" t="str">
            <v>Landmark_1120S_83-0457076</v>
          </cell>
          <cell r="I43" t="str">
            <v>MO Accounting Services</v>
          </cell>
        </row>
        <row r="44">
          <cell r="C44" t="str">
            <v>Landmark_1120S_83-0457076</v>
          </cell>
          <cell r="I44" t="str">
            <v>MO 1120S - S Corporation</v>
          </cell>
        </row>
        <row r="45">
          <cell r="C45" t="str">
            <v>Landmark_1120S_83-0457076</v>
          </cell>
          <cell r="I45" t="str">
            <v xml:space="preserve">MO </v>
          </cell>
        </row>
        <row r="46">
          <cell r="C46" t="str">
            <v>Landmark_1120S_83-0457076</v>
          </cell>
          <cell r="I46" t="str">
            <v xml:space="preserve">MO </v>
          </cell>
        </row>
        <row r="47">
          <cell r="C47" t="str">
            <v>Noah's P_1120S_46-0562548</v>
          </cell>
          <cell r="I47" t="str">
            <v>MO Accounting Services</v>
          </cell>
          <cell r="L47">
            <v>3.5</v>
          </cell>
        </row>
        <row r="48">
          <cell r="C48" t="str">
            <v>Noah's P_1120S_46-0562548</v>
          </cell>
          <cell r="I48" t="str">
            <v>MO Accounting Services</v>
          </cell>
          <cell r="L48">
            <v>0.5</v>
          </cell>
        </row>
        <row r="49">
          <cell r="C49" t="str">
            <v>Noah's P_1120S_46-0562548</v>
          </cell>
          <cell r="I49" t="str">
            <v>MO Accounting Services</v>
          </cell>
          <cell r="L49">
            <v>2</v>
          </cell>
        </row>
        <row r="50">
          <cell r="C50" t="str">
            <v>Noah's P_1120S_46-0562548</v>
          </cell>
          <cell r="I50" t="str">
            <v>MO Accounting Services</v>
          </cell>
          <cell r="L50">
            <v>0.5</v>
          </cell>
        </row>
        <row r="51">
          <cell r="C51" t="str">
            <v>Noah's P_1120S_46-0562548</v>
          </cell>
          <cell r="I51" t="str">
            <v>MO Accounting Services</v>
          </cell>
          <cell r="L51">
            <v>1</v>
          </cell>
        </row>
        <row r="52">
          <cell r="C52" t="str">
            <v>Noah's P_1120S_46-0562548</v>
          </cell>
          <cell r="I52" t="str">
            <v>MO 1120S - S Corporation</v>
          </cell>
        </row>
        <row r="53">
          <cell r="C53" t="str">
            <v>Noah's P_1120S_46-0562548</v>
          </cell>
          <cell r="I53" t="str">
            <v xml:space="preserve">MO </v>
          </cell>
        </row>
        <row r="54">
          <cell r="C54" t="str">
            <v>Noah's P_1120S_46-0562548</v>
          </cell>
          <cell r="I54" t="str">
            <v>MO Accounting Services</v>
          </cell>
        </row>
        <row r="55">
          <cell r="C55" t="str">
            <v>Noah's P_1120S_46-0562548</v>
          </cell>
          <cell r="I55" t="str">
            <v>MO 1120S - S Corporation</v>
          </cell>
        </row>
        <row r="56">
          <cell r="C56" t="str">
            <v>Noah's P_1120S_46-0562548</v>
          </cell>
          <cell r="I56" t="str">
            <v>MO 1120S - S Corporation</v>
          </cell>
        </row>
        <row r="57">
          <cell r="C57" t="str">
            <v>Noah's P_1120S_46-0562548</v>
          </cell>
          <cell r="I57" t="str">
            <v>MO Accounting Services</v>
          </cell>
        </row>
        <row r="58">
          <cell r="C58" t="str">
            <v>Noah's P_1120S_46-0562548</v>
          </cell>
          <cell r="I58" t="str">
            <v xml:space="preserve">MO </v>
          </cell>
        </row>
        <row r="59">
          <cell r="C59" t="str">
            <v>Noah's P_1120S_46-0562548</v>
          </cell>
          <cell r="I59" t="str">
            <v xml:space="preserve">MO </v>
          </cell>
        </row>
        <row r="60">
          <cell r="C60" t="str">
            <v>Charney _1120S_45-5144193</v>
          </cell>
          <cell r="I60" t="str">
            <v>MO Accounting Services</v>
          </cell>
          <cell r="L60">
            <v>3</v>
          </cell>
        </row>
        <row r="61">
          <cell r="C61" t="str">
            <v>Charney _1120S_45-5144193</v>
          </cell>
          <cell r="I61" t="str">
            <v>MO 1120S - S Corporation</v>
          </cell>
        </row>
        <row r="62">
          <cell r="C62" t="str">
            <v>Charney _1120S_45-5144193</v>
          </cell>
          <cell r="I62" t="str">
            <v>MO 1120S - S Corporation</v>
          </cell>
        </row>
        <row r="63">
          <cell r="C63" t="str">
            <v>Charney _1120S_45-5144193</v>
          </cell>
          <cell r="I63" t="str">
            <v>MO 1120S - S Corporation</v>
          </cell>
        </row>
        <row r="64">
          <cell r="C64" t="str">
            <v>Charney _1120S_45-5144193</v>
          </cell>
          <cell r="I64" t="str">
            <v>MO 1120S - S Corporation</v>
          </cell>
        </row>
        <row r="65">
          <cell r="C65" t="str">
            <v>Charney _1120S_45-5144193</v>
          </cell>
          <cell r="I65" t="str">
            <v xml:space="preserve">MO </v>
          </cell>
        </row>
        <row r="66">
          <cell r="C66" t="str">
            <v>Charney _1120S_45-5144193</v>
          </cell>
          <cell r="I66" t="str">
            <v xml:space="preserve">MO </v>
          </cell>
        </row>
        <row r="67">
          <cell r="C67" t="str">
            <v>Daniel K_1120S_1</v>
          </cell>
          <cell r="I67" t="str">
            <v>MO Accounting Services</v>
          </cell>
          <cell r="L67">
            <v>3</v>
          </cell>
        </row>
        <row r="68">
          <cell r="C68" t="str">
            <v>Daniel K_1120S_1</v>
          </cell>
          <cell r="I68" t="str">
            <v>MO Accounting Services</v>
          </cell>
          <cell r="L68">
            <v>1.5</v>
          </cell>
        </row>
        <row r="69">
          <cell r="C69" t="str">
            <v>Daniel K_1120S_1</v>
          </cell>
          <cell r="I69" t="str">
            <v>MO 1120S - S Corporation</v>
          </cell>
        </row>
        <row r="70">
          <cell r="C70" t="str">
            <v>Daniel K_1120S_1</v>
          </cell>
          <cell r="I70" t="str">
            <v xml:space="preserve">MO </v>
          </cell>
        </row>
        <row r="71">
          <cell r="C71" t="str">
            <v>Daniel K_1120S_1</v>
          </cell>
          <cell r="I71" t="str">
            <v>MO 1120S - S Corporation</v>
          </cell>
        </row>
        <row r="72">
          <cell r="C72" t="str">
            <v>Daniel K_1120S_1</v>
          </cell>
          <cell r="I72" t="str">
            <v>MO 1120S - S Corporation</v>
          </cell>
        </row>
        <row r="73">
          <cell r="C73" t="str">
            <v>Daniel K_1120S_1</v>
          </cell>
          <cell r="I73" t="str">
            <v xml:space="preserve">MO </v>
          </cell>
        </row>
        <row r="74">
          <cell r="C74" t="str">
            <v>Daniel K_1120S_1</v>
          </cell>
          <cell r="I74" t="str">
            <v xml:space="preserve">MO </v>
          </cell>
        </row>
        <row r="75">
          <cell r="C75" t="str">
            <v>4F Comme_1065_81-4311941</v>
          </cell>
          <cell r="I75" t="str">
            <v>MO Accounting Services</v>
          </cell>
          <cell r="L75">
            <v>3.5</v>
          </cell>
        </row>
        <row r="76">
          <cell r="C76" t="str">
            <v>4F Comme_1065_81-4311941</v>
          </cell>
          <cell r="I76" t="str">
            <v>MO Accounting Services</v>
          </cell>
          <cell r="L76">
            <v>1.5</v>
          </cell>
        </row>
        <row r="77">
          <cell r="C77" t="str">
            <v>4F Comme_1065_81-4311941</v>
          </cell>
          <cell r="I77" t="str">
            <v xml:space="preserve">MO </v>
          </cell>
          <cell r="L77">
            <v>2</v>
          </cell>
        </row>
        <row r="78">
          <cell r="C78" t="str">
            <v>4F Comme_1065_81-4311941</v>
          </cell>
          <cell r="I78" t="str">
            <v>MO Tax Estimate</v>
          </cell>
        </row>
        <row r="79">
          <cell r="C79" t="str">
            <v>4F Comme_1065_81-4311941</v>
          </cell>
          <cell r="I79" t="str">
            <v xml:space="preserve">MO </v>
          </cell>
        </row>
        <row r="80">
          <cell r="C80" t="str">
            <v>4F Comme_1065_81-4311941</v>
          </cell>
          <cell r="I80" t="str">
            <v xml:space="preserve">MO </v>
          </cell>
        </row>
        <row r="81">
          <cell r="C81" t="str">
            <v>4F Comme_1065_81-4311941</v>
          </cell>
          <cell r="I81" t="str">
            <v>MO Sales Tax Services</v>
          </cell>
        </row>
        <row r="82">
          <cell r="C82" t="str">
            <v>4F Comme_1065_81-4311941</v>
          </cell>
          <cell r="I82" t="str">
            <v xml:space="preserve">MO </v>
          </cell>
        </row>
        <row r="83">
          <cell r="C83" t="str">
            <v>4F Comme_1065_81-4311941</v>
          </cell>
          <cell r="I83" t="str">
            <v xml:space="preserve">MO </v>
          </cell>
        </row>
        <row r="84">
          <cell r="C84" t="str">
            <v>4F Comme_1065_81-4311941</v>
          </cell>
          <cell r="I84" t="str">
            <v xml:space="preserve">MO </v>
          </cell>
        </row>
        <row r="85">
          <cell r="C85" t="str">
            <v>4F Comme_1065_81-4311941</v>
          </cell>
          <cell r="I85" t="str">
            <v xml:space="preserve">MO </v>
          </cell>
        </row>
        <row r="86">
          <cell r="C86" t="str">
            <v>4F Comme_1065_81-4311941</v>
          </cell>
          <cell r="I86" t="str">
            <v xml:space="preserve">MO </v>
          </cell>
        </row>
        <row r="87">
          <cell r="C87" t="str">
            <v>Abilene _0_75-1306985</v>
          </cell>
          <cell r="I87" t="str">
            <v>MO Accounting Services</v>
          </cell>
          <cell r="L87">
            <v>7</v>
          </cell>
        </row>
        <row r="88">
          <cell r="C88" t="str">
            <v>Abilene _0_75-1306985</v>
          </cell>
          <cell r="I88" t="str">
            <v xml:space="preserve">MO </v>
          </cell>
          <cell r="L88">
            <v>2</v>
          </cell>
        </row>
        <row r="89">
          <cell r="C89" t="str">
            <v>Abilene _0_75-1306985</v>
          </cell>
          <cell r="I89" t="str">
            <v>MO Sales Tax Services</v>
          </cell>
          <cell r="L89">
            <v>0</v>
          </cell>
        </row>
        <row r="90">
          <cell r="C90" t="str">
            <v>Abilene _0_75-1306985</v>
          </cell>
          <cell r="I90" t="str">
            <v>MO Tax Estimate</v>
          </cell>
        </row>
        <row r="91">
          <cell r="C91" t="str">
            <v>Abilene _0_75-1306985</v>
          </cell>
          <cell r="I91" t="str">
            <v xml:space="preserve">MO </v>
          </cell>
        </row>
        <row r="92">
          <cell r="C92" t="str">
            <v>Abilene _0_75-1306985</v>
          </cell>
          <cell r="I92" t="str">
            <v>MO Accounting Services</v>
          </cell>
        </row>
        <row r="93">
          <cell r="C93" t="str">
            <v>Abilene _0_75-1306985</v>
          </cell>
          <cell r="I93" t="str">
            <v xml:space="preserve">MO </v>
          </cell>
        </row>
        <row r="94">
          <cell r="C94" t="str">
            <v>Abilene _0_75-1306985</v>
          </cell>
          <cell r="I94" t="str">
            <v xml:space="preserve">MO </v>
          </cell>
        </row>
        <row r="95">
          <cell r="C95" t="str">
            <v>Abilene _0_75-1306985</v>
          </cell>
          <cell r="I95" t="str">
            <v xml:space="preserve">MO </v>
          </cell>
        </row>
        <row r="96">
          <cell r="C96" t="str">
            <v>Abilene _0_75-1306985</v>
          </cell>
          <cell r="I96" t="str">
            <v>MO Accounting Services</v>
          </cell>
        </row>
        <row r="97">
          <cell r="C97" t="str">
            <v>Abilene _0_75-1306985</v>
          </cell>
          <cell r="I97" t="str">
            <v xml:space="preserve">MO </v>
          </cell>
        </row>
        <row r="98">
          <cell r="C98" t="str">
            <v>Abilene _0_75-1306985</v>
          </cell>
          <cell r="I98" t="str">
            <v xml:space="preserve">MO </v>
          </cell>
        </row>
        <row r="99">
          <cell r="C99" t="str">
            <v>Abilene _0_75-1306985</v>
          </cell>
          <cell r="I99" t="str">
            <v xml:space="preserve">MO </v>
          </cell>
        </row>
        <row r="100">
          <cell r="C100" t="str">
            <v>Anabell'_NoTax_0001</v>
          </cell>
          <cell r="I100" t="str">
            <v>MO Accounting Services</v>
          </cell>
          <cell r="L100">
            <v>1</v>
          </cell>
        </row>
        <row r="101">
          <cell r="C101" t="str">
            <v>Anabell'_NoTax_0001</v>
          </cell>
          <cell r="I101" t="str">
            <v xml:space="preserve">MO </v>
          </cell>
          <cell r="L101">
            <v>3</v>
          </cell>
        </row>
        <row r="102">
          <cell r="C102" t="str">
            <v>Anabell'_NoTax_0001</v>
          </cell>
          <cell r="I102" t="str">
            <v>MO Sales Tax Services</v>
          </cell>
          <cell r="L102">
            <v>0</v>
          </cell>
        </row>
        <row r="103">
          <cell r="C103" t="str">
            <v>Anabell'_NoTax_0001</v>
          </cell>
          <cell r="I103" t="str">
            <v>MO Tax Estimate</v>
          </cell>
        </row>
        <row r="104">
          <cell r="C104" t="str">
            <v>Anabell'_NoTax_0001</v>
          </cell>
          <cell r="I104" t="str">
            <v xml:space="preserve">MO </v>
          </cell>
        </row>
        <row r="105">
          <cell r="C105" t="str">
            <v>Anabell'_NoTax_0001</v>
          </cell>
          <cell r="I105" t="str">
            <v>MO Accounting Services</v>
          </cell>
        </row>
        <row r="106">
          <cell r="C106" t="str">
            <v>Anabell'_NoTax_0001</v>
          </cell>
          <cell r="I106" t="str">
            <v xml:space="preserve">MO </v>
          </cell>
        </row>
        <row r="107">
          <cell r="C107" t="str">
            <v>Anabell'_NoTax_0001</v>
          </cell>
          <cell r="I107" t="str">
            <v xml:space="preserve">MO </v>
          </cell>
        </row>
        <row r="108">
          <cell r="C108" t="str">
            <v>Anabell'_NoTax_0001</v>
          </cell>
          <cell r="I108" t="str">
            <v xml:space="preserve">MO </v>
          </cell>
        </row>
        <row r="109">
          <cell r="C109" t="str">
            <v>Anabell'_NoTax_0001</v>
          </cell>
          <cell r="I109" t="str">
            <v>MO Accounting Services</v>
          </cell>
        </row>
        <row r="110">
          <cell r="C110" t="str">
            <v>Anabell'_NoTax_0001</v>
          </cell>
          <cell r="I110" t="str">
            <v xml:space="preserve">MO </v>
          </cell>
        </row>
        <row r="111">
          <cell r="C111" t="str">
            <v>Anabell'_NoTax_0001</v>
          </cell>
          <cell r="I111" t="str">
            <v xml:space="preserve">MO </v>
          </cell>
        </row>
        <row r="112">
          <cell r="C112" t="str">
            <v>Anabell'_NoTax_0001</v>
          </cell>
          <cell r="I112" t="str">
            <v xml:space="preserve">MO </v>
          </cell>
        </row>
        <row r="113">
          <cell r="C113" t="str">
            <v>Anasofia_1040_82-2087037</v>
          </cell>
          <cell r="I113" t="str">
            <v>MO Accounting Services</v>
          </cell>
          <cell r="L113">
            <v>5</v>
          </cell>
        </row>
        <row r="114">
          <cell r="C114" t="str">
            <v>Anasofia_1040_82-2087037</v>
          </cell>
          <cell r="I114" t="str">
            <v>MO Accounting Services</v>
          </cell>
        </row>
        <row r="115">
          <cell r="C115" t="str">
            <v>Anasofia_1040_82-2087037</v>
          </cell>
          <cell r="I115" t="str">
            <v>MO Accounting Services</v>
          </cell>
        </row>
        <row r="116">
          <cell r="C116" t="str">
            <v>Anasofia_1040_82-2087037</v>
          </cell>
          <cell r="I116" t="str">
            <v>MO Tax Estimate</v>
          </cell>
        </row>
        <row r="117">
          <cell r="C117" t="str">
            <v>Anasofia_1040_82-2087037</v>
          </cell>
          <cell r="I117" t="str">
            <v xml:space="preserve">MO </v>
          </cell>
        </row>
        <row r="118">
          <cell r="C118" t="str">
            <v>Anasofia_1040_82-2087037</v>
          </cell>
          <cell r="I118" t="str">
            <v xml:space="preserve">MO </v>
          </cell>
        </row>
        <row r="119">
          <cell r="C119" t="str">
            <v>Anasofia_1040_82-2087037</v>
          </cell>
          <cell r="I119" t="str">
            <v>MO Accounting Services</v>
          </cell>
        </row>
        <row r="120">
          <cell r="C120" t="str">
            <v>Anasofia_1040_82-2087037</v>
          </cell>
          <cell r="I120" t="str">
            <v xml:space="preserve">MO </v>
          </cell>
        </row>
        <row r="121">
          <cell r="C121" t="str">
            <v>Anasofia_1040_82-2087037</v>
          </cell>
          <cell r="I121" t="str">
            <v xml:space="preserve">MO </v>
          </cell>
        </row>
        <row r="122">
          <cell r="C122" t="str">
            <v>Vittatoe_1040_1</v>
          </cell>
          <cell r="I122" t="str">
            <v>MO Accounting Services</v>
          </cell>
          <cell r="L122">
            <v>2.5</v>
          </cell>
        </row>
        <row r="123">
          <cell r="C123" t="str">
            <v>Vittatoe_1040_1</v>
          </cell>
          <cell r="I123" t="str">
            <v xml:space="preserve">MO </v>
          </cell>
        </row>
        <row r="124">
          <cell r="C124" t="str">
            <v>Vittatoe_1040_1</v>
          </cell>
          <cell r="I124" t="str">
            <v xml:space="preserve">MO </v>
          </cell>
        </row>
        <row r="125">
          <cell r="C125" t="str">
            <v>Vittatoe_1040_1</v>
          </cell>
          <cell r="I125" t="str">
            <v xml:space="preserve">MO </v>
          </cell>
        </row>
        <row r="126">
          <cell r="C126" t="str">
            <v>Vittatoe_1040_1</v>
          </cell>
          <cell r="I126" t="str">
            <v xml:space="preserve">MO </v>
          </cell>
        </row>
        <row r="127">
          <cell r="C127" t="str">
            <v>Vittatoe_1040_1</v>
          </cell>
          <cell r="I127" t="str">
            <v>MO Accounting Services</v>
          </cell>
        </row>
        <row r="128">
          <cell r="C128" t="str">
            <v>Vittatoe_1040_1</v>
          </cell>
          <cell r="I128" t="str">
            <v xml:space="preserve">MO </v>
          </cell>
        </row>
        <row r="129">
          <cell r="C129" t="str">
            <v>Vittatoe_1040_1</v>
          </cell>
          <cell r="I129" t="str">
            <v xml:space="preserve">MO </v>
          </cell>
        </row>
        <row r="130">
          <cell r="C130" t="str">
            <v>Vittatoe_1040_1</v>
          </cell>
          <cell r="I130" t="str">
            <v xml:space="preserve">MO </v>
          </cell>
        </row>
        <row r="131">
          <cell r="C131" t="str">
            <v>Card Wav_1120C_30-0891115</v>
          </cell>
          <cell r="I131" t="str">
            <v>MO Accounting Services</v>
          </cell>
          <cell r="L131">
            <v>4</v>
          </cell>
        </row>
        <row r="132">
          <cell r="C132" t="str">
            <v>Card Wav_1120C_30-0891115</v>
          </cell>
          <cell r="I132" t="str">
            <v>MO Accounting Services</v>
          </cell>
          <cell r="L132">
            <v>2</v>
          </cell>
        </row>
        <row r="133">
          <cell r="C133" t="str">
            <v>Card Wav_1120C_30-0891115</v>
          </cell>
          <cell r="I133" t="str">
            <v>MO Accounting Services</v>
          </cell>
          <cell r="L133">
            <v>1</v>
          </cell>
        </row>
        <row r="134">
          <cell r="C134" t="str">
            <v>Card Wav_1120C_30-0891115</v>
          </cell>
          <cell r="I134" t="str">
            <v>MO 1120 - C Corporation</v>
          </cell>
        </row>
        <row r="135">
          <cell r="C135" t="str">
            <v>Card Wav_1120C_30-0891115</v>
          </cell>
          <cell r="I135" t="str">
            <v xml:space="preserve">MO </v>
          </cell>
        </row>
        <row r="136">
          <cell r="C136" t="str">
            <v>Card Wav_1120C_30-0891115</v>
          </cell>
          <cell r="I136" t="str">
            <v>MO Accounting Services</v>
          </cell>
        </row>
        <row r="137">
          <cell r="C137" t="str">
            <v>Card Wav_1120C_30-0891115</v>
          </cell>
          <cell r="I137" t="str">
            <v>MO Accounting Services</v>
          </cell>
        </row>
        <row r="138">
          <cell r="C138" t="str">
            <v>Card Wav_1120C_30-0891115</v>
          </cell>
          <cell r="I138" t="str">
            <v>MO Accounting Services</v>
          </cell>
        </row>
        <row r="139">
          <cell r="C139" t="str">
            <v>Card Wav_1120C_30-0891115</v>
          </cell>
          <cell r="I139" t="str">
            <v>MO 1120 - C Corporation</v>
          </cell>
        </row>
        <row r="140">
          <cell r="C140" t="str">
            <v>Card Wav_1120C_30-0891115</v>
          </cell>
          <cell r="I140" t="str">
            <v>MO Accounting Services</v>
          </cell>
        </row>
        <row r="141">
          <cell r="C141" t="str">
            <v>Card Wav_1120C_30-0891115</v>
          </cell>
          <cell r="I141" t="str">
            <v xml:space="preserve">MO </v>
          </cell>
        </row>
        <row r="142">
          <cell r="C142" t="str">
            <v>Card Wav_1120C_30-0891115</v>
          </cell>
          <cell r="I142" t="str">
            <v xml:space="preserve">MO </v>
          </cell>
        </row>
        <row r="143">
          <cell r="C143" t="str">
            <v>Comfy Re_1065_47-1905395</v>
          </cell>
          <cell r="I143" t="str">
            <v>MO Accounting Services</v>
          </cell>
          <cell r="L143">
            <v>6</v>
          </cell>
        </row>
        <row r="144">
          <cell r="C144" t="str">
            <v>Comfy Re_1065_47-1905395</v>
          </cell>
          <cell r="I144" t="str">
            <v>MO Accounting Services</v>
          </cell>
          <cell r="L144">
            <v>1</v>
          </cell>
        </row>
        <row r="145">
          <cell r="C145" t="str">
            <v>Comfy Re_1065_47-1905395</v>
          </cell>
          <cell r="I145" t="str">
            <v>MO Accounting Services</v>
          </cell>
          <cell r="L145">
            <v>1</v>
          </cell>
        </row>
        <row r="146">
          <cell r="C146" t="str">
            <v>Comfy Re_1065_47-1905395</v>
          </cell>
          <cell r="I146" t="str">
            <v>MO Tax Estimate</v>
          </cell>
        </row>
        <row r="147">
          <cell r="C147" t="str">
            <v>Comfy Re_1065_47-1905395</v>
          </cell>
          <cell r="I147" t="str">
            <v xml:space="preserve">MO </v>
          </cell>
        </row>
        <row r="148">
          <cell r="C148" t="str">
            <v>Comfy Re_1065_47-1905395</v>
          </cell>
          <cell r="I148" t="str">
            <v>MO Accounting Services</v>
          </cell>
        </row>
        <row r="149">
          <cell r="C149" t="str">
            <v>Comfy Re_1065_47-1905395</v>
          </cell>
          <cell r="I149" t="str">
            <v>MO Accounting Services</v>
          </cell>
        </row>
        <row r="150">
          <cell r="C150" t="str">
            <v>Comfy Re_1065_47-1905395</v>
          </cell>
          <cell r="I150" t="str">
            <v xml:space="preserve">MO </v>
          </cell>
        </row>
        <row r="151">
          <cell r="C151" t="str">
            <v>Comfy Re_1065_47-1905395</v>
          </cell>
          <cell r="I151" t="str">
            <v xml:space="preserve">MO </v>
          </cell>
        </row>
        <row r="152">
          <cell r="C152" t="str">
            <v>Comfy Re_1065_47-1905395</v>
          </cell>
          <cell r="I152" t="str">
            <v xml:space="preserve">MO </v>
          </cell>
        </row>
        <row r="153">
          <cell r="C153" t="str">
            <v>Comfy Re_1065_47-1905395</v>
          </cell>
          <cell r="I153" t="str">
            <v>MO Accounting Services</v>
          </cell>
        </row>
        <row r="154">
          <cell r="C154" t="str">
            <v>Comfy Re_1065_47-1905395</v>
          </cell>
          <cell r="I154" t="str">
            <v xml:space="preserve">MO </v>
          </cell>
        </row>
        <row r="155">
          <cell r="C155" t="str">
            <v>Comfy Re_1065_47-1905395</v>
          </cell>
          <cell r="I155" t="str">
            <v xml:space="preserve">MO </v>
          </cell>
        </row>
        <row r="156">
          <cell r="C156" t="str">
            <v>Hsiao,_2193</v>
          </cell>
          <cell r="I156" t="str">
            <v>MO Accounting Services</v>
          </cell>
          <cell r="L156">
            <v>3</v>
          </cell>
        </row>
        <row r="157">
          <cell r="C157" t="str">
            <v>Hsiao,_2193</v>
          </cell>
          <cell r="I157" t="str">
            <v>MO Accounting Services</v>
          </cell>
          <cell r="L157">
            <v>0.5</v>
          </cell>
        </row>
        <row r="158">
          <cell r="C158" t="str">
            <v>Hsiao,_2193</v>
          </cell>
          <cell r="I158" t="str">
            <v xml:space="preserve">MO </v>
          </cell>
          <cell r="L158">
            <v>1.5</v>
          </cell>
        </row>
        <row r="159">
          <cell r="C159" t="str">
            <v>Hsiao,_2193</v>
          </cell>
          <cell r="I159" t="str">
            <v xml:space="preserve">MO </v>
          </cell>
        </row>
        <row r="160">
          <cell r="C160" t="str">
            <v>Hsiao,_2193</v>
          </cell>
          <cell r="I160" t="str">
            <v>MO Tax Estimate</v>
          </cell>
        </row>
        <row r="161">
          <cell r="C161" t="str">
            <v>Hsiao,_2193</v>
          </cell>
          <cell r="I161" t="str">
            <v xml:space="preserve">MO </v>
          </cell>
        </row>
        <row r="162">
          <cell r="C162" t="str">
            <v>Hsiao,_2193</v>
          </cell>
          <cell r="I162" t="str">
            <v>MO Accounting Services</v>
          </cell>
        </row>
        <row r="163">
          <cell r="C163" t="str">
            <v>Hsiao,_2193</v>
          </cell>
          <cell r="I163" t="str">
            <v xml:space="preserve">MO </v>
          </cell>
        </row>
        <row r="164">
          <cell r="C164" t="str">
            <v>Hsiao,_2193</v>
          </cell>
          <cell r="I164" t="str">
            <v xml:space="preserve">MO </v>
          </cell>
        </row>
        <row r="165">
          <cell r="C165" t="str">
            <v>Hsiao,_2193</v>
          </cell>
          <cell r="I165" t="str">
            <v xml:space="preserve">MO </v>
          </cell>
        </row>
        <row r="166">
          <cell r="C166" t="str">
            <v>Hsiao,_2193</v>
          </cell>
          <cell r="I166" t="str">
            <v xml:space="preserve">MO </v>
          </cell>
        </row>
        <row r="167">
          <cell r="C167" t="str">
            <v>Three Co_1065_38-3978880</v>
          </cell>
          <cell r="I167" t="str">
            <v>MO Accounting Services</v>
          </cell>
          <cell r="L167">
            <v>4</v>
          </cell>
        </row>
        <row r="168">
          <cell r="C168" t="str">
            <v>Three Co_1065_38-3978880</v>
          </cell>
          <cell r="I168" t="str">
            <v xml:space="preserve">MO </v>
          </cell>
        </row>
        <row r="169">
          <cell r="C169" t="str">
            <v>Three Co_1065_38-3978880</v>
          </cell>
          <cell r="I169" t="str">
            <v>MO Accounting Services</v>
          </cell>
          <cell r="L169">
            <v>2.5</v>
          </cell>
        </row>
        <row r="170">
          <cell r="C170" t="str">
            <v>Three Co_1065_38-3978880</v>
          </cell>
          <cell r="I170" t="str">
            <v>MO Accounting Services</v>
          </cell>
          <cell r="L170">
            <v>1</v>
          </cell>
        </row>
        <row r="171">
          <cell r="C171" t="str">
            <v>Three Co_1065_38-3978880</v>
          </cell>
          <cell r="I171" t="str">
            <v>MO Tax Estimate</v>
          </cell>
        </row>
        <row r="172">
          <cell r="C172" t="str">
            <v>Three Co_1065_38-3978880</v>
          </cell>
          <cell r="I172" t="str">
            <v xml:space="preserve">MO </v>
          </cell>
        </row>
        <row r="173">
          <cell r="C173" t="str">
            <v>Three Co_1065_38-3978880</v>
          </cell>
          <cell r="I173" t="str">
            <v>MO Sales Tax Services</v>
          </cell>
        </row>
        <row r="174">
          <cell r="C174" t="str">
            <v>Three Co_1065_38-3978880</v>
          </cell>
          <cell r="I174" t="str">
            <v xml:space="preserve">MO </v>
          </cell>
        </row>
        <row r="175">
          <cell r="C175" t="str">
            <v>Three Co_1065_38-3978880</v>
          </cell>
          <cell r="I175" t="str">
            <v xml:space="preserve">MO </v>
          </cell>
        </row>
        <row r="176">
          <cell r="C176" t="str">
            <v>Three Co_1065_38-3978880</v>
          </cell>
          <cell r="I176" t="str">
            <v xml:space="preserve">MO </v>
          </cell>
        </row>
        <row r="177">
          <cell r="C177" t="str">
            <v>Three Co_1065_38-3978880</v>
          </cell>
          <cell r="I177" t="str">
            <v xml:space="preserve">MO </v>
          </cell>
        </row>
        <row r="178">
          <cell r="C178" t="str">
            <v>Three Co_1065_38-3978880</v>
          </cell>
          <cell r="I178" t="str">
            <v xml:space="preserve">MO </v>
          </cell>
        </row>
        <row r="179">
          <cell r="C179" t="str">
            <v>EPE Inno_1120S_46-5139552</v>
          </cell>
          <cell r="I179" t="str">
            <v>MO Accounting Services</v>
          </cell>
          <cell r="L179">
            <v>8</v>
          </cell>
        </row>
        <row r="180">
          <cell r="C180" t="str">
            <v>EPE Inno_1120S_46-5139552</v>
          </cell>
          <cell r="I180" t="str">
            <v>MO Accounting Services</v>
          </cell>
          <cell r="L180">
            <v>4</v>
          </cell>
        </row>
        <row r="181">
          <cell r="C181" t="str">
            <v>EPE Inno_1120S_46-5139552</v>
          </cell>
          <cell r="I181" t="str">
            <v>MO Accounting Services</v>
          </cell>
          <cell r="L181">
            <v>4</v>
          </cell>
        </row>
        <row r="182">
          <cell r="C182" t="str">
            <v>EPE Inno_1120S_46-5139552</v>
          </cell>
          <cell r="I182" t="str">
            <v xml:space="preserve">MO </v>
          </cell>
        </row>
        <row r="183">
          <cell r="C183" t="str">
            <v>EPE Inno_1120S_46-5139552</v>
          </cell>
          <cell r="I183" t="str">
            <v>MO Accounting Services</v>
          </cell>
        </row>
        <row r="184">
          <cell r="C184" t="str">
            <v>EPE Inno_1120S_46-5139552</v>
          </cell>
          <cell r="I184" t="str">
            <v>MO Accounting Services</v>
          </cell>
        </row>
        <row r="185">
          <cell r="C185" t="str">
            <v>EPE Inno_1120S_46-5139552</v>
          </cell>
          <cell r="I185" t="str">
            <v>MO 1120S - S Corporation</v>
          </cell>
        </row>
        <row r="186">
          <cell r="C186" t="str">
            <v>EPE Inno_1120S_46-5139552</v>
          </cell>
          <cell r="I186" t="str">
            <v>MO 1120S - S Corporation</v>
          </cell>
        </row>
        <row r="187">
          <cell r="C187" t="str">
            <v>EPE Inno_1120S_46-5139552</v>
          </cell>
          <cell r="I187" t="str">
            <v>MO Accounting Services</v>
          </cell>
        </row>
        <row r="188">
          <cell r="C188" t="str">
            <v>EPE Inno_1120S_46-5139552</v>
          </cell>
          <cell r="I188" t="str">
            <v>MO 1120S - S Corporation</v>
          </cell>
        </row>
        <row r="189">
          <cell r="C189" t="str">
            <v>EPE Inno_1120S_46-5139552</v>
          </cell>
          <cell r="I189" t="str">
            <v>MO 1120S - S Corporation</v>
          </cell>
        </row>
        <row r="190">
          <cell r="C190" t="str">
            <v>EPE Inno_1120S_46-5139552</v>
          </cell>
          <cell r="I190" t="str">
            <v>MO 1120S - S Corporation</v>
          </cell>
        </row>
        <row r="191">
          <cell r="C191" t="str">
            <v>EPE Inno_1120S_46-5139552</v>
          </cell>
          <cell r="I191" t="str">
            <v xml:space="preserve">MO </v>
          </cell>
        </row>
        <row r="192">
          <cell r="C192" t="str">
            <v>EPE Inno_1120S_46-5139552</v>
          </cell>
          <cell r="I192" t="str">
            <v xml:space="preserve">MO </v>
          </cell>
        </row>
        <row r="193">
          <cell r="C193" t="str">
            <v>EPE Inno_1120S_46-5139552</v>
          </cell>
          <cell r="I193" t="str">
            <v xml:space="preserve">MO </v>
          </cell>
        </row>
        <row r="194">
          <cell r="C194" t="str">
            <v>ACL-AG L_1065_81-2106666</v>
          </cell>
          <cell r="I194" t="str">
            <v>MO Accounting Services</v>
          </cell>
          <cell r="L194">
            <v>2.25</v>
          </cell>
        </row>
        <row r="195">
          <cell r="C195" t="str">
            <v>ACL-AG L_1065_81-2106666</v>
          </cell>
          <cell r="I195" t="str">
            <v>MO Accounting Services</v>
          </cell>
          <cell r="L195">
            <v>0.75</v>
          </cell>
        </row>
        <row r="196">
          <cell r="C196" t="str">
            <v>ACL-AG L_1065_81-2106666</v>
          </cell>
          <cell r="I196" t="str">
            <v>MO Tax Estimate</v>
          </cell>
        </row>
        <row r="197">
          <cell r="C197" t="str">
            <v>ACL-AG L_1065_81-2106666</v>
          </cell>
          <cell r="I197" t="str">
            <v xml:space="preserve">MO </v>
          </cell>
        </row>
        <row r="198">
          <cell r="C198" t="str">
            <v>ACL-AG L_1065_81-2106666</v>
          </cell>
          <cell r="I198" t="str">
            <v xml:space="preserve">MO </v>
          </cell>
        </row>
        <row r="199">
          <cell r="C199" t="str">
            <v>ACL-AG L_1065_81-2106666</v>
          </cell>
          <cell r="I199" t="str">
            <v xml:space="preserve">MO </v>
          </cell>
        </row>
        <row r="200">
          <cell r="C200" t="str">
            <v>ACL-AG L_1065_81-2106666</v>
          </cell>
          <cell r="I200" t="str">
            <v xml:space="preserve">MO </v>
          </cell>
        </row>
        <row r="201">
          <cell r="C201" t="str">
            <v>ACL-AG L_1065_81-2106666</v>
          </cell>
          <cell r="I201" t="str">
            <v xml:space="preserve">MO </v>
          </cell>
        </row>
        <row r="202">
          <cell r="C202" t="str">
            <v>Guardian_1040_1</v>
          </cell>
          <cell r="I202" t="str">
            <v>MO Accounting Services</v>
          </cell>
          <cell r="L202">
            <v>3.5</v>
          </cell>
        </row>
        <row r="203">
          <cell r="C203" t="str">
            <v>Guardian_1040_1</v>
          </cell>
          <cell r="I203" t="str">
            <v>MO Accounting Services</v>
          </cell>
          <cell r="L203">
            <v>1.5</v>
          </cell>
        </row>
        <row r="204">
          <cell r="C204" t="str">
            <v>Guardian_1040_1</v>
          </cell>
          <cell r="I204" t="str">
            <v>MO Tax Estimate</v>
          </cell>
        </row>
        <row r="205">
          <cell r="C205" t="str">
            <v>Guardian_1040_1</v>
          </cell>
          <cell r="I205" t="str">
            <v xml:space="preserve">MO </v>
          </cell>
        </row>
        <row r="206">
          <cell r="C206" t="str">
            <v>Guardian_1040_1</v>
          </cell>
          <cell r="I206" t="str">
            <v xml:space="preserve">MO </v>
          </cell>
        </row>
        <row r="207">
          <cell r="C207" t="str">
            <v>Guardian_1040_1</v>
          </cell>
          <cell r="I207" t="str">
            <v xml:space="preserve">MO </v>
          </cell>
        </row>
        <row r="208">
          <cell r="C208" t="str">
            <v>Guardian_1040_1</v>
          </cell>
          <cell r="I208" t="str">
            <v xml:space="preserve">MO </v>
          </cell>
        </row>
        <row r="209">
          <cell r="C209" t="str">
            <v>Guardian_1040_1</v>
          </cell>
          <cell r="I209" t="str">
            <v xml:space="preserve">MO </v>
          </cell>
        </row>
        <row r="210">
          <cell r="C210" t="str">
            <v>Odom Gro_1120S_82-1887528</v>
          </cell>
          <cell r="I210" t="str">
            <v>MO Accounting Services</v>
          </cell>
          <cell r="L210">
            <v>2</v>
          </cell>
        </row>
        <row r="211">
          <cell r="C211" t="str">
            <v>Odom Gro_1120S_82-1887528</v>
          </cell>
          <cell r="I211" t="str">
            <v xml:space="preserve">MO </v>
          </cell>
          <cell r="L211">
            <v>1.5</v>
          </cell>
        </row>
        <row r="212">
          <cell r="C212" t="str">
            <v>Odom Gro_1120S_82-1887528</v>
          </cell>
          <cell r="I212" t="str">
            <v>MO Sales Tax Services</v>
          </cell>
          <cell r="L212">
            <v>0.5</v>
          </cell>
        </row>
        <row r="213">
          <cell r="C213" t="str">
            <v>Odom Gro_1120S_82-1887528</v>
          </cell>
          <cell r="I213" t="str">
            <v>MO 1120S - S Corporation</v>
          </cell>
        </row>
        <row r="214">
          <cell r="C214" t="str">
            <v>Odom Gro_1120S_82-1887528</v>
          </cell>
          <cell r="I214" t="str">
            <v xml:space="preserve">MO </v>
          </cell>
        </row>
        <row r="215">
          <cell r="C215" t="str">
            <v>Odom Gro_1120S_82-1887528</v>
          </cell>
          <cell r="I215" t="str">
            <v>MO Accounting Services</v>
          </cell>
        </row>
        <row r="216">
          <cell r="C216" t="str">
            <v>Odom Gro_1120S_82-1887528</v>
          </cell>
          <cell r="I216" t="str">
            <v xml:space="preserve">MO </v>
          </cell>
        </row>
        <row r="217">
          <cell r="C217" t="str">
            <v>Odom Gro_1120S_82-1887528</v>
          </cell>
          <cell r="I217" t="str">
            <v xml:space="preserve">MO </v>
          </cell>
        </row>
        <row r="218">
          <cell r="C218" t="str">
            <v>Odom Gro_1120S_82-1887528</v>
          </cell>
          <cell r="I218" t="str">
            <v>MO 1120S - S Corporation</v>
          </cell>
        </row>
        <row r="219">
          <cell r="C219" t="str">
            <v>Odom Gro_1120S_82-1887528</v>
          </cell>
          <cell r="I219" t="str">
            <v>MO Accounting Services</v>
          </cell>
        </row>
        <row r="220">
          <cell r="C220" t="str">
            <v>Odom Gro_1120S_82-1887528</v>
          </cell>
          <cell r="I220" t="str">
            <v>MO 1120S - S Corporation</v>
          </cell>
        </row>
        <row r="221">
          <cell r="C221" t="str">
            <v>Odom Gro_1120S_82-1887528</v>
          </cell>
          <cell r="I221" t="str">
            <v xml:space="preserve">MO </v>
          </cell>
        </row>
        <row r="222">
          <cell r="C222" t="str">
            <v>Odom Gro_1120S_82-1887528</v>
          </cell>
          <cell r="I222" t="str">
            <v xml:space="preserve">MO </v>
          </cell>
        </row>
        <row r="223">
          <cell r="C223" t="str">
            <v>Spartan _1065_32-0436717</v>
          </cell>
          <cell r="I223" t="str">
            <v>MO Accounting Services</v>
          </cell>
          <cell r="L223">
            <v>4</v>
          </cell>
        </row>
        <row r="224">
          <cell r="C224" t="str">
            <v>Spartan _1065_32-0436717</v>
          </cell>
          <cell r="I224" t="str">
            <v>MO Accounting Services</v>
          </cell>
          <cell r="L224">
            <v>1</v>
          </cell>
        </row>
        <row r="225">
          <cell r="C225" t="str">
            <v>Spartan _1065_32-0436717</v>
          </cell>
          <cell r="I225" t="str">
            <v>MO Sales Tax Services</v>
          </cell>
          <cell r="L225">
            <v>1</v>
          </cell>
        </row>
        <row r="226">
          <cell r="C226" t="str">
            <v>Spartan _1065_32-0436717</v>
          </cell>
          <cell r="I226" t="str">
            <v>MO Tax Estimate</v>
          </cell>
        </row>
        <row r="227">
          <cell r="C227" t="str">
            <v>Spartan _1065_32-0436717</v>
          </cell>
          <cell r="I227" t="str">
            <v xml:space="preserve">MO </v>
          </cell>
        </row>
        <row r="228">
          <cell r="C228" t="str">
            <v>Spartan _1065_32-0436717</v>
          </cell>
          <cell r="I228" t="str">
            <v>MO Accounting Services</v>
          </cell>
        </row>
        <row r="229">
          <cell r="C229" t="str">
            <v>Spartan _1065_32-0436717</v>
          </cell>
          <cell r="I229" t="str">
            <v xml:space="preserve">MO </v>
          </cell>
        </row>
        <row r="230">
          <cell r="C230" t="str">
            <v>Spartan _1065_32-0436717</v>
          </cell>
          <cell r="I230" t="str">
            <v xml:space="preserve">MO </v>
          </cell>
        </row>
        <row r="231">
          <cell r="C231" t="str">
            <v>Real Tal_1040_1</v>
          </cell>
          <cell r="I231" t="str">
            <v>MO Accounting Services</v>
          </cell>
          <cell r="L231">
            <v>1</v>
          </cell>
        </row>
        <row r="232">
          <cell r="C232" t="str">
            <v>Real Tal_1040_1</v>
          </cell>
          <cell r="I232" t="str">
            <v>MO Accounting Services</v>
          </cell>
          <cell r="L232">
            <v>2.5</v>
          </cell>
        </row>
        <row r="233">
          <cell r="C233" t="str">
            <v>Real Tal_1040_1</v>
          </cell>
          <cell r="I233" t="str">
            <v>MO Accounting Services</v>
          </cell>
          <cell r="L233">
            <v>2.5</v>
          </cell>
        </row>
        <row r="234">
          <cell r="C234" t="str">
            <v>Real Tal_1040_1</v>
          </cell>
          <cell r="I234" t="str">
            <v>MO Accounting Services</v>
          </cell>
        </row>
        <row r="235">
          <cell r="C235" t="str">
            <v>Real Tal_1040_1</v>
          </cell>
          <cell r="I235" t="str">
            <v>MO Accounting Services</v>
          </cell>
        </row>
        <row r="236">
          <cell r="C236" t="str">
            <v>Real Tal_1040_1</v>
          </cell>
          <cell r="I236" t="str">
            <v>MO Tax Estimate</v>
          </cell>
        </row>
        <row r="237">
          <cell r="C237" t="str">
            <v>Real Tal_1040_1</v>
          </cell>
          <cell r="I237" t="str">
            <v xml:space="preserve">MO </v>
          </cell>
        </row>
        <row r="238">
          <cell r="C238" t="str">
            <v>Real Tal_1040_1</v>
          </cell>
          <cell r="I238" t="str">
            <v xml:space="preserve">MO </v>
          </cell>
        </row>
        <row r="239">
          <cell r="C239" t="str">
            <v>Real Tal_1040_1</v>
          </cell>
          <cell r="I239" t="str">
            <v>MO Accounting Services</v>
          </cell>
        </row>
        <row r="240">
          <cell r="C240" t="str">
            <v>Real Tal_1040_1</v>
          </cell>
          <cell r="I240" t="str">
            <v xml:space="preserve">MO </v>
          </cell>
        </row>
        <row r="241">
          <cell r="C241" t="str">
            <v>Real Tal_1040_1</v>
          </cell>
          <cell r="I241" t="str">
            <v xml:space="preserve">MO </v>
          </cell>
        </row>
        <row r="242">
          <cell r="C242" t="str">
            <v>Peak Str_1120S_90-0783049</v>
          </cell>
          <cell r="I242" t="str">
            <v>MO Accounting Services</v>
          </cell>
          <cell r="L242">
            <v>5</v>
          </cell>
        </row>
        <row r="243">
          <cell r="C243" t="str">
            <v>Peak Str_1120S_90-0783049</v>
          </cell>
          <cell r="I243" t="str">
            <v>MO Accounting Services</v>
          </cell>
          <cell r="L243">
            <v>1</v>
          </cell>
        </row>
        <row r="244">
          <cell r="C244" t="str">
            <v>Peak Str_1120S_90-0783049</v>
          </cell>
          <cell r="I244" t="str">
            <v xml:space="preserve">MO </v>
          </cell>
          <cell r="L244">
            <v>1</v>
          </cell>
        </row>
        <row r="245">
          <cell r="C245" t="str">
            <v>Peak Str_1120S_90-0783049</v>
          </cell>
          <cell r="I245" t="str">
            <v>MO 1120S - S Corporation</v>
          </cell>
        </row>
        <row r="246">
          <cell r="C246" t="str">
            <v>Peak Str_1120S_90-0783049</v>
          </cell>
          <cell r="I246" t="str">
            <v xml:space="preserve">MO </v>
          </cell>
        </row>
        <row r="247">
          <cell r="C247" t="str">
            <v>Peak Str_1120S_90-0783049</v>
          </cell>
          <cell r="I247" t="str">
            <v>MO Accounting Services</v>
          </cell>
        </row>
        <row r="248">
          <cell r="C248" t="str">
            <v>Peak Str_1120S_90-0783049</v>
          </cell>
          <cell r="I248" t="str">
            <v xml:space="preserve">MO </v>
          </cell>
        </row>
        <row r="249">
          <cell r="C249" t="str">
            <v>Peak Str_1120S_90-0783049</v>
          </cell>
          <cell r="I249" t="str">
            <v xml:space="preserve">MO </v>
          </cell>
        </row>
        <row r="250">
          <cell r="C250" t="str">
            <v>Peak Str_1120S_90-0783049</v>
          </cell>
          <cell r="I250" t="str">
            <v>MO 1120S - S Corporation</v>
          </cell>
        </row>
        <row r="251">
          <cell r="C251" t="str">
            <v>Peak Str_1120S_90-0783049</v>
          </cell>
          <cell r="I251" t="str">
            <v>MO Accounting Services</v>
          </cell>
        </row>
        <row r="252">
          <cell r="C252" t="str">
            <v>Peak Str_1120S_90-0783049</v>
          </cell>
          <cell r="I252" t="str">
            <v xml:space="preserve">MO </v>
          </cell>
        </row>
        <row r="253">
          <cell r="C253" t="str">
            <v>Peak Str_1120S_90-0783049</v>
          </cell>
          <cell r="I253" t="str">
            <v xml:space="preserve">MO </v>
          </cell>
        </row>
        <row r="254">
          <cell r="C254" t="str">
            <v>Peak Str_1120S_90-0783049</v>
          </cell>
          <cell r="I254" t="str">
            <v xml:space="preserve">MO </v>
          </cell>
        </row>
        <row r="255">
          <cell r="C255" t="str">
            <v>Michael _1120S_1</v>
          </cell>
          <cell r="I255" t="str">
            <v>MO Accounting Services</v>
          </cell>
          <cell r="L255">
            <v>3</v>
          </cell>
        </row>
        <row r="256">
          <cell r="C256" t="str">
            <v>Michael _1120S_1</v>
          </cell>
          <cell r="I256" t="str">
            <v>MO Accounting Services</v>
          </cell>
          <cell r="L256">
            <v>2</v>
          </cell>
        </row>
        <row r="257">
          <cell r="C257" t="str">
            <v>Michael _1120S_1</v>
          </cell>
          <cell r="I257" t="str">
            <v>MO Accounting Services</v>
          </cell>
          <cell r="L257">
            <v>1</v>
          </cell>
        </row>
        <row r="258">
          <cell r="C258" t="str">
            <v>Michael _1120S_1</v>
          </cell>
          <cell r="I258" t="str">
            <v xml:space="preserve">MO </v>
          </cell>
          <cell r="L258">
            <v>1</v>
          </cell>
        </row>
        <row r="259">
          <cell r="C259" t="str">
            <v>Michael _1120S_1</v>
          </cell>
          <cell r="I259" t="str">
            <v>MO Tax Estimate</v>
          </cell>
        </row>
        <row r="260">
          <cell r="C260" t="str">
            <v>Michael _1120S_1</v>
          </cell>
          <cell r="I260" t="str">
            <v xml:space="preserve">MO </v>
          </cell>
        </row>
        <row r="261">
          <cell r="C261" t="str">
            <v>Michael _1120S_1</v>
          </cell>
          <cell r="I261" t="str">
            <v xml:space="preserve">MO </v>
          </cell>
        </row>
        <row r="262">
          <cell r="C262" t="str">
            <v>Michael _1120S_1</v>
          </cell>
          <cell r="I262" t="str">
            <v xml:space="preserve">MO </v>
          </cell>
        </row>
        <row r="263">
          <cell r="C263" t="str">
            <v>Michael _1120S_1</v>
          </cell>
          <cell r="I263" t="str">
            <v xml:space="preserve">MO </v>
          </cell>
        </row>
        <row r="264">
          <cell r="C264" t="str">
            <v>Michael _1120S_1</v>
          </cell>
          <cell r="I264" t="str">
            <v xml:space="preserve">MO </v>
          </cell>
        </row>
        <row r="265">
          <cell r="C265" t="str">
            <v>Michael _1120S_1</v>
          </cell>
          <cell r="I265" t="str">
            <v xml:space="preserve">MO </v>
          </cell>
        </row>
        <row r="266">
          <cell r="C266" t="str">
            <v>Robert R_1120S_20-1627083</v>
          </cell>
          <cell r="I266" t="str">
            <v>MO Accounting Services</v>
          </cell>
          <cell r="L266">
            <v>2.5</v>
          </cell>
        </row>
        <row r="267">
          <cell r="C267" t="str">
            <v>Robert R_1120S_20-1627083</v>
          </cell>
          <cell r="I267" t="str">
            <v>MO Accounting Services</v>
          </cell>
          <cell r="L267">
            <v>2</v>
          </cell>
        </row>
        <row r="268">
          <cell r="C268" t="str">
            <v>Robert R_1120S_20-1627083</v>
          </cell>
          <cell r="I268" t="str">
            <v>MO Accounting Services</v>
          </cell>
          <cell r="L268">
            <v>1</v>
          </cell>
        </row>
        <row r="269">
          <cell r="C269" t="str">
            <v>Robert R_1120S_20-1627083</v>
          </cell>
          <cell r="I269" t="str">
            <v xml:space="preserve">MO </v>
          </cell>
          <cell r="L269">
            <v>1</v>
          </cell>
        </row>
        <row r="270">
          <cell r="C270" t="str">
            <v>Robert R_1120S_20-1627083</v>
          </cell>
          <cell r="I270" t="str">
            <v>MO 1120S - S Corporation</v>
          </cell>
        </row>
        <row r="271">
          <cell r="C271" t="str">
            <v>Robert R_1120S_20-1627083</v>
          </cell>
          <cell r="I271" t="str">
            <v xml:space="preserve">MO </v>
          </cell>
        </row>
        <row r="272">
          <cell r="C272" t="str">
            <v>Robert R_1120S_20-1627083</v>
          </cell>
          <cell r="I272" t="str">
            <v xml:space="preserve">MO </v>
          </cell>
        </row>
        <row r="273">
          <cell r="C273" t="str">
            <v>Robert R_1120S_20-1627083</v>
          </cell>
          <cell r="I273" t="str">
            <v>MO 1120S - S Corporation</v>
          </cell>
        </row>
        <row r="274">
          <cell r="C274" t="str">
            <v>Robert R_1120S_20-1627083</v>
          </cell>
          <cell r="I274" t="str">
            <v>MO 1120S - S Corporation</v>
          </cell>
        </row>
        <row r="275">
          <cell r="C275" t="str">
            <v>Robert R_1120S_20-1627083</v>
          </cell>
          <cell r="I275" t="str">
            <v xml:space="preserve">MO </v>
          </cell>
        </row>
        <row r="276">
          <cell r="C276" t="str">
            <v>Robert R_1120S_20-1627083</v>
          </cell>
          <cell r="I276" t="str">
            <v xml:space="preserve">MO </v>
          </cell>
        </row>
        <row r="277">
          <cell r="C277" t="str">
            <v>Robert R_1120S_20-1627083</v>
          </cell>
          <cell r="I277" t="str">
            <v xml:space="preserve">MO </v>
          </cell>
        </row>
        <row r="278">
          <cell r="C278" t="str">
            <v>Robert R_1120S_20-1627083</v>
          </cell>
          <cell r="I278" t="str">
            <v xml:space="preserve">MO </v>
          </cell>
        </row>
        <row r="279">
          <cell r="C279" t="str">
            <v>Knox Fit_1120S_1</v>
          </cell>
          <cell r="I279" t="str">
            <v>MO Accounting Services</v>
          </cell>
          <cell r="L279">
            <v>3</v>
          </cell>
        </row>
        <row r="280">
          <cell r="C280" t="str">
            <v>Knox Fit_1120S_1</v>
          </cell>
          <cell r="I280" t="str">
            <v>MO Accounting Services</v>
          </cell>
          <cell r="L280">
            <v>2</v>
          </cell>
        </row>
        <row r="281">
          <cell r="C281" t="str">
            <v>Knox Fit_1120S_1</v>
          </cell>
          <cell r="I281" t="str">
            <v>MO Accounting Services</v>
          </cell>
          <cell r="L281">
            <v>1</v>
          </cell>
        </row>
        <row r="282">
          <cell r="C282" t="str">
            <v>Knox Fit_1120S_1</v>
          </cell>
          <cell r="I282" t="str">
            <v xml:space="preserve">MO </v>
          </cell>
          <cell r="L282">
            <v>1</v>
          </cell>
        </row>
        <row r="283">
          <cell r="C283" t="str">
            <v>Knox Fit_1120S_1</v>
          </cell>
          <cell r="I283" t="str">
            <v>MO Tax Estimate</v>
          </cell>
        </row>
        <row r="284">
          <cell r="C284" t="str">
            <v>Knox Fit_1120S_1</v>
          </cell>
          <cell r="I284" t="str">
            <v xml:space="preserve">MO </v>
          </cell>
        </row>
        <row r="285">
          <cell r="C285" t="str">
            <v>Knox Fit_1120S_1</v>
          </cell>
          <cell r="I285" t="str">
            <v xml:space="preserve">MO </v>
          </cell>
        </row>
        <row r="286">
          <cell r="C286" t="str">
            <v>Knox Fit_1120S_1</v>
          </cell>
          <cell r="I286" t="str">
            <v xml:space="preserve">MO </v>
          </cell>
        </row>
        <row r="287">
          <cell r="C287" t="str">
            <v>Knox Fit_1120S_1</v>
          </cell>
          <cell r="I287" t="str">
            <v xml:space="preserve">MO </v>
          </cell>
        </row>
        <row r="288">
          <cell r="C288" t="str">
            <v>Knox Fit_1120S_1</v>
          </cell>
          <cell r="I288" t="str">
            <v xml:space="preserve">MO </v>
          </cell>
        </row>
        <row r="289">
          <cell r="C289" t="str">
            <v>Knox Fit_1120S_1</v>
          </cell>
          <cell r="I289" t="str">
            <v xml:space="preserve">MO </v>
          </cell>
        </row>
        <row r="290">
          <cell r="C290" t="str">
            <v>James Je_1120S_82-2587236</v>
          </cell>
          <cell r="I290" t="str">
            <v>MO Accounting Services</v>
          </cell>
          <cell r="L290">
            <v>2</v>
          </cell>
        </row>
        <row r="291">
          <cell r="C291" t="str">
            <v>James Je_1120S_82-2587236</v>
          </cell>
          <cell r="I291" t="str">
            <v>MO Accounting Services</v>
          </cell>
        </row>
        <row r="292">
          <cell r="C292" t="str">
            <v>James Je_1120S_82-2587236</v>
          </cell>
          <cell r="I292" t="str">
            <v xml:space="preserve">MO </v>
          </cell>
          <cell r="L292">
            <v>65</v>
          </cell>
        </row>
        <row r="293">
          <cell r="C293" t="str">
            <v>James Je_1120S_82-2587236</v>
          </cell>
          <cell r="I293" t="str">
            <v>MO 1120S - S Corporation</v>
          </cell>
        </row>
        <row r="294">
          <cell r="C294" t="str">
            <v>James Je_1120S_82-2587236</v>
          </cell>
          <cell r="I294" t="str">
            <v xml:space="preserve">MO </v>
          </cell>
        </row>
        <row r="295">
          <cell r="C295" t="str">
            <v>James Je_1120S_82-2587236</v>
          </cell>
          <cell r="I295" t="str">
            <v>MO Accounting Services</v>
          </cell>
        </row>
        <row r="296">
          <cell r="C296" t="str">
            <v>James Je_1120S_82-2587236</v>
          </cell>
          <cell r="I296" t="str">
            <v>MO 1120S - S Corporation</v>
          </cell>
        </row>
        <row r="297">
          <cell r="C297" t="str">
            <v>James Je_1120S_82-2587236</v>
          </cell>
          <cell r="I297" t="str">
            <v>MO Accounting Services</v>
          </cell>
        </row>
        <row r="298">
          <cell r="C298" t="str">
            <v>James Je_1120S_82-2587236</v>
          </cell>
          <cell r="I298" t="str">
            <v>MO 1120S - S Corporation</v>
          </cell>
        </row>
        <row r="299">
          <cell r="C299" t="str">
            <v>James Je_1120S_82-2587236</v>
          </cell>
          <cell r="I299" t="str">
            <v xml:space="preserve">MO </v>
          </cell>
        </row>
        <row r="300">
          <cell r="C300" t="str">
            <v>James Je_1120S_82-2587236</v>
          </cell>
          <cell r="I300" t="str">
            <v xml:space="preserve">MO </v>
          </cell>
        </row>
        <row r="301">
          <cell r="C301" t="str">
            <v>Rent Eng_1065_82-4609976</v>
          </cell>
          <cell r="I301" t="str">
            <v>MO Accounting Services</v>
          </cell>
          <cell r="L301">
            <v>1</v>
          </cell>
        </row>
        <row r="302">
          <cell r="C302" t="str">
            <v>Rent Eng_1065_82-4609976</v>
          </cell>
          <cell r="I302" t="str">
            <v>MO Accounting Services</v>
          </cell>
          <cell r="L302">
            <v>3</v>
          </cell>
        </row>
        <row r="303">
          <cell r="C303" t="str">
            <v>Rent Eng_1065_82-4609976</v>
          </cell>
          <cell r="I303" t="str">
            <v>MO Accounting Services</v>
          </cell>
          <cell r="L303">
            <v>1.5</v>
          </cell>
        </row>
        <row r="304">
          <cell r="C304" t="str">
            <v>Rent Eng_1065_82-4609976</v>
          </cell>
          <cell r="I304" t="str">
            <v>MO Accounting Services</v>
          </cell>
        </row>
        <row r="305">
          <cell r="C305" t="str">
            <v>Rent Eng_1065_82-4609976</v>
          </cell>
          <cell r="I305" t="str">
            <v xml:space="preserve">MO </v>
          </cell>
        </row>
        <row r="306">
          <cell r="C306" t="str">
            <v>Rent Eng_1065_82-4609976</v>
          </cell>
          <cell r="I306" t="str">
            <v xml:space="preserve">MO </v>
          </cell>
        </row>
        <row r="307">
          <cell r="C307" t="str">
            <v>Rent Eng_1065_82-4609976</v>
          </cell>
          <cell r="I307" t="str">
            <v xml:space="preserve">MO </v>
          </cell>
        </row>
        <row r="308">
          <cell r="C308" t="str">
            <v>Rent Eng_1065_82-4609976</v>
          </cell>
          <cell r="I308" t="str">
            <v>MO Accounting Services</v>
          </cell>
        </row>
        <row r="309">
          <cell r="C309" t="str">
            <v>Rent Eng_1065_82-4609976</v>
          </cell>
          <cell r="I309" t="str">
            <v xml:space="preserve">MO </v>
          </cell>
        </row>
        <row r="310">
          <cell r="C310" t="str">
            <v>Rent Eng_1065_82-4609976</v>
          </cell>
          <cell r="I310" t="str">
            <v xml:space="preserve">MO </v>
          </cell>
        </row>
        <row r="311">
          <cell r="C311" t="str">
            <v>Overkill_1120S_26-2109235</v>
          </cell>
          <cell r="I311" t="str">
            <v>MO Accounting Services</v>
          </cell>
          <cell r="L311">
            <v>30</v>
          </cell>
        </row>
        <row r="312">
          <cell r="C312" t="str">
            <v>Overkill_1120S_26-2109235</v>
          </cell>
          <cell r="I312" t="str">
            <v>MO Accounting Services</v>
          </cell>
          <cell r="L312">
            <v>15</v>
          </cell>
        </row>
        <row r="313">
          <cell r="C313" t="str">
            <v>Overkill_1120S_26-2109235</v>
          </cell>
          <cell r="I313" t="str">
            <v>MO Accounting Services</v>
          </cell>
          <cell r="L313">
            <v>4</v>
          </cell>
        </row>
        <row r="314">
          <cell r="C314" t="str">
            <v>Overkill_1120S_26-2109235</v>
          </cell>
          <cell r="I314" t="str">
            <v>MO 1120S - S Corporation</v>
          </cell>
        </row>
        <row r="315">
          <cell r="C315" t="str">
            <v>Overkill_1120S_26-2109235</v>
          </cell>
          <cell r="I315" t="str">
            <v xml:space="preserve">MO </v>
          </cell>
        </row>
        <row r="316">
          <cell r="C316" t="str">
            <v>Overkill_1120S_26-2109235</v>
          </cell>
          <cell r="I316" t="str">
            <v>MO Accounting Services</v>
          </cell>
        </row>
        <row r="317">
          <cell r="C317" t="str">
            <v>Overkill_1120S_26-2109235</v>
          </cell>
          <cell r="I317" t="str">
            <v xml:space="preserve">MO </v>
          </cell>
        </row>
        <row r="318">
          <cell r="C318" t="str">
            <v>Overkill_1120S_26-2109235</v>
          </cell>
          <cell r="I318" t="str">
            <v xml:space="preserve">MO </v>
          </cell>
        </row>
        <row r="319">
          <cell r="C319" t="str">
            <v>Overkill_1120S_26-2109235</v>
          </cell>
          <cell r="I319" t="str">
            <v>MO 1120S - S Corporation</v>
          </cell>
        </row>
        <row r="320">
          <cell r="C320" t="str">
            <v>Overkill_1120S_26-2109235</v>
          </cell>
          <cell r="I320" t="str">
            <v>MO Accounting Services</v>
          </cell>
        </row>
        <row r="321">
          <cell r="C321" t="str">
            <v>Overkill_1120S_26-2109235</v>
          </cell>
          <cell r="I321" t="str">
            <v>MO 1120S - S Corporation</v>
          </cell>
        </row>
        <row r="322">
          <cell r="C322" t="str">
            <v>Overkill_1120S_26-2109235</v>
          </cell>
          <cell r="I322" t="str">
            <v xml:space="preserve">MO </v>
          </cell>
        </row>
        <row r="323">
          <cell r="C323" t="str">
            <v>Overkill_1120S_26-2109235</v>
          </cell>
          <cell r="I323" t="str">
            <v xml:space="preserve">MO </v>
          </cell>
        </row>
        <row r="324">
          <cell r="C324" t="str">
            <v>Branded _1120C_45-2711219</v>
          </cell>
          <cell r="I324" t="str">
            <v>MO Accounting Services</v>
          </cell>
          <cell r="L324">
            <v>4</v>
          </cell>
        </row>
        <row r="325">
          <cell r="C325" t="str">
            <v>Branded _1120C_45-2711219</v>
          </cell>
          <cell r="I325" t="str">
            <v>MO Accounting Services</v>
          </cell>
          <cell r="L325">
            <v>1</v>
          </cell>
        </row>
        <row r="326">
          <cell r="C326" t="str">
            <v>Branded _1120C_45-2711219</v>
          </cell>
          <cell r="I326" t="str">
            <v>MO Sales Tax Services</v>
          </cell>
          <cell r="L326">
            <v>1</v>
          </cell>
        </row>
        <row r="327">
          <cell r="C327" t="str">
            <v>Branded _1120C_45-2711219</v>
          </cell>
          <cell r="I327" t="str">
            <v>MO 1120 - C Corporation</v>
          </cell>
        </row>
        <row r="328">
          <cell r="C328" t="str">
            <v>Branded _1120C_45-2711219</v>
          </cell>
          <cell r="I328" t="str">
            <v>MO Accounting Services</v>
          </cell>
        </row>
        <row r="329">
          <cell r="C329" t="str">
            <v>Branded _1120C_45-2711219</v>
          </cell>
          <cell r="I329" t="str">
            <v xml:space="preserve">MO </v>
          </cell>
        </row>
        <row r="330">
          <cell r="C330" t="str">
            <v>Branded _1120C_45-2711219</v>
          </cell>
          <cell r="I330" t="str">
            <v>MO 1120 - C Corporation</v>
          </cell>
        </row>
        <row r="331">
          <cell r="C331" t="str">
            <v>Branded _1120C_45-2711219</v>
          </cell>
          <cell r="I331" t="str">
            <v>MO Accounting Services</v>
          </cell>
        </row>
        <row r="332">
          <cell r="C332" t="str">
            <v>Branded _1120C_45-2711219</v>
          </cell>
          <cell r="I332" t="str">
            <v>MO 1120 - C Corporation</v>
          </cell>
        </row>
        <row r="333">
          <cell r="C333" t="str">
            <v>Branded _1120C_45-2711219</v>
          </cell>
          <cell r="I333" t="str">
            <v xml:space="preserve">MO </v>
          </cell>
        </row>
        <row r="334">
          <cell r="C334" t="str">
            <v>Branded _1120C_45-2711219</v>
          </cell>
          <cell r="I334" t="str">
            <v xml:space="preserve">MO </v>
          </cell>
        </row>
        <row r="335">
          <cell r="C335" t="str">
            <v>Ferguson_1040_1</v>
          </cell>
          <cell r="I335" t="str">
            <v>MO Accounting Services</v>
          </cell>
          <cell r="L335">
            <v>11</v>
          </cell>
        </row>
        <row r="336">
          <cell r="C336" t="str">
            <v>KSF ICE _1040_1</v>
          </cell>
          <cell r="I336" t="str">
            <v>MO Accounting Services</v>
          </cell>
        </row>
        <row r="337">
          <cell r="C337" t="str">
            <v>KSF Prop_1040_1</v>
          </cell>
          <cell r="I337" t="str">
            <v>MO Accounting Services</v>
          </cell>
        </row>
        <row r="338">
          <cell r="C338" t="str">
            <v>Craftlog_1040_1</v>
          </cell>
          <cell r="I338" t="str">
            <v xml:space="preserve">MO </v>
          </cell>
        </row>
        <row r="339">
          <cell r="C339" t="str">
            <v>Craftlog_1040_1</v>
          </cell>
          <cell r="I339" t="str">
            <v xml:space="preserve">MO </v>
          </cell>
        </row>
        <row r="340">
          <cell r="C340" t="str">
            <v>Craftlog_1040_1</v>
          </cell>
          <cell r="I340" t="str">
            <v xml:space="preserve">MO </v>
          </cell>
        </row>
        <row r="341">
          <cell r="C341" t="str">
            <v>Jordan D_1120S_75-2770808</v>
          </cell>
          <cell r="I341" t="str">
            <v>MO Accounting Services</v>
          </cell>
          <cell r="L341">
            <v>2.5</v>
          </cell>
        </row>
        <row r="342">
          <cell r="C342" t="str">
            <v>Jordan D_1120S_75-2770808</v>
          </cell>
          <cell r="I342" t="str">
            <v xml:space="preserve">MO </v>
          </cell>
          <cell r="L342">
            <v>0.75</v>
          </cell>
        </row>
        <row r="343">
          <cell r="C343" t="str">
            <v>Jordan D_1120S_75-2770808</v>
          </cell>
          <cell r="I343" t="str">
            <v>MO 1120S - S Corporation</v>
          </cell>
        </row>
        <row r="344">
          <cell r="C344" t="str">
            <v>Jordan D_1120S_75-2770808</v>
          </cell>
          <cell r="I344" t="str">
            <v xml:space="preserve">MO </v>
          </cell>
        </row>
        <row r="345">
          <cell r="C345" t="str">
            <v>Jordan D_1120S_75-2770808</v>
          </cell>
          <cell r="I345" t="str">
            <v>MO Accounting Services</v>
          </cell>
        </row>
        <row r="346">
          <cell r="C346" t="str">
            <v>Jordan D_1120S_75-2770808</v>
          </cell>
          <cell r="I346" t="str">
            <v xml:space="preserve">MO </v>
          </cell>
        </row>
        <row r="347">
          <cell r="C347" t="str">
            <v>Jordan D_1120S_75-2770808</v>
          </cell>
          <cell r="I347" t="str">
            <v>MO 1120S - S Corporation</v>
          </cell>
        </row>
        <row r="348">
          <cell r="C348" t="str">
            <v>Jordan D_1120S_75-2770808</v>
          </cell>
          <cell r="I348" t="str">
            <v>MO Accounting Services</v>
          </cell>
        </row>
        <row r="349">
          <cell r="C349" t="str">
            <v>Jordan D_1120S_75-2770808</v>
          </cell>
          <cell r="I349" t="str">
            <v>MO 1120S - S Corporation</v>
          </cell>
        </row>
        <row r="350">
          <cell r="C350" t="str">
            <v>Jordan D_1120S_75-2770808</v>
          </cell>
          <cell r="I350" t="str">
            <v xml:space="preserve">MO </v>
          </cell>
        </row>
        <row r="351">
          <cell r="C351" t="str">
            <v>Jordan D_1120S_75-2770808</v>
          </cell>
          <cell r="I351" t="str">
            <v xml:space="preserve">MO </v>
          </cell>
        </row>
        <row r="352">
          <cell r="C352" t="str">
            <v>Process _1120S_47-4931647</v>
          </cell>
          <cell r="I352" t="str">
            <v>MO Accounting Services</v>
          </cell>
        </row>
        <row r="353">
          <cell r="C353" t="str">
            <v>Process _1120S_47-4931647</v>
          </cell>
          <cell r="I353" t="str">
            <v>MO Accounting Services</v>
          </cell>
          <cell r="L353">
            <v>1.5</v>
          </cell>
        </row>
        <row r="354">
          <cell r="C354" t="str">
            <v>Process _1120S_47-4931647</v>
          </cell>
          <cell r="I354" t="str">
            <v>MO Accounting Services</v>
          </cell>
          <cell r="L354">
            <v>0.5</v>
          </cell>
        </row>
        <row r="355">
          <cell r="C355" t="str">
            <v>Process _1120S_47-4931647</v>
          </cell>
          <cell r="I355" t="str">
            <v xml:space="preserve">MO </v>
          </cell>
          <cell r="L355">
            <v>1</v>
          </cell>
        </row>
        <row r="356">
          <cell r="C356" t="str">
            <v>Process _1120S_47-4931647</v>
          </cell>
          <cell r="I356" t="str">
            <v xml:space="preserve">MO </v>
          </cell>
        </row>
        <row r="357">
          <cell r="C357" t="str">
            <v>Process _1120S_47-4931647</v>
          </cell>
          <cell r="I357" t="str">
            <v xml:space="preserve">MO </v>
          </cell>
        </row>
        <row r="358">
          <cell r="C358" t="str">
            <v>Process _1120S_47-4931647</v>
          </cell>
          <cell r="I358" t="str">
            <v xml:space="preserve">MO </v>
          </cell>
        </row>
        <row r="359">
          <cell r="C359" t="str">
            <v>Process _1120S_47-4931647</v>
          </cell>
          <cell r="I359" t="str">
            <v xml:space="preserve">MO </v>
          </cell>
        </row>
        <row r="360">
          <cell r="C360" t="str">
            <v>Process _1120S_47-4931647</v>
          </cell>
          <cell r="I360" t="str">
            <v xml:space="preserve">MO </v>
          </cell>
        </row>
        <row r="361">
          <cell r="C361" t="str">
            <v>McKee &amp; _1120S_75-2574153</v>
          </cell>
          <cell r="I361" t="str">
            <v>MO Accounting Services</v>
          </cell>
          <cell r="L361">
            <v>0.75</v>
          </cell>
        </row>
        <row r="362">
          <cell r="C362" t="str">
            <v>McKee &amp; _1120S_75-2574153</v>
          </cell>
          <cell r="I362" t="str">
            <v>MO Accounting Services</v>
          </cell>
          <cell r="L362">
            <v>0.5</v>
          </cell>
        </row>
        <row r="363">
          <cell r="C363" t="str">
            <v>McKee &amp; _1120S_75-2574153</v>
          </cell>
          <cell r="I363" t="str">
            <v xml:space="preserve">MO </v>
          </cell>
          <cell r="L363">
            <v>0.5</v>
          </cell>
        </row>
        <row r="364">
          <cell r="C364" t="str">
            <v>McKee &amp; _1120S_75-2574153</v>
          </cell>
          <cell r="I364" t="str">
            <v>MO 1120S - S Corporation</v>
          </cell>
        </row>
        <row r="365">
          <cell r="C365" t="str">
            <v>McKee &amp; _1120S_75-2574153</v>
          </cell>
          <cell r="I365" t="str">
            <v xml:space="preserve">MO </v>
          </cell>
        </row>
        <row r="366">
          <cell r="C366" t="str">
            <v>McKee &amp; _1120S_75-2574153</v>
          </cell>
          <cell r="I366" t="str">
            <v xml:space="preserve">MO </v>
          </cell>
        </row>
        <row r="367">
          <cell r="C367" t="str">
            <v>McKee &amp; _1120S_75-2574153</v>
          </cell>
          <cell r="I367" t="str">
            <v xml:space="preserve">MO </v>
          </cell>
        </row>
        <row r="368">
          <cell r="C368" t="str">
            <v>McKee &amp; _1120S_75-2574153</v>
          </cell>
          <cell r="I368" t="str">
            <v>MO 1120S - S Corporation</v>
          </cell>
        </row>
        <row r="369">
          <cell r="C369" t="str">
            <v>McKee &amp; _1120S_75-2574153</v>
          </cell>
          <cell r="I369" t="str">
            <v>MO Accounting Services</v>
          </cell>
        </row>
        <row r="370">
          <cell r="C370" t="str">
            <v>McKee &amp; _1120S_75-2574153</v>
          </cell>
          <cell r="I370" t="str">
            <v>MO 1120S - S Corporation</v>
          </cell>
        </row>
        <row r="371">
          <cell r="C371" t="str">
            <v>McKee &amp; _1120S_75-2574153</v>
          </cell>
          <cell r="I371" t="str">
            <v xml:space="preserve">MO </v>
          </cell>
        </row>
        <row r="372">
          <cell r="C372" t="str">
            <v>McKee &amp; _1120S_75-2574153</v>
          </cell>
          <cell r="I372" t="str">
            <v xml:space="preserve">MO </v>
          </cell>
        </row>
        <row r="373">
          <cell r="C373" t="str">
            <v>RHK Insu_1065_46-5057096</v>
          </cell>
          <cell r="I373" t="str">
            <v>MO Accounting Services</v>
          </cell>
          <cell r="L373">
            <v>1</v>
          </cell>
        </row>
        <row r="374">
          <cell r="C374" t="str">
            <v>RHK Insu_1065_46-5057096</v>
          </cell>
          <cell r="I374" t="str">
            <v>MO Accounting Services</v>
          </cell>
          <cell r="L374">
            <v>1</v>
          </cell>
        </row>
        <row r="375">
          <cell r="C375" t="str">
            <v>RHK Insu_1065_46-5057096</v>
          </cell>
          <cell r="I375" t="str">
            <v xml:space="preserve">MO </v>
          </cell>
          <cell r="L375">
            <v>1</v>
          </cell>
        </row>
        <row r="376">
          <cell r="C376" t="str">
            <v>RHK Insu_1065_46-5057096</v>
          </cell>
          <cell r="I376" t="str">
            <v>MO Tax Estimate</v>
          </cell>
        </row>
        <row r="377">
          <cell r="C377" t="str">
            <v>RHK Insu_1065_46-5057096</v>
          </cell>
          <cell r="I377" t="str">
            <v xml:space="preserve">MO </v>
          </cell>
        </row>
        <row r="378">
          <cell r="C378" t="str">
            <v>RHK Insu_1065_46-5057096</v>
          </cell>
          <cell r="I378" t="str">
            <v>MO Accounting Services</v>
          </cell>
        </row>
        <row r="379">
          <cell r="C379" t="str">
            <v>RHK Insu_1065_46-5057096</v>
          </cell>
          <cell r="I379" t="str">
            <v xml:space="preserve">MO </v>
          </cell>
        </row>
        <row r="380">
          <cell r="C380" t="str">
            <v>RHK Insu_1065_46-5057096</v>
          </cell>
          <cell r="I380" t="str">
            <v>MO Accounting Services</v>
          </cell>
        </row>
        <row r="381">
          <cell r="C381" t="str">
            <v>RHK Insu_1065_46-5057096</v>
          </cell>
          <cell r="I381" t="str">
            <v xml:space="preserve">MO </v>
          </cell>
        </row>
        <row r="382">
          <cell r="C382" t="str">
            <v>RHK Insu_1065_46-5057096</v>
          </cell>
          <cell r="I382" t="str">
            <v xml:space="preserve">MO </v>
          </cell>
        </row>
        <row r="383">
          <cell r="C383" t="str">
            <v>RHK Insu_1065_46-5057096</v>
          </cell>
          <cell r="I383" t="str">
            <v xml:space="preserve">MO </v>
          </cell>
        </row>
        <row r="384">
          <cell r="C384" t="str">
            <v>Boyd Con_1040_1</v>
          </cell>
          <cell r="I384" t="str">
            <v>MO Accounting Services</v>
          </cell>
          <cell r="L384">
            <v>5</v>
          </cell>
        </row>
        <row r="385">
          <cell r="C385" t="str">
            <v>Boyd Con_1040_1</v>
          </cell>
          <cell r="I385" t="str">
            <v>MO Accounting Services</v>
          </cell>
          <cell r="L385">
            <v>1</v>
          </cell>
        </row>
        <row r="386">
          <cell r="C386" t="str">
            <v>Boyd Con_1040_1</v>
          </cell>
          <cell r="I386" t="str">
            <v>MO Tax Estimate</v>
          </cell>
        </row>
        <row r="387">
          <cell r="C387" t="str">
            <v>Boyd Con_1040_1</v>
          </cell>
          <cell r="I387" t="str">
            <v xml:space="preserve">MO </v>
          </cell>
        </row>
        <row r="388">
          <cell r="C388" t="str">
            <v>Boyd Con_1040_1</v>
          </cell>
          <cell r="I388" t="str">
            <v>MO Accounting Services</v>
          </cell>
        </row>
        <row r="389">
          <cell r="C389" t="str">
            <v>Boyd Con_1040_1</v>
          </cell>
          <cell r="I389" t="str">
            <v xml:space="preserve">MO </v>
          </cell>
        </row>
        <row r="390">
          <cell r="C390" t="str">
            <v>Boyd Con_1040_1</v>
          </cell>
          <cell r="I390" t="str">
            <v xml:space="preserve">MO </v>
          </cell>
        </row>
        <row r="391">
          <cell r="C391" t="str">
            <v>Boyd Con_1040_1</v>
          </cell>
          <cell r="I391" t="str">
            <v>MO Accounting Services</v>
          </cell>
        </row>
        <row r="392">
          <cell r="C392" t="str">
            <v>Boyd Con_1040_1</v>
          </cell>
          <cell r="I392" t="str">
            <v xml:space="preserve">MO </v>
          </cell>
        </row>
        <row r="393">
          <cell r="C393" t="str">
            <v>Boyd Con_1040_1</v>
          </cell>
          <cell r="I393" t="str">
            <v xml:space="preserve">MO </v>
          </cell>
        </row>
        <row r="394">
          <cell r="C394" t="str">
            <v>Boyd Con_1040_1</v>
          </cell>
          <cell r="I394" t="str">
            <v xml:space="preserve">MO </v>
          </cell>
        </row>
        <row r="395">
          <cell r="C395" t="str">
            <v>Sealoc T_1120C_81-4524962</v>
          </cell>
          <cell r="I395" t="str">
            <v>MO Accounting Services</v>
          </cell>
          <cell r="L395">
            <v>8</v>
          </cell>
        </row>
        <row r="396">
          <cell r="C396" t="str">
            <v>Sealoc T_1120C_81-4524962</v>
          </cell>
          <cell r="I396" t="str">
            <v>MO Accounting Services</v>
          </cell>
          <cell r="L396">
            <v>1.5</v>
          </cell>
        </row>
        <row r="397">
          <cell r="C397" t="str">
            <v>Sealoc T_1120C_81-4524962</v>
          </cell>
          <cell r="I397" t="str">
            <v>MO 1120 - C Corporation</v>
          </cell>
        </row>
        <row r="398">
          <cell r="C398" t="str">
            <v>Sealoc T_1120C_81-4524962</v>
          </cell>
          <cell r="I398" t="str">
            <v xml:space="preserve">MO </v>
          </cell>
        </row>
        <row r="399">
          <cell r="C399" t="str">
            <v>Sealoc T_1120C_81-4524962</v>
          </cell>
          <cell r="I399" t="str">
            <v>MO Accounting Services</v>
          </cell>
        </row>
        <row r="400">
          <cell r="C400" t="str">
            <v>Sealoc T_1120C_81-4524962</v>
          </cell>
          <cell r="I400" t="str">
            <v xml:space="preserve">MO </v>
          </cell>
        </row>
        <row r="401">
          <cell r="C401" t="str">
            <v>Sealoc T_1120C_81-4524962</v>
          </cell>
          <cell r="I401" t="str">
            <v>MO 1120 - C Corporation</v>
          </cell>
        </row>
        <row r="402">
          <cell r="C402" t="str">
            <v>Sealoc T_1120C_81-4524962</v>
          </cell>
          <cell r="I402" t="str">
            <v>MO Accounting Services</v>
          </cell>
        </row>
        <row r="403">
          <cell r="C403" t="str">
            <v>Sealoc T_1120C_81-4524962</v>
          </cell>
          <cell r="I403" t="str">
            <v>MO 1120 - C Corporation</v>
          </cell>
        </row>
        <row r="404">
          <cell r="C404" t="str">
            <v>Sealoc T_1120C_81-4524962</v>
          </cell>
          <cell r="I404" t="str">
            <v xml:space="preserve">MO </v>
          </cell>
        </row>
        <row r="405">
          <cell r="C405" t="str">
            <v>Sealoc T_1120C_81-4524962</v>
          </cell>
          <cell r="I405" t="str">
            <v xml:space="preserve">MO </v>
          </cell>
        </row>
        <row r="406">
          <cell r="C406" t="str">
            <v>Sure Sho_1065_47-5371628</v>
          </cell>
          <cell r="I406" t="str">
            <v>MO Accounting Services</v>
          </cell>
          <cell r="L406">
            <v>2.5</v>
          </cell>
        </row>
        <row r="407">
          <cell r="C407" t="str">
            <v>Sure Sho_1065_47-5371628</v>
          </cell>
          <cell r="I407" t="str">
            <v>MO Accounting Services</v>
          </cell>
          <cell r="L407">
            <v>6</v>
          </cell>
        </row>
        <row r="408">
          <cell r="C408" t="str">
            <v>Sure Sho_1065_47-5371628</v>
          </cell>
          <cell r="I408" t="str">
            <v xml:space="preserve">MO </v>
          </cell>
          <cell r="L408">
            <v>1</v>
          </cell>
        </row>
        <row r="409">
          <cell r="C409" t="str">
            <v>Sure Sho_1065_47-5371628</v>
          </cell>
          <cell r="I409" t="str">
            <v xml:space="preserve">MO </v>
          </cell>
          <cell r="L409">
            <v>1</v>
          </cell>
        </row>
        <row r="410">
          <cell r="C410" t="str">
            <v>Sure Sho_1065_47-5371628</v>
          </cell>
          <cell r="I410" t="str">
            <v xml:space="preserve">MO </v>
          </cell>
          <cell r="L410">
            <v>2</v>
          </cell>
        </row>
        <row r="411">
          <cell r="C411" t="str">
            <v>Sure Sho_1065_47-5371628</v>
          </cell>
          <cell r="I411" t="str">
            <v xml:space="preserve">MO </v>
          </cell>
          <cell r="L411">
            <v>2</v>
          </cell>
        </row>
        <row r="412">
          <cell r="C412" t="str">
            <v>Sure Sho_1065_47-5371628</v>
          </cell>
          <cell r="I412" t="str">
            <v xml:space="preserve">MO </v>
          </cell>
          <cell r="L412">
            <v>1</v>
          </cell>
        </row>
        <row r="413">
          <cell r="C413" t="str">
            <v>Sure Sho_1065_47-5371628</v>
          </cell>
          <cell r="I413" t="str">
            <v>MO Tax Estimate</v>
          </cell>
        </row>
        <row r="414">
          <cell r="C414" t="str">
            <v>Sure Sho_1065_47-5371628</v>
          </cell>
          <cell r="I414" t="str">
            <v xml:space="preserve">MO </v>
          </cell>
        </row>
        <row r="415">
          <cell r="C415" t="str">
            <v>Sure Sho_1065_47-5371628</v>
          </cell>
          <cell r="I415" t="str">
            <v xml:space="preserve">MO </v>
          </cell>
        </row>
        <row r="416">
          <cell r="C416" t="str">
            <v>Sure Sho_1065_47-5371628</v>
          </cell>
          <cell r="I416" t="str">
            <v xml:space="preserve">MO </v>
          </cell>
        </row>
        <row r="417">
          <cell r="C417" t="str">
            <v>Sure Sho_1065_47-5371628</v>
          </cell>
          <cell r="I417" t="str">
            <v xml:space="preserve">MO </v>
          </cell>
        </row>
        <row r="418">
          <cell r="C418" t="str">
            <v>Sure Sho_1065_47-5371628</v>
          </cell>
          <cell r="I418" t="str">
            <v xml:space="preserve">MO </v>
          </cell>
        </row>
        <row r="419">
          <cell r="C419" t="str">
            <v>Sure Sho_1065_47-5371628</v>
          </cell>
          <cell r="I419" t="str">
            <v xml:space="preserve">MO </v>
          </cell>
        </row>
        <row r="420">
          <cell r="C420" t="str">
            <v>Sure Sho_1065_47-5371628</v>
          </cell>
          <cell r="I420" t="str">
            <v xml:space="preserve">MO </v>
          </cell>
        </row>
        <row r="421">
          <cell r="C421" t="str">
            <v>Sure Sho_1065_47-5371628</v>
          </cell>
          <cell r="I421" t="str">
            <v xml:space="preserve">MO </v>
          </cell>
        </row>
        <row r="422">
          <cell r="C422" t="str">
            <v>Sure Sho_1065_47-5371628</v>
          </cell>
          <cell r="I422" t="str">
            <v xml:space="preserve">MO </v>
          </cell>
        </row>
        <row r="423">
          <cell r="C423" t="str">
            <v>Sure Sho_1065_47-5371628</v>
          </cell>
          <cell r="I423" t="str">
            <v xml:space="preserve">MO </v>
          </cell>
        </row>
        <row r="424">
          <cell r="C424" t="str">
            <v>Jennings_1120S_46-1143777</v>
          </cell>
          <cell r="I424" t="str">
            <v>MO Accounting Services</v>
          </cell>
          <cell r="L424">
            <v>4</v>
          </cell>
        </row>
        <row r="425">
          <cell r="C425" t="str">
            <v>Jennings_1120S_46-1143777</v>
          </cell>
          <cell r="I425" t="str">
            <v>MO Accounting Services</v>
          </cell>
          <cell r="L425">
            <v>1</v>
          </cell>
        </row>
        <row r="426">
          <cell r="C426" t="str">
            <v>Jennings_1120S_46-1143777</v>
          </cell>
          <cell r="I426" t="str">
            <v>MO Accounting Services</v>
          </cell>
          <cell r="L426">
            <v>2</v>
          </cell>
        </row>
        <row r="427">
          <cell r="C427" t="str">
            <v>Jennings_1120S_46-1143777</v>
          </cell>
          <cell r="I427" t="str">
            <v>MO 1120S - S Corporation</v>
          </cell>
        </row>
        <row r="428">
          <cell r="C428" t="str">
            <v>Jennings_1120S_46-1143777</v>
          </cell>
          <cell r="I428" t="str">
            <v xml:space="preserve">MO </v>
          </cell>
        </row>
        <row r="429">
          <cell r="C429" t="str">
            <v>Jennings_1120S_46-1143777</v>
          </cell>
          <cell r="I429" t="str">
            <v xml:space="preserve">MO </v>
          </cell>
        </row>
        <row r="430">
          <cell r="C430" t="str">
            <v>Jennings_1120S_46-1143777</v>
          </cell>
          <cell r="I430" t="str">
            <v xml:space="preserve">MO </v>
          </cell>
        </row>
        <row r="431">
          <cell r="C431" t="str">
            <v>Jennings_1120S_46-1143777</v>
          </cell>
          <cell r="I431" t="str">
            <v xml:space="preserve">MO </v>
          </cell>
        </row>
        <row r="432">
          <cell r="C432" t="str">
            <v>Jennings_1120S_46-1143777</v>
          </cell>
          <cell r="I432" t="str">
            <v>MO 1120S - S Corporation</v>
          </cell>
        </row>
        <row r="433">
          <cell r="C433" t="str">
            <v>Jennings_1120S_46-1143777</v>
          </cell>
          <cell r="I433" t="str">
            <v>MO 1120S - S Corporation</v>
          </cell>
        </row>
        <row r="434">
          <cell r="C434" t="str">
            <v>Jennings_1120S_46-1143777</v>
          </cell>
          <cell r="I434" t="str">
            <v>MO Sales Tax Services</v>
          </cell>
        </row>
        <row r="435">
          <cell r="C435" t="str">
            <v>Jennings_1120S_46-1143777</v>
          </cell>
          <cell r="I435" t="str">
            <v xml:space="preserve">MO </v>
          </cell>
        </row>
        <row r="436">
          <cell r="C436" t="str">
            <v>Jennings_1120S_46-1143777</v>
          </cell>
          <cell r="I436" t="str">
            <v xml:space="preserve">MO </v>
          </cell>
        </row>
        <row r="437">
          <cell r="C437" t="str">
            <v>Ignite S_1065_1</v>
          </cell>
          <cell r="I437" t="str">
            <v>MO Accounting Services</v>
          </cell>
          <cell r="L437">
            <v>4</v>
          </cell>
        </row>
        <row r="438">
          <cell r="C438" t="str">
            <v>Ignite S_1065_1</v>
          </cell>
          <cell r="I438" t="str">
            <v>MO Accounting Services</v>
          </cell>
          <cell r="L438">
            <v>1.5</v>
          </cell>
        </row>
        <row r="439">
          <cell r="C439" t="str">
            <v>Ignite S_1065_1</v>
          </cell>
          <cell r="I439" t="str">
            <v>MO Accounting Services</v>
          </cell>
          <cell r="L439">
            <v>1</v>
          </cell>
        </row>
        <row r="440">
          <cell r="C440" t="str">
            <v>Ignite S_1065_1</v>
          </cell>
          <cell r="I440" t="str">
            <v>MO Tax Estimate</v>
          </cell>
        </row>
        <row r="441">
          <cell r="C441" t="str">
            <v>Ignite S_1065_1</v>
          </cell>
          <cell r="I441" t="str">
            <v>MO Accounting Services</v>
          </cell>
        </row>
        <row r="442">
          <cell r="C442" t="str">
            <v>Ignite S_1065_1</v>
          </cell>
          <cell r="I442" t="str">
            <v>MO Accounting Services</v>
          </cell>
        </row>
        <row r="443">
          <cell r="C443" t="str">
            <v>Ignite S_1065_1</v>
          </cell>
          <cell r="I443" t="str">
            <v xml:space="preserve">MO </v>
          </cell>
        </row>
        <row r="444">
          <cell r="C444" t="str">
            <v>Ignite S_1065_1</v>
          </cell>
          <cell r="I444" t="str">
            <v>MO Accounting Services</v>
          </cell>
        </row>
        <row r="445">
          <cell r="C445" t="str">
            <v>Ignite S_1065_1</v>
          </cell>
          <cell r="I445" t="str">
            <v xml:space="preserve">MO </v>
          </cell>
        </row>
        <row r="446">
          <cell r="C446" t="str">
            <v>Ignite S_1065_1</v>
          </cell>
          <cell r="I446" t="str">
            <v xml:space="preserve">MO </v>
          </cell>
        </row>
        <row r="447">
          <cell r="C447" t="str">
            <v>Evan Eve_1040_1</v>
          </cell>
          <cell r="I447" t="str">
            <v>MO Accounting Services</v>
          </cell>
          <cell r="L447">
            <v>3</v>
          </cell>
        </row>
        <row r="448">
          <cell r="C448" t="str">
            <v>Evan Eve_1040_1</v>
          </cell>
          <cell r="I448" t="str">
            <v>MO Accounting Services</v>
          </cell>
        </row>
        <row r="449">
          <cell r="C449" t="str">
            <v>Evan Eve_1040_1</v>
          </cell>
          <cell r="I449" t="str">
            <v>MO Accounting Services</v>
          </cell>
        </row>
        <row r="450">
          <cell r="C450" t="str">
            <v>Evan Eve_1040_1</v>
          </cell>
          <cell r="I450" t="str">
            <v xml:space="preserve">MO </v>
          </cell>
        </row>
        <row r="451">
          <cell r="C451" t="str">
            <v>Evan Eve_1040_1</v>
          </cell>
          <cell r="I451" t="str">
            <v xml:space="preserve">MO </v>
          </cell>
        </row>
        <row r="452">
          <cell r="C452" t="str">
            <v>Evan Eve_1040_1</v>
          </cell>
          <cell r="I452" t="str">
            <v>MO Accounting Services</v>
          </cell>
        </row>
        <row r="453">
          <cell r="C453" t="str">
            <v>Evan Eve_1040_1</v>
          </cell>
          <cell r="I453" t="str">
            <v xml:space="preserve">MO </v>
          </cell>
        </row>
        <row r="454">
          <cell r="C454" t="str">
            <v>Evan Eve_1040_1</v>
          </cell>
          <cell r="I454" t="str">
            <v xml:space="preserve">MO </v>
          </cell>
        </row>
        <row r="455">
          <cell r="C455" t="str">
            <v>Evan Eve_1040_1</v>
          </cell>
          <cell r="I455" t="str">
            <v>MO Accounting Services</v>
          </cell>
          <cell r="L455">
            <v>6</v>
          </cell>
        </row>
        <row r="456">
          <cell r="C456" t="str">
            <v>Evan Eve_1040_1</v>
          </cell>
          <cell r="I456" t="str">
            <v xml:space="preserve">MO </v>
          </cell>
          <cell r="L456">
            <v>1.5</v>
          </cell>
        </row>
        <row r="457">
          <cell r="C457" t="str">
            <v>Evan Eve_1040_1</v>
          </cell>
          <cell r="I457" t="str">
            <v xml:space="preserve">MO </v>
          </cell>
        </row>
        <row r="458">
          <cell r="C458" t="str">
            <v>Evan Eve_1040_1</v>
          </cell>
          <cell r="I458" t="str">
            <v xml:space="preserve">MO </v>
          </cell>
        </row>
        <row r="459">
          <cell r="C459" t="str">
            <v>Evan Eve_1040_1</v>
          </cell>
          <cell r="I459" t="str">
            <v xml:space="preserve">MO </v>
          </cell>
        </row>
        <row r="460">
          <cell r="C460" t="str">
            <v>Evan Eve_1040_1</v>
          </cell>
          <cell r="I460" t="str">
            <v>MO Accounting Services</v>
          </cell>
        </row>
        <row r="461">
          <cell r="C461" t="str">
            <v>Evan Eve_1040_1</v>
          </cell>
          <cell r="I461" t="str">
            <v xml:space="preserve">MO </v>
          </cell>
        </row>
        <row r="462">
          <cell r="C462" t="str">
            <v>Evan Eve_1040_1</v>
          </cell>
          <cell r="I462" t="str">
            <v xml:space="preserve">MO </v>
          </cell>
        </row>
        <row r="463">
          <cell r="C463" t="str">
            <v>Evan Eve_1040_1</v>
          </cell>
          <cell r="I463" t="str">
            <v>MO Accounting Services</v>
          </cell>
          <cell r="L463">
            <v>4</v>
          </cell>
        </row>
        <row r="464">
          <cell r="C464" t="str">
            <v>Evan Eve_1040_1</v>
          </cell>
          <cell r="I464" t="str">
            <v xml:space="preserve">MO </v>
          </cell>
          <cell r="L464">
            <v>1.5</v>
          </cell>
        </row>
        <row r="465">
          <cell r="C465" t="str">
            <v>Evan Eve_1040_1</v>
          </cell>
          <cell r="I465" t="str">
            <v xml:space="preserve">MO </v>
          </cell>
        </row>
        <row r="466">
          <cell r="C466" t="str">
            <v>Evan Eve_1040_1</v>
          </cell>
          <cell r="I466" t="str">
            <v xml:space="preserve">MO </v>
          </cell>
        </row>
        <row r="467">
          <cell r="C467" t="str">
            <v>Evan Eve_1040_1</v>
          </cell>
          <cell r="I467" t="str">
            <v xml:space="preserve">MO </v>
          </cell>
        </row>
        <row r="468">
          <cell r="C468" t="str">
            <v>Evan Eve_1040_1</v>
          </cell>
          <cell r="I468" t="str">
            <v>MO Accounting Services</v>
          </cell>
        </row>
        <row r="469">
          <cell r="C469" t="str">
            <v>Evan Eve_1040_1</v>
          </cell>
          <cell r="I469" t="str">
            <v xml:space="preserve">MO </v>
          </cell>
        </row>
        <row r="470">
          <cell r="C470" t="str">
            <v>Evan Eve_1040_1</v>
          </cell>
          <cell r="I470" t="str">
            <v xml:space="preserve">MO </v>
          </cell>
        </row>
        <row r="471">
          <cell r="C471" t="str">
            <v>Evan Eve_1040_1</v>
          </cell>
          <cell r="I471" t="str">
            <v xml:space="preserve">MO </v>
          </cell>
        </row>
        <row r="472">
          <cell r="C472" t="str">
            <v>Ora Dent_1120S_47-3995289</v>
          </cell>
          <cell r="I472" t="str">
            <v>MO Accounting Services</v>
          </cell>
          <cell r="L472">
            <v>4</v>
          </cell>
        </row>
        <row r="473">
          <cell r="C473" t="str">
            <v>Ora Dent_1120S_47-3995289</v>
          </cell>
          <cell r="I473" t="str">
            <v>MO Accounting Services</v>
          </cell>
          <cell r="L473">
            <v>1</v>
          </cell>
        </row>
        <row r="474">
          <cell r="C474" t="str">
            <v>Ora Dent_1120S_47-3995289</v>
          </cell>
          <cell r="I474" t="str">
            <v xml:space="preserve">MO </v>
          </cell>
          <cell r="L474">
            <v>2</v>
          </cell>
        </row>
        <row r="475">
          <cell r="C475" t="str">
            <v>Ora Dent_1120S_47-3995289</v>
          </cell>
          <cell r="I475" t="str">
            <v>MO 1120S - S Corporation</v>
          </cell>
        </row>
        <row r="476">
          <cell r="C476" t="str">
            <v>Ora Dent_1120S_47-3995289</v>
          </cell>
          <cell r="I476" t="str">
            <v xml:space="preserve">MO </v>
          </cell>
        </row>
        <row r="477">
          <cell r="C477" t="str">
            <v>Ora Dent_1120S_47-3995289</v>
          </cell>
          <cell r="I477" t="str">
            <v xml:space="preserve">MO </v>
          </cell>
        </row>
        <row r="478">
          <cell r="C478" t="str">
            <v>Ora Dent_1120S_47-3995289</v>
          </cell>
          <cell r="I478" t="str">
            <v>MO 1120S - S Corporation</v>
          </cell>
        </row>
        <row r="479">
          <cell r="C479" t="str">
            <v>Ora Dent_1120S_47-3995289</v>
          </cell>
          <cell r="I479" t="str">
            <v>MO 1120S - S Corporation</v>
          </cell>
        </row>
        <row r="480">
          <cell r="C480" t="str">
            <v>Ora Dent_1120S_47-3995289</v>
          </cell>
          <cell r="I480" t="str">
            <v xml:space="preserve">MO </v>
          </cell>
        </row>
        <row r="481">
          <cell r="C481" t="str">
            <v>Ora Dent_1120S_47-3995289</v>
          </cell>
          <cell r="I481" t="str">
            <v xml:space="preserve">MO </v>
          </cell>
        </row>
        <row r="482">
          <cell r="C482" t="str">
            <v>Ora Dent_1120S_47-3995289</v>
          </cell>
          <cell r="I482" t="str">
            <v xml:space="preserve">MO </v>
          </cell>
        </row>
        <row r="483">
          <cell r="C483" t="str">
            <v>Ora Dent_1120S_47-3995289</v>
          </cell>
          <cell r="I483" t="str">
            <v xml:space="preserve">MO </v>
          </cell>
        </row>
        <row r="484">
          <cell r="C484" t="str">
            <v>Renewabl_1065_36-4777678</v>
          </cell>
          <cell r="I484" t="str">
            <v>MO Accounting Services</v>
          </cell>
          <cell r="L484">
            <v>1.5</v>
          </cell>
        </row>
        <row r="485">
          <cell r="C485" t="str">
            <v>Renewabl_1065_36-4777678</v>
          </cell>
          <cell r="I485" t="str">
            <v>MO Accounting Services</v>
          </cell>
          <cell r="L485">
            <v>4.5</v>
          </cell>
        </row>
        <row r="486">
          <cell r="C486" t="str">
            <v>Renewabl_1065_36-4777678</v>
          </cell>
          <cell r="I486" t="str">
            <v xml:space="preserve">MO </v>
          </cell>
          <cell r="L486">
            <v>3</v>
          </cell>
        </row>
        <row r="487">
          <cell r="C487" t="str">
            <v>Renewabl_1065_36-4777678</v>
          </cell>
          <cell r="I487" t="str">
            <v xml:space="preserve">MO </v>
          </cell>
          <cell r="L487">
            <v>1</v>
          </cell>
        </row>
        <row r="488">
          <cell r="C488" t="str">
            <v>Renewabl_1065_36-4777678</v>
          </cell>
          <cell r="I488" t="str">
            <v xml:space="preserve">MO </v>
          </cell>
          <cell r="L488">
            <v>0.5</v>
          </cell>
        </row>
        <row r="489">
          <cell r="C489" t="str">
            <v>Renewabl_1065_36-4777678</v>
          </cell>
          <cell r="I489" t="str">
            <v xml:space="preserve">MO </v>
          </cell>
        </row>
        <row r="490">
          <cell r="C490" t="str">
            <v>Renewabl_1065_36-4777678</v>
          </cell>
          <cell r="I490" t="str">
            <v xml:space="preserve">MO </v>
          </cell>
        </row>
        <row r="491">
          <cell r="C491" t="str">
            <v>Renewabl_1065_36-4777678</v>
          </cell>
          <cell r="I491" t="str">
            <v xml:space="preserve">MO </v>
          </cell>
        </row>
        <row r="492">
          <cell r="C492" t="str">
            <v>Renewabl_1065_36-4777678</v>
          </cell>
          <cell r="I492" t="str">
            <v xml:space="preserve">MO </v>
          </cell>
        </row>
        <row r="493">
          <cell r="C493" t="str">
            <v>Renewabl_1065_36-4777678</v>
          </cell>
          <cell r="I493" t="str">
            <v xml:space="preserve">MO </v>
          </cell>
        </row>
        <row r="494">
          <cell r="C494" t="str">
            <v>Renewabl_1065_36-4777678</v>
          </cell>
          <cell r="I494" t="str">
            <v xml:space="preserve">MO </v>
          </cell>
        </row>
        <row r="495">
          <cell r="C495" t="str">
            <v>Renewabl_1065_36-4777678</v>
          </cell>
          <cell r="I495" t="str">
            <v xml:space="preserve">MO </v>
          </cell>
        </row>
        <row r="496">
          <cell r="C496" t="str">
            <v>Renewabl_1065_36-4777678</v>
          </cell>
          <cell r="I496" t="str">
            <v xml:space="preserve">MO </v>
          </cell>
        </row>
        <row r="497">
          <cell r="C497" t="str">
            <v>Franklin_1120S_46-4526089</v>
          </cell>
          <cell r="I497" t="str">
            <v>MO Accounting Services</v>
          </cell>
          <cell r="L497">
            <v>7</v>
          </cell>
        </row>
        <row r="498">
          <cell r="C498" t="str">
            <v>Franklin_1120S_46-4526089</v>
          </cell>
          <cell r="I498" t="str">
            <v>MO Accounting Services</v>
          </cell>
          <cell r="L498">
            <v>2</v>
          </cell>
        </row>
        <row r="499">
          <cell r="C499" t="str">
            <v>Franklin_1120S_46-4526089</v>
          </cell>
          <cell r="I499" t="str">
            <v>MO 1120S - S Corporation</v>
          </cell>
        </row>
        <row r="500">
          <cell r="C500" t="str">
            <v>Franklin_1120S_46-4526089</v>
          </cell>
          <cell r="I500" t="str">
            <v xml:space="preserve">MO </v>
          </cell>
        </row>
        <row r="501">
          <cell r="C501" t="str">
            <v>Franklin_1120S_46-4526089</v>
          </cell>
          <cell r="I501" t="str">
            <v>MO 1120S - S Corporation</v>
          </cell>
        </row>
        <row r="502">
          <cell r="C502" t="str">
            <v>Franklin_1120S_46-4526089</v>
          </cell>
          <cell r="I502" t="str">
            <v>MO 1120S - S Corporation</v>
          </cell>
        </row>
        <row r="503">
          <cell r="C503" t="str">
            <v>Franklin_1120S_46-4526089</v>
          </cell>
          <cell r="I503" t="str">
            <v xml:space="preserve">MO </v>
          </cell>
        </row>
        <row r="504">
          <cell r="C504" t="str">
            <v>Franklin_1120S_46-4526089</v>
          </cell>
          <cell r="I504" t="str">
            <v xml:space="preserve">MO </v>
          </cell>
        </row>
        <row r="505">
          <cell r="C505" t="str">
            <v>Solisyst_1120S_75-2961419</v>
          </cell>
          <cell r="I505" t="str">
            <v>MO Accounting Services</v>
          </cell>
          <cell r="L505">
            <v>10</v>
          </cell>
        </row>
        <row r="506">
          <cell r="C506" t="str">
            <v>Solisyst_1120S_75-2961419</v>
          </cell>
          <cell r="I506" t="str">
            <v>MO Accounting Services</v>
          </cell>
          <cell r="L506">
            <v>2.5</v>
          </cell>
        </row>
        <row r="507">
          <cell r="C507" t="str">
            <v>Solisyst_1120S_75-2961419</v>
          </cell>
          <cell r="I507" t="str">
            <v>MO 1120S - S Corporation</v>
          </cell>
        </row>
        <row r="508">
          <cell r="C508" t="str">
            <v>Solisyst_1120S_75-2961419</v>
          </cell>
          <cell r="I508" t="str">
            <v xml:space="preserve">MO </v>
          </cell>
        </row>
        <row r="509">
          <cell r="C509" t="str">
            <v>Solisyst_1120S_75-2961419</v>
          </cell>
          <cell r="I509" t="str">
            <v xml:space="preserve">MO </v>
          </cell>
        </row>
        <row r="510">
          <cell r="C510" t="str">
            <v>Solisyst_1120S_75-2961419</v>
          </cell>
          <cell r="I510" t="str">
            <v xml:space="preserve">MO </v>
          </cell>
        </row>
        <row r="511">
          <cell r="C511" t="str">
            <v>Solisyst_1120S_75-2961419</v>
          </cell>
          <cell r="I511" t="str">
            <v xml:space="preserve">MO </v>
          </cell>
        </row>
        <row r="512">
          <cell r="C512" t="str">
            <v>Solisyst_1120S_75-2961419</v>
          </cell>
          <cell r="I512" t="str">
            <v>MO 1120S - S Corporation</v>
          </cell>
        </row>
        <row r="513">
          <cell r="C513" t="str">
            <v>Solisyst_1120S_75-2961419</v>
          </cell>
          <cell r="I513" t="str">
            <v>MO 1120S - S Corporation</v>
          </cell>
        </row>
        <row r="514">
          <cell r="C514" t="str">
            <v>Solisyst_1120S_75-2961419</v>
          </cell>
          <cell r="I514" t="str">
            <v>MO Sales Tax Services</v>
          </cell>
        </row>
        <row r="515">
          <cell r="C515" t="str">
            <v>Solisyst_1120S_75-2961419</v>
          </cell>
          <cell r="I515" t="str">
            <v xml:space="preserve">MO </v>
          </cell>
        </row>
        <row r="516">
          <cell r="C516" t="str">
            <v>Solisyst_1120S_75-2961419</v>
          </cell>
          <cell r="I516" t="str">
            <v xml:space="preserve">MO </v>
          </cell>
        </row>
        <row r="517">
          <cell r="C517" t="str">
            <v>Solisyst_1120S_75-2961419</v>
          </cell>
          <cell r="I517" t="str">
            <v xml:space="preserve">MO </v>
          </cell>
        </row>
        <row r="518">
          <cell r="C518" t="str">
            <v>22 Kill_990_47-3864997</v>
          </cell>
          <cell r="I518" t="str">
            <v>MO Accounting Services</v>
          </cell>
          <cell r="L518">
            <v>8</v>
          </cell>
        </row>
        <row r="519">
          <cell r="C519" t="str">
            <v>22 Kill_990_47-3864997</v>
          </cell>
          <cell r="I519" t="str">
            <v>MO Accounting Services</v>
          </cell>
          <cell r="L519">
            <v>3</v>
          </cell>
        </row>
        <row r="520">
          <cell r="C520" t="str">
            <v>22 Kill_990_47-3864997</v>
          </cell>
          <cell r="I520" t="str">
            <v>MO Accounting Services</v>
          </cell>
          <cell r="L520">
            <v>4</v>
          </cell>
        </row>
        <row r="521">
          <cell r="C521" t="str">
            <v>22 Kill_990_47-3864997</v>
          </cell>
          <cell r="I521" t="str">
            <v>MO Accounting Services</v>
          </cell>
          <cell r="L521">
            <v>2</v>
          </cell>
        </row>
        <row r="522">
          <cell r="C522" t="str">
            <v>22 Kill_990_47-3864997</v>
          </cell>
          <cell r="I522" t="str">
            <v xml:space="preserve">MO </v>
          </cell>
          <cell r="L522">
            <v>5</v>
          </cell>
        </row>
        <row r="523">
          <cell r="C523" t="str">
            <v>22 Kill_990_47-3864997</v>
          </cell>
          <cell r="I523" t="str">
            <v>MO Sales Tax Services</v>
          </cell>
          <cell r="L523">
            <v>1.5</v>
          </cell>
        </row>
        <row r="524">
          <cell r="C524" t="str">
            <v>22 Kill_990_47-3864997</v>
          </cell>
          <cell r="I524" t="str">
            <v>MO Accounting Services</v>
          </cell>
        </row>
        <row r="525">
          <cell r="C525" t="str">
            <v>22 Kill_990_47-3864997</v>
          </cell>
          <cell r="I525" t="str">
            <v xml:space="preserve">MO </v>
          </cell>
        </row>
        <row r="526">
          <cell r="C526" t="str">
            <v>22 Kill_990_47-3864997</v>
          </cell>
          <cell r="I526" t="str">
            <v>MO Accounting Services</v>
          </cell>
        </row>
        <row r="527">
          <cell r="C527" t="str">
            <v>22 Kill_990_47-3864997</v>
          </cell>
          <cell r="I527" t="str">
            <v>MO Accounting Services</v>
          </cell>
        </row>
        <row r="528">
          <cell r="C528" t="str">
            <v>22 Kill_990_47-3864997</v>
          </cell>
          <cell r="I528" t="str">
            <v xml:space="preserve">MO </v>
          </cell>
        </row>
        <row r="529">
          <cell r="C529" t="str">
            <v>22 Kill_990_47-3864997</v>
          </cell>
          <cell r="I529" t="str">
            <v xml:space="preserve">MO </v>
          </cell>
        </row>
        <row r="530">
          <cell r="C530" t="str">
            <v>22 Kill_990_47-3864997</v>
          </cell>
          <cell r="I530" t="str">
            <v xml:space="preserve">MO </v>
          </cell>
        </row>
        <row r="531">
          <cell r="C531" t="str">
            <v>22 Kill_990_47-3864997</v>
          </cell>
          <cell r="I531" t="str">
            <v>MO Accounting Services</v>
          </cell>
        </row>
        <row r="532">
          <cell r="C532" t="str">
            <v>22 Kill_990_47-3864997</v>
          </cell>
          <cell r="I532" t="str">
            <v xml:space="preserve">MO </v>
          </cell>
        </row>
        <row r="533">
          <cell r="C533" t="str">
            <v>22 Kill_990_47-3864997</v>
          </cell>
          <cell r="I533" t="str">
            <v xml:space="preserve">MO </v>
          </cell>
        </row>
        <row r="534">
          <cell r="C534" t="str">
            <v>Dog Star_1120S_75-2613222</v>
          </cell>
          <cell r="I534" t="str">
            <v>MO Accounting Services</v>
          </cell>
          <cell r="L534">
            <v>4</v>
          </cell>
        </row>
        <row r="535">
          <cell r="C535" t="str">
            <v>Dog Star_1120S_75-2613222</v>
          </cell>
          <cell r="I535" t="str">
            <v>MO Accounting Services</v>
          </cell>
          <cell r="L535">
            <v>5</v>
          </cell>
        </row>
        <row r="536">
          <cell r="C536" t="str">
            <v>Dog Star_1120S_75-2613222</v>
          </cell>
          <cell r="I536" t="str">
            <v>MO Accounting Services</v>
          </cell>
          <cell r="L536">
            <v>2</v>
          </cell>
        </row>
        <row r="537">
          <cell r="C537" t="str">
            <v>Dog Star_1120S_75-2613222</v>
          </cell>
          <cell r="I537" t="str">
            <v>MO Sales Tax Services</v>
          </cell>
          <cell r="L537">
            <v>1</v>
          </cell>
        </row>
        <row r="538">
          <cell r="C538" t="str">
            <v>Dog Star_1120S_75-2613222</v>
          </cell>
          <cell r="I538" t="str">
            <v>MO Accounting Services</v>
          </cell>
          <cell r="L538">
            <v>18</v>
          </cell>
        </row>
        <row r="539">
          <cell r="C539" t="str">
            <v>Dog Star_1120S_75-2613222</v>
          </cell>
          <cell r="I539" t="str">
            <v>MO 1120S - S Corporation</v>
          </cell>
        </row>
        <row r="540">
          <cell r="C540" t="str">
            <v>Dog Star_1120S_75-2613222</v>
          </cell>
          <cell r="I540" t="str">
            <v xml:space="preserve">MO </v>
          </cell>
        </row>
        <row r="541">
          <cell r="C541" t="str">
            <v>Dog Star_1120S_75-2613222</v>
          </cell>
          <cell r="I541" t="str">
            <v>MO Accounting Services</v>
          </cell>
        </row>
        <row r="542">
          <cell r="C542" t="str">
            <v>Dog Star_1120S_75-2613222</v>
          </cell>
          <cell r="I542" t="str">
            <v>MO Accounting Services</v>
          </cell>
        </row>
        <row r="543">
          <cell r="C543" t="str">
            <v>Dog Star_1120S_75-2613222</v>
          </cell>
          <cell r="I543" t="str">
            <v>MO 1120S - S Corporation</v>
          </cell>
        </row>
        <row r="544">
          <cell r="C544" t="str">
            <v>Dog Star_1120S_75-2613222</v>
          </cell>
          <cell r="I544" t="str">
            <v>MO 1120S - S Corporation</v>
          </cell>
        </row>
        <row r="545">
          <cell r="C545" t="str">
            <v>Dog Star_1120S_75-2613222</v>
          </cell>
          <cell r="I545" t="str">
            <v xml:space="preserve">MO </v>
          </cell>
        </row>
        <row r="546">
          <cell r="C546" t="str">
            <v>Dog Star_1120S_75-2613222</v>
          </cell>
          <cell r="I546" t="str">
            <v xml:space="preserve">MO </v>
          </cell>
        </row>
        <row r="547">
          <cell r="C547" t="str">
            <v>Dog Star_1120S_75-2613222</v>
          </cell>
          <cell r="I547" t="str">
            <v xml:space="preserve">MO </v>
          </cell>
        </row>
        <row r="548">
          <cell r="C548" t="str">
            <v>Dog Star_1120S_75-2613222</v>
          </cell>
          <cell r="I548" t="str">
            <v xml:space="preserve">MO </v>
          </cell>
        </row>
        <row r="549">
          <cell r="C549" t="str">
            <v>Revoluti_1120S_45-4921581</v>
          </cell>
          <cell r="I549" t="str">
            <v>MO Accounting Services</v>
          </cell>
          <cell r="L549">
            <v>4</v>
          </cell>
        </row>
        <row r="550">
          <cell r="C550" t="str">
            <v>Revoluti_1120S_45-4921581</v>
          </cell>
          <cell r="I550" t="str">
            <v>MO Accounting Services</v>
          </cell>
          <cell r="L550">
            <v>1.5</v>
          </cell>
        </row>
        <row r="551">
          <cell r="C551" t="str">
            <v>Revoluti_1120S_45-4921581</v>
          </cell>
          <cell r="I551" t="str">
            <v xml:space="preserve">MO </v>
          </cell>
          <cell r="L551">
            <v>2</v>
          </cell>
        </row>
        <row r="552">
          <cell r="C552" t="str">
            <v>Revoluti_1120S_45-4921581</v>
          </cell>
          <cell r="I552" t="str">
            <v>MO 1120S - S Corporation</v>
          </cell>
        </row>
        <row r="553">
          <cell r="C553" t="str">
            <v>Revoluti_1120S_45-4921581</v>
          </cell>
          <cell r="I553" t="str">
            <v xml:space="preserve">MO </v>
          </cell>
        </row>
        <row r="554">
          <cell r="C554" t="str">
            <v>Revoluti_1120S_45-4921581</v>
          </cell>
          <cell r="I554" t="str">
            <v xml:space="preserve">MO </v>
          </cell>
        </row>
        <row r="555">
          <cell r="C555" t="str">
            <v>Revoluti_1120S_45-4921581</v>
          </cell>
          <cell r="I555" t="str">
            <v>MO 1120S - S Corporation</v>
          </cell>
        </row>
        <row r="556">
          <cell r="C556" t="str">
            <v>Revoluti_1120S_45-4921581</v>
          </cell>
          <cell r="I556" t="str">
            <v xml:space="preserve">MO </v>
          </cell>
        </row>
        <row r="557">
          <cell r="C557" t="str">
            <v>Revoluti_1120S_45-4921581</v>
          </cell>
          <cell r="I557" t="str">
            <v xml:space="preserve">MO </v>
          </cell>
        </row>
        <row r="558">
          <cell r="C558" t="str">
            <v>Revoluti_1120S_45-4921581</v>
          </cell>
          <cell r="I558" t="str">
            <v xml:space="preserve">MO </v>
          </cell>
        </row>
        <row r="559">
          <cell r="C559" t="str">
            <v>Nguyen_8776</v>
          </cell>
          <cell r="I559" t="str">
            <v xml:space="preserve">MO </v>
          </cell>
        </row>
        <row r="560">
          <cell r="C560" t="str">
            <v>Nguyen_8776</v>
          </cell>
          <cell r="I560" t="str">
            <v xml:space="preserve">MO </v>
          </cell>
        </row>
        <row r="561">
          <cell r="C561" t="str">
            <v>Nguyen_8776</v>
          </cell>
          <cell r="I561" t="str">
            <v xml:space="preserve">MO </v>
          </cell>
        </row>
        <row r="562">
          <cell r="C562" t="str">
            <v>Jewell R_1120S_82-1296266</v>
          </cell>
          <cell r="I562" t="str">
            <v>MO Accounting Services</v>
          </cell>
          <cell r="L562">
            <v>3.5</v>
          </cell>
        </row>
        <row r="563">
          <cell r="C563" t="str">
            <v>Jewell R_1120S_82-1296266</v>
          </cell>
          <cell r="I563" t="str">
            <v>MO Accounting Services</v>
          </cell>
          <cell r="L563">
            <v>1</v>
          </cell>
        </row>
        <row r="564">
          <cell r="C564" t="str">
            <v>Jewell R_1120S_82-1296266</v>
          </cell>
          <cell r="I564" t="str">
            <v>MO 1120S - S Corporation</v>
          </cell>
        </row>
        <row r="565">
          <cell r="C565" t="str">
            <v>Jewell R_1120S_82-1296266</v>
          </cell>
          <cell r="I565" t="str">
            <v xml:space="preserve">MO </v>
          </cell>
        </row>
        <row r="566">
          <cell r="C566" t="str">
            <v>Jewell R_1120S_82-1296266</v>
          </cell>
          <cell r="I566" t="str">
            <v xml:space="preserve">MO </v>
          </cell>
        </row>
        <row r="567">
          <cell r="C567" t="str">
            <v>Jewell R_1120S_82-1296266</v>
          </cell>
          <cell r="I567" t="str">
            <v xml:space="preserve">MO </v>
          </cell>
        </row>
        <row r="568">
          <cell r="C568" t="str">
            <v>Jewell R_1120S_82-1296266</v>
          </cell>
          <cell r="I568" t="str">
            <v xml:space="preserve">MO </v>
          </cell>
        </row>
        <row r="569">
          <cell r="C569" t="str">
            <v>Jewell R_1120S_82-1296266</v>
          </cell>
          <cell r="I569" t="str">
            <v>MO 1120S - S Corporation</v>
          </cell>
        </row>
        <row r="570">
          <cell r="C570" t="str">
            <v>Jewell R_1120S_82-1296266</v>
          </cell>
          <cell r="I570" t="str">
            <v>MO 1120S - S Corporation</v>
          </cell>
        </row>
        <row r="571">
          <cell r="C571" t="str">
            <v>Jewell R_1120S_82-1296266</v>
          </cell>
          <cell r="I571" t="str">
            <v xml:space="preserve">MO </v>
          </cell>
        </row>
        <row r="572">
          <cell r="C572" t="str">
            <v>Jewell R_1120S_82-1296266</v>
          </cell>
          <cell r="I572" t="str">
            <v xml:space="preserve">MO </v>
          </cell>
        </row>
        <row r="573">
          <cell r="C573" t="str">
            <v>A&amp;M Solu_1120C_47-2585701</v>
          </cell>
          <cell r="I573" t="str">
            <v>MO Accounting Services</v>
          </cell>
          <cell r="L573">
            <v>8</v>
          </cell>
        </row>
        <row r="574">
          <cell r="C574" t="str">
            <v>A&amp;M Solu_1120C_47-2585701</v>
          </cell>
          <cell r="I574" t="str">
            <v>MO Accounting Services</v>
          </cell>
          <cell r="L574">
            <v>4</v>
          </cell>
        </row>
        <row r="575">
          <cell r="C575" t="str">
            <v>A&amp;M Solu_1120C_47-2585701</v>
          </cell>
          <cell r="I575" t="str">
            <v>MO Sales Tax Services</v>
          </cell>
          <cell r="L575">
            <v>2</v>
          </cell>
        </row>
        <row r="576">
          <cell r="C576" t="str">
            <v>A&amp;M Solu_1120C_47-2585701</v>
          </cell>
          <cell r="I576" t="str">
            <v>MO 1120 - C Corporation</v>
          </cell>
        </row>
        <row r="577">
          <cell r="C577" t="str">
            <v>A&amp;M Solu_1120C_47-2585701</v>
          </cell>
          <cell r="I577" t="str">
            <v xml:space="preserve">MO </v>
          </cell>
        </row>
        <row r="578">
          <cell r="C578" t="str">
            <v>A&amp;M Solu_1120C_47-2585701</v>
          </cell>
          <cell r="I578" t="str">
            <v>MO 1120 - C Corporation</v>
          </cell>
        </row>
        <row r="579">
          <cell r="C579" t="str">
            <v>A&amp;M Solu_1120C_47-2585701</v>
          </cell>
          <cell r="I579" t="str">
            <v>MO 1120 - C Corporation</v>
          </cell>
        </row>
        <row r="580">
          <cell r="C580" t="str">
            <v>A&amp;M Solu_1120C_47-2585701</v>
          </cell>
          <cell r="I580" t="str">
            <v xml:space="preserve">MO </v>
          </cell>
        </row>
        <row r="581">
          <cell r="C581" t="str">
            <v>A&amp;M Solu_1120C_47-2585701</v>
          </cell>
          <cell r="I581" t="str">
            <v xml:space="preserve">MO </v>
          </cell>
        </row>
        <row r="582">
          <cell r="C582" t="e">
            <v>#N/A</v>
          </cell>
          <cell r="I582" t="str">
            <v>MO Accounting Services</v>
          </cell>
          <cell r="L582">
            <v>6</v>
          </cell>
        </row>
        <row r="583">
          <cell r="C583" t="e">
            <v>#N/A</v>
          </cell>
          <cell r="I583" t="str">
            <v>MO Accounting Services</v>
          </cell>
          <cell r="L583">
            <v>1</v>
          </cell>
        </row>
        <row r="584">
          <cell r="C584" t="e">
            <v>#N/A</v>
          </cell>
          <cell r="I584" t="str">
            <v>MO Tax Estimate</v>
          </cell>
        </row>
        <row r="585">
          <cell r="C585" t="e">
            <v>#N/A</v>
          </cell>
          <cell r="I585" t="str">
            <v xml:space="preserve">MO </v>
          </cell>
        </row>
        <row r="586">
          <cell r="C586" t="e">
            <v>#N/A</v>
          </cell>
          <cell r="I586" t="str">
            <v xml:space="preserve">MO </v>
          </cell>
        </row>
        <row r="587">
          <cell r="C587" t="e">
            <v>#N/A</v>
          </cell>
          <cell r="I587" t="str">
            <v xml:space="preserve">MO </v>
          </cell>
        </row>
        <row r="588">
          <cell r="C588" t="e">
            <v>#N/A</v>
          </cell>
          <cell r="I588" t="str">
            <v>MO Accounting Services</v>
          </cell>
        </row>
        <row r="589">
          <cell r="C589" t="e">
            <v>#N/A</v>
          </cell>
          <cell r="I589" t="str">
            <v xml:space="preserve">MO </v>
          </cell>
        </row>
        <row r="590">
          <cell r="C590" t="e">
            <v>#N/A</v>
          </cell>
          <cell r="I590" t="str">
            <v xml:space="preserve">MO </v>
          </cell>
        </row>
        <row r="591">
          <cell r="C591" t="e">
            <v>#N/A</v>
          </cell>
          <cell r="I591" t="str">
            <v xml:space="preserve">MO </v>
          </cell>
        </row>
        <row r="592">
          <cell r="C592" t="str">
            <v>Access C_NoTax_0001</v>
          </cell>
          <cell r="I592" t="str">
            <v>MO Accounting Services</v>
          </cell>
          <cell r="L592">
            <v>3.5</v>
          </cell>
        </row>
        <row r="593">
          <cell r="C593" t="str">
            <v>Access C_NoTax_0001</v>
          </cell>
          <cell r="I593" t="str">
            <v>MO Accounting Services</v>
          </cell>
          <cell r="L593">
            <v>1.5</v>
          </cell>
        </row>
        <row r="594">
          <cell r="C594" t="str">
            <v>Access C_NoTax_0001</v>
          </cell>
          <cell r="I594" t="str">
            <v>MO Tax Estimate</v>
          </cell>
        </row>
        <row r="595">
          <cell r="C595" t="str">
            <v>Access C_NoTax_0001</v>
          </cell>
          <cell r="I595" t="str">
            <v xml:space="preserve">MO </v>
          </cell>
        </row>
        <row r="596">
          <cell r="C596" t="str">
            <v>Access C_NoTax_0001</v>
          </cell>
          <cell r="I596" t="str">
            <v xml:space="preserve">MO </v>
          </cell>
        </row>
        <row r="597">
          <cell r="C597" t="str">
            <v>Access C_NoTax_0001</v>
          </cell>
          <cell r="I597" t="str">
            <v xml:space="preserve">MO </v>
          </cell>
        </row>
        <row r="598">
          <cell r="C598" t="str">
            <v>Access C_NoTax_0001</v>
          </cell>
          <cell r="I598" t="str">
            <v xml:space="preserve">MO </v>
          </cell>
        </row>
        <row r="599">
          <cell r="C599" t="str">
            <v>Access C_NoTax_0001</v>
          </cell>
          <cell r="I599" t="str">
            <v xml:space="preserve">MO </v>
          </cell>
        </row>
        <row r="600">
          <cell r="C600" t="str">
            <v>North Da_NoTax_0001</v>
          </cell>
          <cell r="I600" t="str">
            <v>MO Accounting Services</v>
          </cell>
          <cell r="L600">
            <v>6</v>
          </cell>
        </row>
        <row r="601">
          <cell r="C601" t="str">
            <v>North Da_NoTax_0001</v>
          </cell>
          <cell r="I601" t="str">
            <v>MO Accounting Services</v>
          </cell>
          <cell r="L601">
            <v>1.5</v>
          </cell>
        </row>
        <row r="602">
          <cell r="C602" t="str">
            <v>North Da_NoTax_0001</v>
          </cell>
          <cell r="I602" t="str">
            <v>MO Tax Estimate</v>
          </cell>
        </row>
        <row r="603">
          <cell r="C603" t="str">
            <v>North Da_NoTax_0001</v>
          </cell>
          <cell r="I603" t="str">
            <v xml:space="preserve">MO </v>
          </cell>
        </row>
        <row r="604">
          <cell r="C604" t="str">
            <v>North Da_NoTax_0001</v>
          </cell>
          <cell r="I604" t="str">
            <v xml:space="preserve">MO </v>
          </cell>
        </row>
        <row r="605">
          <cell r="C605" t="str">
            <v>North Da_NoTax_0001</v>
          </cell>
          <cell r="I605" t="str">
            <v xml:space="preserve">MO </v>
          </cell>
        </row>
        <row r="606">
          <cell r="C606" t="str">
            <v>North Da_NoTax_0001</v>
          </cell>
          <cell r="I606" t="str">
            <v xml:space="preserve">MO </v>
          </cell>
        </row>
        <row r="607">
          <cell r="C607" t="str">
            <v>North Da_NoTax_0001</v>
          </cell>
          <cell r="I607" t="str">
            <v xml:space="preserve">MO </v>
          </cell>
        </row>
        <row r="608">
          <cell r="C608" t="str">
            <v>RHK Insu_1065_46-5057096</v>
          </cell>
          <cell r="I608" t="str">
            <v>MO Accounting Services</v>
          </cell>
          <cell r="L608">
            <v>1</v>
          </cell>
        </row>
        <row r="609">
          <cell r="C609" t="str">
            <v>RHK Insu_1065_46-5057096</v>
          </cell>
          <cell r="I609" t="str">
            <v>MO Accounting Services</v>
          </cell>
          <cell r="L609">
            <v>1</v>
          </cell>
        </row>
        <row r="610">
          <cell r="C610" t="str">
            <v>RHK Insu_1065_46-5057096</v>
          </cell>
          <cell r="I610" t="str">
            <v xml:space="preserve">MO </v>
          </cell>
          <cell r="L610">
            <v>1</v>
          </cell>
        </row>
        <row r="611">
          <cell r="C611" t="str">
            <v>RHK Insu_1065_46-5057096</v>
          </cell>
          <cell r="I611" t="str">
            <v>MO Tax Estimate</v>
          </cell>
        </row>
        <row r="612">
          <cell r="C612" t="str">
            <v>RHK Insu_1065_46-5057096</v>
          </cell>
          <cell r="I612" t="str">
            <v xml:space="preserve">MO </v>
          </cell>
        </row>
        <row r="613">
          <cell r="C613" t="str">
            <v>RHK Insu_1065_46-5057096</v>
          </cell>
          <cell r="I613" t="str">
            <v>MO Accounting Services</v>
          </cell>
        </row>
        <row r="614">
          <cell r="C614" t="str">
            <v>RHK Insu_1065_46-5057096</v>
          </cell>
          <cell r="I614" t="str">
            <v xml:space="preserve">MO </v>
          </cell>
        </row>
        <row r="615">
          <cell r="C615" t="str">
            <v>RHK Insu_1065_46-5057096</v>
          </cell>
          <cell r="I615" t="str">
            <v>MO Accounting Services</v>
          </cell>
        </row>
        <row r="616">
          <cell r="C616" t="str">
            <v>RHK Insu_1065_46-5057096</v>
          </cell>
          <cell r="I616" t="str">
            <v xml:space="preserve">MO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788"/>
  <sheetViews>
    <sheetView tabSelected="1" zoomScale="70" zoomScaleNormal="70" workbookViewId="0">
      <pane xSplit="3" ySplit="1" topLeftCell="D458" activePane="bottomRight" state="frozen"/>
      <selection pane="topRight" activeCell="D1" sqref="D1"/>
      <selection pane="bottomLeft" activeCell="A2" sqref="A2"/>
      <selection pane="bottomRight" activeCell="B465" sqref="B465"/>
    </sheetView>
  </sheetViews>
  <sheetFormatPr defaultRowHeight="15" x14ac:dyDescent="0.25"/>
  <cols>
    <col min="1" max="1" width="30.7109375" style="2" customWidth="1"/>
    <col min="2" max="2" width="38.5703125" style="2" customWidth="1"/>
    <col min="3" max="4" width="22.28515625" style="2" customWidth="1"/>
    <col min="5" max="5" width="38.42578125" style="2" customWidth="1"/>
    <col min="6" max="7" width="33.28515625" style="2" customWidth="1"/>
    <col min="8" max="8" width="19.28515625" style="2" customWidth="1"/>
    <col min="9" max="9" width="19.5703125" style="2" customWidth="1"/>
    <col min="10" max="10" width="24" style="2" customWidth="1"/>
    <col min="11" max="11" width="20.5703125" style="2" customWidth="1"/>
    <col min="12" max="12" width="23" style="2" customWidth="1"/>
    <col min="13" max="13" width="23.140625" style="2" customWidth="1"/>
    <col min="14" max="14" width="25.85546875" style="2" customWidth="1"/>
    <col min="15" max="15" width="19.7109375" style="2" customWidth="1"/>
    <col min="16" max="16" width="26.85546875" style="2" customWidth="1"/>
    <col min="17" max="17" width="22.5703125" style="2" customWidth="1"/>
    <col min="18" max="18" width="25.5703125" style="2" customWidth="1"/>
    <col min="19" max="19" width="24" style="2" customWidth="1"/>
    <col min="20" max="24" width="13.140625" style="2" customWidth="1"/>
    <col min="25" max="25" width="14.7109375" style="2" customWidth="1"/>
    <col min="26" max="26" width="23.28515625" style="2" customWidth="1"/>
    <col min="27" max="27" width="22.28515625" style="2" customWidth="1"/>
    <col min="28" max="28" width="21.85546875" style="2" customWidth="1"/>
    <col min="29" max="29" width="22.7109375" style="2" customWidth="1"/>
    <col min="30" max="30" width="20.42578125" style="2" customWidth="1"/>
    <col min="31" max="34" width="27.5703125" style="2" customWidth="1"/>
    <col min="35" max="35" width="34.28515625" customWidth="1"/>
    <col min="36" max="36" width="37.28515625" style="5" customWidth="1"/>
    <col min="37" max="37" width="68.28515625" style="5" customWidth="1"/>
    <col min="38" max="38" width="56.7109375" style="2" customWidth="1"/>
    <col min="39" max="39" width="91.5703125" style="2" customWidth="1"/>
  </cols>
  <sheetData>
    <row r="1" spans="1:39" x14ac:dyDescent="0.25">
      <c r="A1" s="1" t="s">
        <v>0</v>
      </c>
      <c r="B1" s="1" t="s">
        <v>1</v>
      </c>
      <c r="C1" s="3" t="s">
        <v>1191</v>
      </c>
      <c r="D1" s="1" t="s">
        <v>1239</v>
      </c>
      <c r="E1" s="1" t="s">
        <v>1240</v>
      </c>
      <c r="F1" s="3" t="s">
        <v>1228</v>
      </c>
      <c r="G1" s="3" t="s">
        <v>1195</v>
      </c>
      <c r="H1" s="3" t="s">
        <v>1192</v>
      </c>
      <c r="I1" s="3" t="s">
        <v>1194</v>
      </c>
      <c r="J1" s="3" t="s">
        <v>1233</v>
      </c>
      <c r="K1" s="3" t="s">
        <v>1193</v>
      </c>
      <c r="L1" s="1" t="s">
        <v>1218</v>
      </c>
      <c r="M1" s="3" t="s">
        <v>1232</v>
      </c>
      <c r="N1" s="3" t="s">
        <v>1236</v>
      </c>
      <c r="O1" s="3" t="s">
        <v>1237</v>
      </c>
      <c r="P1" s="3" t="s">
        <v>1238</v>
      </c>
      <c r="Q1" s="1" t="s">
        <v>1242</v>
      </c>
      <c r="R1" s="1" t="s">
        <v>1243</v>
      </c>
      <c r="S1" s="1" t="s">
        <v>1244</v>
      </c>
      <c r="T1" s="3" t="s">
        <v>1231</v>
      </c>
      <c r="U1" s="1" t="s">
        <v>1245</v>
      </c>
      <c r="V1" s="1" t="s">
        <v>1246</v>
      </c>
      <c r="W1" s="1" t="s">
        <v>1247</v>
      </c>
      <c r="X1" s="1" t="s">
        <v>1248</v>
      </c>
      <c r="Y1" s="1" t="s">
        <v>1249</v>
      </c>
      <c r="Z1" s="1" t="s">
        <v>1213</v>
      </c>
      <c r="AA1" s="1" t="s">
        <v>1214</v>
      </c>
      <c r="AB1" s="1" t="s">
        <v>1215</v>
      </c>
      <c r="AC1" s="1" t="s">
        <v>1216</v>
      </c>
      <c r="AD1" s="1" t="s">
        <v>1217</v>
      </c>
      <c r="AE1" s="1" t="s">
        <v>1250</v>
      </c>
      <c r="AF1" s="1" t="s">
        <v>1251</v>
      </c>
      <c r="AG1" s="1" t="s">
        <v>1252</v>
      </c>
      <c r="AH1" s="1" t="s">
        <v>1253</v>
      </c>
      <c r="AI1" s="1" t="s">
        <v>1219</v>
      </c>
      <c r="AJ1" s="4" t="s">
        <v>1227</v>
      </c>
      <c r="AK1" s="4" t="s">
        <v>2</v>
      </c>
      <c r="AL1" s="4" t="s">
        <v>1230</v>
      </c>
      <c r="AM1" s="4" t="s">
        <v>1229</v>
      </c>
    </row>
    <row r="2" spans="1:39" x14ac:dyDescent="0.25">
      <c r="A2" s="2" t="s">
        <v>331</v>
      </c>
      <c r="B2" s="2" t="s">
        <v>332</v>
      </c>
      <c r="C2" s="2" t="s">
        <v>1196</v>
      </c>
      <c r="D2" s="8">
        <v>43831</v>
      </c>
      <c r="E2" s="5" t="str">
        <f>B2&amp;"_"&amp;TEXT(D2,"DD-MM-YY")</f>
        <v>10Factory, LLC_01-01-20</v>
      </c>
      <c r="F2" s="2" t="s">
        <v>1199</v>
      </c>
      <c r="G2" s="2" t="s">
        <v>1241</v>
      </c>
      <c r="H2" s="2" t="s">
        <v>1220</v>
      </c>
      <c r="I2" s="2" t="s">
        <v>1223</v>
      </c>
      <c r="J2" s="2" t="s">
        <v>1234</v>
      </c>
      <c r="M2" s="5" t="str">
        <f t="shared" ref="M2:M65" si="0">I2</f>
        <v>Basic</v>
      </c>
      <c r="N2" s="5" t="str">
        <f t="shared" ref="N2:N65" si="1">$J2&amp;"-"&amp;"Staff"&amp;"-"&amp;$M2</f>
        <v>Tax-Staff-Basic</v>
      </c>
      <c r="O2" s="5" t="str">
        <f t="shared" ref="O2:O65" si="2">$J2&amp;"-"&amp;"Reviewer"&amp;"-"&amp;$M2</f>
        <v>Tax-Reviewer-Basic</v>
      </c>
      <c r="P2" s="5" t="str">
        <f t="shared" ref="P2:P65" si="3">$J2&amp;"-"&amp;"Signer"&amp;"-"&amp;$M2</f>
        <v>Tax-Signer-Basic</v>
      </c>
      <c r="Q2" s="6">
        <v>1.4675000000000016</v>
      </c>
      <c r="R2" s="6">
        <v>0.29350000000000032</v>
      </c>
      <c r="S2" s="6">
        <v>0.14675000000000016</v>
      </c>
      <c r="T2" s="7">
        <f>SUM(Q2:S2)</f>
        <v>1.9077500000000021</v>
      </c>
      <c r="U2" s="6" t="e">
        <f>SUMIFS([1]Sheet1!$L:$L,[1]Sheet1!$I:$I,AJ2,[1]Sheet1!$C:$C,A2)</f>
        <v>#VALUE!</v>
      </c>
      <c r="V2" s="6"/>
      <c r="W2" s="6"/>
      <c r="X2" s="7" t="e">
        <f t="shared" ref="X2:X65" si="4">SUM(U2:W2)</f>
        <v>#VALUE!</v>
      </c>
      <c r="Y2" s="6"/>
      <c r="AJ2" s="5" t="str">
        <f t="shared" ref="AJ2:AJ65" si="5">C2&amp;" "&amp;F2</f>
        <v>NM 1065 - Partnership</v>
      </c>
      <c r="AK2" s="5" t="str">
        <f t="shared" ref="AK2:AK65" si="6">C2&amp;"-"&amp;G2&amp;"-"&amp;H2&amp;"-"&amp;F2&amp;"_"&amp;I2</f>
        <v>NM-Tax Services-ANN-1065 - Partnership_Basic</v>
      </c>
      <c r="AL2" s="5" t="str">
        <f t="shared" ref="AL2:AL65" si="7">A2&amp;"_"&amp;AJ2</f>
        <v>10Factor_1065_83-1973146_NM 1065 - Partnership</v>
      </c>
      <c r="AM2" s="5" t="str">
        <f t="shared" ref="AM2:AM65" si="8">A2&amp;"_"&amp;AK2</f>
        <v>10Factor_1065_83-1973146_NM-Tax Services-ANN-1065 - Partnership_Basic</v>
      </c>
    </row>
    <row r="3" spans="1:39" x14ac:dyDescent="0.25">
      <c r="A3" s="2" t="s">
        <v>3</v>
      </c>
      <c r="B3" s="2" t="s">
        <v>4</v>
      </c>
      <c r="C3" s="2" t="s">
        <v>1197</v>
      </c>
      <c r="D3" s="8">
        <v>43831</v>
      </c>
      <c r="E3" s="5" t="str">
        <f t="shared" ref="E3:E66" si="9">B3&amp;"_"&amp;TEXT(D3,"DD-MM-YY")</f>
        <v>22 Kill_01-01-20</v>
      </c>
      <c r="F3" s="2" t="s">
        <v>1046</v>
      </c>
      <c r="G3" s="2" t="s">
        <v>1241</v>
      </c>
      <c r="H3" s="2" t="s">
        <v>1220</v>
      </c>
      <c r="I3" s="2" t="s">
        <v>1223</v>
      </c>
      <c r="J3" s="2" t="s">
        <v>1234</v>
      </c>
      <c r="K3" s="2" t="str">
        <f>IF(T3="Adv",T3,IF(T3="Mid",T3,IF(T3="Basic",T3,"")))</f>
        <v/>
      </c>
      <c r="M3" s="5" t="str">
        <f t="shared" si="0"/>
        <v>Basic</v>
      </c>
      <c r="N3" s="5" t="str">
        <f t="shared" si="1"/>
        <v>Tax-Staff-Basic</v>
      </c>
      <c r="O3" s="5" t="str">
        <f t="shared" si="2"/>
        <v>Tax-Reviewer-Basic</v>
      </c>
      <c r="P3" s="5" t="str">
        <f t="shared" si="3"/>
        <v>Tax-Signer-Basic</v>
      </c>
      <c r="Q3" s="6">
        <v>1.4675000000000016</v>
      </c>
      <c r="R3" s="6">
        <v>0.29350000000000032</v>
      </c>
      <c r="S3" s="6">
        <v>0.14675000000000016</v>
      </c>
      <c r="T3" s="7">
        <f t="shared" ref="T3:T66" si="10">SUM(Q3:S3)</f>
        <v>1.9077500000000021</v>
      </c>
      <c r="U3" s="6" t="e">
        <f>SUMIFS([1]Sheet1!$L:$L,[1]Sheet1!$I:$I,AJ3,[1]Sheet1!$C:$C,A3)</f>
        <v>#VALUE!</v>
      </c>
      <c r="V3" s="6"/>
      <c r="W3" s="6"/>
      <c r="X3" s="7" t="e">
        <f t="shared" si="4"/>
        <v>#VALUE!</v>
      </c>
      <c r="Y3" s="6"/>
      <c r="AJ3" s="5" t="str">
        <f t="shared" si="5"/>
        <v>MO 990 - Non-Profit</v>
      </c>
      <c r="AK3" s="5" t="str">
        <f t="shared" si="6"/>
        <v>MO-Tax Services-ANN-990 - Non-Profit_Basic</v>
      </c>
      <c r="AL3" s="5" t="str">
        <f t="shared" si="7"/>
        <v>22 Kill_990_47-3864997_MO 990 - Non-Profit</v>
      </c>
      <c r="AM3" s="5" t="str">
        <f t="shared" si="8"/>
        <v>22 Kill_990_47-3864997_MO-Tax Services-ANN-990 - Non-Profit_Basic</v>
      </c>
    </row>
    <row r="4" spans="1:39" x14ac:dyDescent="0.25">
      <c r="A4" s="2" t="s">
        <v>3</v>
      </c>
      <c r="B4" s="2" t="s">
        <v>4</v>
      </c>
      <c r="C4" s="2" t="s">
        <v>1197</v>
      </c>
      <c r="D4" s="8">
        <v>43831</v>
      </c>
      <c r="E4" s="5" t="str">
        <f t="shared" si="9"/>
        <v>22 Kill_01-01-20</v>
      </c>
      <c r="F4" s="2" t="s">
        <v>1200</v>
      </c>
      <c r="G4" s="2" t="s">
        <v>1241</v>
      </c>
      <c r="H4" s="2" t="s">
        <v>1220</v>
      </c>
      <c r="I4" s="2" t="s">
        <v>1222</v>
      </c>
      <c r="J4" s="2" t="s">
        <v>1234</v>
      </c>
      <c r="M4" s="5" t="str">
        <f t="shared" si="0"/>
        <v>Adv</v>
      </c>
      <c r="N4" s="5" t="str">
        <f t="shared" si="1"/>
        <v>Tax-Staff-Adv</v>
      </c>
      <c r="O4" s="5" t="str">
        <f t="shared" si="2"/>
        <v>Tax-Reviewer-Adv</v>
      </c>
      <c r="P4" s="5" t="str">
        <f t="shared" si="3"/>
        <v>Tax-Signer-Adv</v>
      </c>
      <c r="Q4" s="6">
        <v>1.5</v>
      </c>
      <c r="R4" s="6">
        <v>0.30000000000000004</v>
      </c>
      <c r="S4" s="6">
        <v>0.15000000000000002</v>
      </c>
      <c r="T4" s="7">
        <f t="shared" si="10"/>
        <v>1.9500000000000002</v>
      </c>
      <c r="U4" s="6" t="e">
        <f>SUMIFS([1]Sheet1!$L:$L,[1]Sheet1!$I:$I,AJ4,[1]Sheet1!$C:$C,A4)</f>
        <v>#VALUE!</v>
      </c>
      <c r="V4" s="6"/>
      <c r="W4" s="6"/>
      <c r="X4" s="7" t="e">
        <f t="shared" si="4"/>
        <v>#VALUE!</v>
      </c>
      <c r="Y4" s="6"/>
      <c r="AJ4" s="5" t="str">
        <f t="shared" si="5"/>
        <v>MO Texas Franchise Tax Return</v>
      </c>
      <c r="AK4" s="5" t="str">
        <f t="shared" si="6"/>
        <v>MO-Tax Services-ANN-Texas Franchise Tax Return_Adv</v>
      </c>
      <c r="AL4" s="5" t="str">
        <f t="shared" si="7"/>
        <v>22 Kill_990_47-3864997_MO Texas Franchise Tax Return</v>
      </c>
      <c r="AM4" s="5" t="str">
        <f t="shared" si="8"/>
        <v>22 Kill_990_47-3864997_MO-Tax Services-ANN-Texas Franchise Tax Return_Adv</v>
      </c>
    </row>
    <row r="5" spans="1:39" x14ac:dyDescent="0.25">
      <c r="A5" s="2" t="s">
        <v>5</v>
      </c>
      <c r="B5" s="2" t="s">
        <v>6</v>
      </c>
      <c r="C5" s="2" t="s">
        <v>1197</v>
      </c>
      <c r="D5" s="8">
        <v>43831</v>
      </c>
      <c r="E5" s="5" t="str">
        <f t="shared" si="9"/>
        <v>4F Commercial Services_01-01-20</v>
      </c>
      <c r="F5" s="2" t="s">
        <v>1199</v>
      </c>
      <c r="G5" s="2" t="s">
        <v>1241</v>
      </c>
      <c r="H5" s="2" t="s">
        <v>1220</v>
      </c>
      <c r="I5" s="2" t="s">
        <v>1221</v>
      </c>
      <c r="J5" s="2" t="s">
        <v>1234</v>
      </c>
      <c r="M5" s="5" t="str">
        <f t="shared" si="0"/>
        <v>Mid</v>
      </c>
      <c r="N5" s="5" t="str">
        <f t="shared" si="1"/>
        <v>Tax-Staff-Mid</v>
      </c>
      <c r="O5" s="5" t="str">
        <f t="shared" si="2"/>
        <v>Tax-Reviewer-Mid</v>
      </c>
      <c r="P5" s="5" t="str">
        <f t="shared" si="3"/>
        <v>Tax-Signer-Mid</v>
      </c>
      <c r="Q5" s="6">
        <v>2.7401969696969677</v>
      </c>
      <c r="R5" s="6">
        <v>0.5480393939393936</v>
      </c>
      <c r="S5" s="6">
        <v>0.2740196969696968</v>
      </c>
      <c r="T5" s="7">
        <f t="shared" si="10"/>
        <v>3.562256060606058</v>
      </c>
      <c r="U5" s="6" t="e">
        <f>SUMIFS([1]Sheet1!$L:$L,[1]Sheet1!$I:$I,AJ5,[1]Sheet1!$C:$C,A5)</f>
        <v>#VALUE!</v>
      </c>
      <c r="V5" s="6"/>
      <c r="W5" s="6"/>
      <c r="X5" s="7" t="e">
        <f t="shared" si="4"/>
        <v>#VALUE!</v>
      </c>
      <c r="Y5" s="6"/>
      <c r="AJ5" s="5" t="str">
        <f t="shared" si="5"/>
        <v>MO 1065 - Partnership</v>
      </c>
      <c r="AK5" s="5" t="str">
        <f t="shared" si="6"/>
        <v>MO-Tax Services-ANN-1065 - Partnership_Mid</v>
      </c>
      <c r="AL5" s="5" t="str">
        <f t="shared" si="7"/>
        <v>4F Comme_1065_81-4311941_MO 1065 - Partnership</v>
      </c>
      <c r="AM5" s="5" t="str">
        <f t="shared" si="8"/>
        <v>4F Comme_1065_81-4311941_MO-Tax Services-ANN-1065 - Partnership_Mid</v>
      </c>
    </row>
    <row r="6" spans="1:39" x14ac:dyDescent="0.25">
      <c r="A6" s="2" t="s">
        <v>5</v>
      </c>
      <c r="B6" s="2" t="s">
        <v>6</v>
      </c>
      <c r="C6" s="2" t="s">
        <v>1197</v>
      </c>
      <c r="D6" s="8">
        <v>43831</v>
      </c>
      <c r="E6" s="5" t="str">
        <f t="shared" si="9"/>
        <v>4F Commercial Services_01-01-20</v>
      </c>
      <c r="F6" s="2" t="s">
        <v>1201</v>
      </c>
      <c r="G6" s="2" t="s">
        <v>1201</v>
      </c>
      <c r="H6" s="2" t="s">
        <v>1197</v>
      </c>
      <c r="I6" s="2" t="s">
        <v>1223</v>
      </c>
      <c r="J6" s="2" t="s">
        <v>1235</v>
      </c>
      <c r="M6" s="5" t="str">
        <f t="shared" si="0"/>
        <v>Basic</v>
      </c>
      <c r="N6" s="5" t="str">
        <f t="shared" si="1"/>
        <v>Accountant-Staff-Basic</v>
      </c>
      <c r="O6" s="5" t="str">
        <f t="shared" si="2"/>
        <v>Accountant-Reviewer-Basic</v>
      </c>
      <c r="P6" s="5" t="str">
        <f t="shared" si="3"/>
        <v>Accountant-Signer-Basic</v>
      </c>
      <c r="Q6" s="6">
        <v>1.47</v>
      </c>
      <c r="R6" s="6">
        <v>0.29399999999999998</v>
      </c>
      <c r="S6" s="6">
        <v>0.14699999999999999</v>
      </c>
      <c r="T6" s="7">
        <f t="shared" si="10"/>
        <v>1.911</v>
      </c>
      <c r="U6" s="6" t="e">
        <f>SUMIFS([1]Sheet1!$L:$L,[1]Sheet1!$I:$I,AJ6,[1]Sheet1!$C:$C,A6)</f>
        <v>#VALUE!</v>
      </c>
      <c r="V6" s="6"/>
      <c r="W6" s="6"/>
      <c r="X6" s="7" t="e">
        <f t="shared" si="4"/>
        <v>#VALUE!</v>
      </c>
      <c r="Y6" s="6"/>
      <c r="AJ6" s="5" t="str">
        <f t="shared" si="5"/>
        <v>MO Accounting Services</v>
      </c>
      <c r="AK6" s="5" t="str">
        <f t="shared" si="6"/>
        <v>MO-Accounting Services-MO-Accounting Services_Basic</v>
      </c>
      <c r="AL6" s="5" t="str">
        <f t="shared" si="7"/>
        <v>4F Comme_1065_81-4311941_MO Accounting Services</v>
      </c>
      <c r="AM6" s="5" t="str">
        <f t="shared" si="8"/>
        <v>4F Comme_1065_81-4311941_MO-Accounting Services-MO-Accounting Services_Basic</v>
      </c>
    </row>
    <row r="7" spans="1:39" x14ac:dyDescent="0.25">
      <c r="A7" s="2" t="s">
        <v>5</v>
      </c>
      <c r="B7" s="2" t="s">
        <v>6</v>
      </c>
      <c r="C7" s="2" t="s">
        <v>1197</v>
      </c>
      <c r="D7" s="8">
        <v>43831</v>
      </c>
      <c r="E7" s="5" t="str">
        <f t="shared" si="9"/>
        <v>4F Commercial Services_01-01-20</v>
      </c>
      <c r="F7" s="2" t="s">
        <v>1202</v>
      </c>
      <c r="G7" s="2" t="s">
        <v>1201</v>
      </c>
      <c r="H7" s="2" t="s">
        <v>1197</v>
      </c>
      <c r="I7" s="2" t="s">
        <v>1223</v>
      </c>
      <c r="J7" s="2" t="s">
        <v>1235</v>
      </c>
      <c r="M7" s="5" t="str">
        <f t="shared" si="0"/>
        <v>Basic</v>
      </c>
      <c r="N7" s="5" t="str">
        <f t="shared" si="1"/>
        <v>Accountant-Staff-Basic</v>
      </c>
      <c r="O7" s="5" t="str">
        <f t="shared" si="2"/>
        <v>Accountant-Reviewer-Basic</v>
      </c>
      <c r="P7" s="5" t="str">
        <f t="shared" si="3"/>
        <v>Accountant-Signer-Basic</v>
      </c>
      <c r="Q7" s="6">
        <v>0.5</v>
      </c>
      <c r="R7" s="6">
        <v>0.1</v>
      </c>
      <c r="S7" s="6">
        <v>0.05</v>
      </c>
      <c r="T7" s="7">
        <f t="shared" si="10"/>
        <v>0.65</v>
      </c>
      <c r="U7" s="6" t="e">
        <f>SUMIFS([1]Sheet1!$L:$L,[1]Sheet1!$I:$I,AJ7,[1]Sheet1!$C:$C,A7)</f>
        <v>#VALUE!</v>
      </c>
      <c r="V7" s="6"/>
      <c r="W7" s="6"/>
      <c r="X7" s="7" t="e">
        <f t="shared" si="4"/>
        <v>#VALUE!</v>
      </c>
      <c r="Y7" s="6"/>
      <c r="AJ7" s="5" t="str">
        <f t="shared" si="5"/>
        <v>MO Sales Tax Services</v>
      </c>
      <c r="AK7" s="5" t="str">
        <f t="shared" si="6"/>
        <v>MO-Accounting Services-MO-Sales Tax Services_Basic</v>
      </c>
      <c r="AL7" s="5" t="str">
        <f t="shared" si="7"/>
        <v>4F Comme_1065_81-4311941_MO Sales Tax Services</v>
      </c>
      <c r="AM7" s="5" t="str">
        <f t="shared" si="8"/>
        <v>4F Comme_1065_81-4311941_MO-Accounting Services-MO-Sales Tax Services_Basic</v>
      </c>
    </row>
    <row r="8" spans="1:39" x14ac:dyDescent="0.25">
      <c r="A8" s="2" t="s">
        <v>5</v>
      </c>
      <c r="B8" s="2" t="s">
        <v>6</v>
      </c>
      <c r="C8" s="2" t="s">
        <v>1197</v>
      </c>
      <c r="D8" s="8">
        <v>43831</v>
      </c>
      <c r="E8" s="5" t="str">
        <f t="shared" si="9"/>
        <v>4F Commercial Services_01-01-20</v>
      </c>
      <c r="F8" s="2" t="s">
        <v>1200</v>
      </c>
      <c r="G8" s="2" t="s">
        <v>1241</v>
      </c>
      <c r="H8" s="2" t="s">
        <v>1220</v>
      </c>
      <c r="I8" s="2" t="s">
        <v>1223</v>
      </c>
      <c r="J8" s="2" t="s">
        <v>1234</v>
      </c>
      <c r="M8" s="5" t="str">
        <f t="shared" si="0"/>
        <v>Basic</v>
      </c>
      <c r="N8" s="5" t="str">
        <f t="shared" si="1"/>
        <v>Tax-Staff-Basic</v>
      </c>
      <c r="O8" s="5" t="str">
        <f t="shared" si="2"/>
        <v>Tax-Reviewer-Basic</v>
      </c>
      <c r="P8" s="5" t="str">
        <f t="shared" si="3"/>
        <v>Tax-Signer-Basic</v>
      </c>
      <c r="Q8" s="6">
        <v>0.75</v>
      </c>
      <c r="R8" s="6">
        <v>0.15000000000000002</v>
      </c>
      <c r="S8" s="6">
        <v>7.5000000000000011E-2</v>
      </c>
      <c r="T8" s="7">
        <f t="shared" si="10"/>
        <v>0.97500000000000009</v>
      </c>
      <c r="U8" s="6" t="e">
        <f>SUMIFS([1]Sheet1!$L:$L,[1]Sheet1!$I:$I,AJ8,[1]Sheet1!$C:$C,A8)</f>
        <v>#VALUE!</v>
      </c>
      <c r="V8" s="6"/>
      <c r="W8" s="6"/>
      <c r="X8" s="7" t="e">
        <f t="shared" si="4"/>
        <v>#VALUE!</v>
      </c>
      <c r="Y8" s="6"/>
      <c r="AJ8" s="5" t="str">
        <f t="shared" si="5"/>
        <v>MO Texas Franchise Tax Return</v>
      </c>
      <c r="AK8" s="5" t="str">
        <f t="shared" si="6"/>
        <v>MO-Tax Services-ANN-Texas Franchise Tax Return_Basic</v>
      </c>
      <c r="AL8" s="5" t="str">
        <f t="shared" si="7"/>
        <v>4F Comme_1065_81-4311941_MO Texas Franchise Tax Return</v>
      </c>
      <c r="AM8" s="5" t="str">
        <f t="shared" si="8"/>
        <v>4F Comme_1065_81-4311941_MO-Tax Services-ANN-Texas Franchise Tax Return_Basic</v>
      </c>
    </row>
    <row r="9" spans="1:39" x14ac:dyDescent="0.25">
      <c r="A9" s="2" t="s">
        <v>7</v>
      </c>
      <c r="B9" s="2" t="s">
        <v>8</v>
      </c>
      <c r="C9" s="2" t="s">
        <v>1197</v>
      </c>
      <c r="D9" s="8">
        <v>43831</v>
      </c>
      <c r="E9" s="5" t="str">
        <f t="shared" si="9"/>
        <v>A&amp;M Solutions Inc._01-01-20</v>
      </c>
      <c r="F9" s="2" t="s">
        <v>1206</v>
      </c>
      <c r="G9" s="2" t="s">
        <v>1241</v>
      </c>
      <c r="H9" s="2" t="s">
        <v>1220</v>
      </c>
      <c r="I9" s="2" t="s">
        <v>1223</v>
      </c>
      <c r="J9" s="2" t="s">
        <v>1234</v>
      </c>
      <c r="M9" s="5" t="str">
        <f t="shared" si="0"/>
        <v>Basic</v>
      </c>
      <c r="N9" s="5" t="str">
        <f t="shared" si="1"/>
        <v>Tax-Staff-Basic</v>
      </c>
      <c r="O9" s="5" t="str">
        <f t="shared" si="2"/>
        <v>Tax-Reviewer-Basic</v>
      </c>
      <c r="P9" s="5" t="str">
        <f t="shared" si="3"/>
        <v>Tax-Signer-Basic</v>
      </c>
      <c r="Q9" s="6">
        <v>1.4675000000000016</v>
      </c>
      <c r="R9" s="6">
        <v>0.29350000000000032</v>
      </c>
      <c r="S9" s="6">
        <v>0.14675000000000016</v>
      </c>
      <c r="T9" s="7">
        <f t="shared" si="10"/>
        <v>1.9077500000000021</v>
      </c>
      <c r="U9" s="6" t="e">
        <f>SUMIFS([1]Sheet1!$L:$L,[1]Sheet1!$I:$I,AJ9,[1]Sheet1!$C:$C,A9)</f>
        <v>#VALUE!</v>
      </c>
      <c r="V9" s="6"/>
      <c r="W9" s="6"/>
      <c r="X9" s="7" t="e">
        <f t="shared" si="4"/>
        <v>#VALUE!</v>
      </c>
      <c r="Y9" s="6"/>
      <c r="AJ9" s="5" t="str">
        <f t="shared" si="5"/>
        <v>MO 1120 - C Corporation</v>
      </c>
      <c r="AK9" s="5" t="str">
        <f t="shared" si="6"/>
        <v>MO-Tax Services-ANN-1120 - C Corporation_Basic</v>
      </c>
      <c r="AL9" s="5" t="str">
        <f t="shared" si="7"/>
        <v>A&amp;M Solu_1120C_47-2585701_MO 1120 - C Corporation</v>
      </c>
      <c r="AM9" s="5" t="str">
        <f t="shared" si="8"/>
        <v>A&amp;M Solu_1120C_47-2585701_MO-Tax Services-ANN-1120 - C Corporation_Basic</v>
      </c>
    </row>
    <row r="10" spans="1:39" x14ac:dyDescent="0.25">
      <c r="A10" s="2" t="s">
        <v>7</v>
      </c>
      <c r="B10" s="2" t="s">
        <v>8</v>
      </c>
      <c r="C10" s="2" t="s">
        <v>1197</v>
      </c>
      <c r="D10" s="8">
        <v>43831</v>
      </c>
      <c r="E10" s="5" t="str">
        <f t="shared" si="9"/>
        <v>A&amp;M Solutions Inc._01-01-20</v>
      </c>
      <c r="F10" s="2" t="s">
        <v>1201</v>
      </c>
      <c r="G10" s="2" t="s">
        <v>1201</v>
      </c>
      <c r="H10" s="2" t="s">
        <v>1197</v>
      </c>
      <c r="I10" s="2" t="s">
        <v>1223</v>
      </c>
      <c r="J10" s="2" t="s">
        <v>1235</v>
      </c>
      <c r="M10" s="5" t="str">
        <f t="shared" si="0"/>
        <v>Basic</v>
      </c>
      <c r="N10" s="5" t="str">
        <f t="shared" si="1"/>
        <v>Accountant-Staff-Basic</v>
      </c>
      <c r="O10" s="5" t="str">
        <f t="shared" si="2"/>
        <v>Accountant-Reviewer-Basic</v>
      </c>
      <c r="P10" s="5" t="str">
        <f t="shared" si="3"/>
        <v>Accountant-Signer-Basic</v>
      </c>
      <c r="Q10" s="6">
        <v>1.47</v>
      </c>
      <c r="R10" s="6">
        <v>0.29399999999999998</v>
      </c>
      <c r="S10" s="6">
        <v>0.14699999999999999</v>
      </c>
      <c r="T10" s="7">
        <f t="shared" si="10"/>
        <v>1.911</v>
      </c>
      <c r="U10" s="6" t="e">
        <f>SUMIFS([1]Sheet1!$L:$L,[1]Sheet1!$I:$I,AJ10,[1]Sheet1!$C:$C,A10)</f>
        <v>#VALUE!</v>
      </c>
      <c r="V10" s="6"/>
      <c r="W10" s="6"/>
      <c r="X10" s="7" t="e">
        <f>SUM(U10:W10)</f>
        <v>#VALUE!</v>
      </c>
      <c r="Y10" s="6"/>
      <c r="AJ10" s="5" t="str">
        <f t="shared" si="5"/>
        <v>MO Accounting Services</v>
      </c>
      <c r="AK10" s="5" t="str">
        <f t="shared" si="6"/>
        <v>MO-Accounting Services-MO-Accounting Services_Basic</v>
      </c>
      <c r="AL10" s="5" t="str">
        <f t="shared" si="7"/>
        <v>A&amp;M Solu_1120C_47-2585701_MO Accounting Services</v>
      </c>
      <c r="AM10" s="5" t="str">
        <f t="shared" si="8"/>
        <v>A&amp;M Solu_1120C_47-2585701_MO-Accounting Services-MO-Accounting Services_Basic</v>
      </c>
    </row>
    <row r="11" spans="1:39" x14ac:dyDescent="0.25">
      <c r="A11" s="2" t="s">
        <v>7</v>
      </c>
      <c r="B11" s="2" t="s">
        <v>8</v>
      </c>
      <c r="C11" s="2" t="s">
        <v>1197</v>
      </c>
      <c r="D11" s="8">
        <v>43831</v>
      </c>
      <c r="E11" s="5" t="str">
        <f t="shared" si="9"/>
        <v>A&amp;M Solutions Inc._01-01-20</v>
      </c>
      <c r="F11" s="2" t="s">
        <v>1202</v>
      </c>
      <c r="G11" s="2" t="s">
        <v>1201</v>
      </c>
      <c r="H11" s="2" t="s">
        <v>1197</v>
      </c>
      <c r="I11" s="2" t="s">
        <v>1223</v>
      </c>
      <c r="J11" s="2" t="s">
        <v>1235</v>
      </c>
      <c r="M11" s="5" t="str">
        <f t="shared" si="0"/>
        <v>Basic</v>
      </c>
      <c r="N11" s="5" t="str">
        <f t="shared" si="1"/>
        <v>Accountant-Staff-Basic</v>
      </c>
      <c r="O11" s="5" t="str">
        <f t="shared" si="2"/>
        <v>Accountant-Reviewer-Basic</v>
      </c>
      <c r="P11" s="5" t="str">
        <f t="shared" si="3"/>
        <v>Accountant-Signer-Basic</v>
      </c>
      <c r="Q11" s="6">
        <v>0.5</v>
      </c>
      <c r="R11" s="6">
        <v>0.1</v>
      </c>
      <c r="S11" s="6">
        <v>0.05</v>
      </c>
      <c r="T11" s="7">
        <f t="shared" si="10"/>
        <v>0.65</v>
      </c>
      <c r="U11" s="6" t="e">
        <f>SUMIFS([1]Sheet1!$L:$L,[1]Sheet1!$I:$I,AJ11,[1]Sheet1!$C:$C,A11)</f>
        <v>#VALUE!</v>
      </c>
      <c r="V11" s="6"/>
      <c r="W11" s="6"/>
      <c r="X11" s="7" t="e">
        <f t="shared" si="4"/>
        <v>#VALUE!</v>
      </c>
      <c r="Y11" s="6"/>
      <c r="AJ11" s="5" t="str">
        <f t="shared" si="5"/>
        <v>MO Sales Tax Services</v>
      </c>
      <c r="AK11" s="5" t="str">
        <f t="shared" si="6"/>
        <v>MO-Accounting Services-MO-Sales Tax Services_Basic</v>
      </c>
      <c r="AL11" s="5" t="str">
        <f t="shared" si="7"/>
        <v>A&amp;M Solu_1120C_47-2585701_MO Sales Tax Services</v>
      </c>
      <c r="AM11" s="5" t="str">
        <f t="shared" si="8"/>
        <v>A&amp;M Solu_1120C_47-2585701_MO-Accounting Services-MO-Sales Tax Services_Basic</v>
      </c>
    </row>
    <row r="12" spans="1:39" x14ac:dyDescent="0.25">
      <c r="A12" s="2" t="s">
        <v>7</v>
      </c>
      <c r="B12" s="2" t="s">
        <v>8</v>
      </c>
      <c r="C12" s="2" t="s">
        <v>1197</v>
      </c>
      <c r="D12" s="8">
        <v>43831</v>
      </c>
      <c r="E12" s="5" t="str">
        <f t="shared" si="9"/>
        <v>A&amp;M Solutions Inc._01-01-20</v>
      </c>
      <c r="F12" s="2" t="s">
        <v>1200</v>
      </c>
      <c r="G12" s="2" t="s">
        <v>1241</v>
      </c>
      <c r="H12" s="2" t="s">
        <v>1220</v>
      </c>
      <c r="I12" s="2" t="s">
        <v>1223</v>
      </c>
      <c r="J12" s="2" t="s">
        <v>1234</v>
      </c>
      <c r="M12" s="5" t="str">
        <f t="shared" si="0"/>
        <v>Basic</v>
      </c>
      <c r="N12" s="5" t="str">
        <f t="shared" si="1"/>
        <v>Tax-Staff-Basic</v>
      </c>
      <c r="O12" s="5" t="str">
        <f t="shared" si="2"/>
        <v>Tax-Reviewer-Basic</v>
      </c>
      <c r="P12" s="5" t="str">
        <f t="shared" si="3"/>
        <v>Tax-Signer-Basic</v>
      </c>
      <c r="Q12" s="6">
        <v>0.5</v>
      </c>
      <c r="R12" s="6">
        <v>0.1</v>
      </c>
      <c r="S12" s="6">
        <v>0.05</v>
      </c>
      <c r="T12" s="7">
        <f t="shared" si="10"/>
        <v>0.65</v>
      </c>
      <c r="U12" s="6" t="e">
        <f>SUMIFS([1]Sheet1!$L:$L,[1]Sheet1!$I:$I,AJ12,[1]Sheet1!$C:$C,A12)</f>
        <v>#VALUE!</v>
      </c>
      <c r="V12" s="6"/>
      <c r="W12" s="6"/>
      <c r="X12" s="7" t="e">
        <f t="shared" si="4"/>
        <v>#VALUE!</v>
      </c>
      <c r="Y12" s="6"/>
      <c r="AJ12" s="5" t="str">
        <f t="shared" si="5"/>
        <v>MO Texas Franchise Tax Return</v>
      </c>
      <c r="AK12" s="5" t="str">
        <f t="shared" si="6"/>
        <v>MO-Tax Services-ANN-Texas Franchise Tax Return_Basic</v>
      </c>
      <c r="AL12" s="5" t="str">
        <f t="shared" si="7"/>
        <v>A&amp;M Solu_1120C_47-2585701_MO Texas Franchise Tax Return</v>
      </c>
      <c r="AM12" s="5" t="str">
        <f t="shared" si="8"/>
        <v>A&amp;M Solu_1120C_47-2585701_MO-Tax Services-ANN-Texas Franchise Tax Return_Basic</v>
      </c>
    </row>
    <row r="13" spans="1:39" x14ac:dyDescent="0.25">
      <c r="A13" s="2" t="s">
        <v>1209</v>
      </c>
      <c r="B13" s="2" t="s">
        <v>9</v>
      </c>
      <c r="C13" s="2" t="s">
        <v>1197</v>
      </c>
      <c r="D13" s="8">
        <v>43831</v>
      </c>
      <c r="E13" s="5" t="str">
        <f t="shared" si="9"/>
        <v>Abilene Better Business Bureau_01-01-20</v>
      </c>
      <c r="F13" s="2" t="s">
        <v>1201</v>
      </c>
      <c r="G13" s="2" t="s">
        <v>1201</v>
      </c>
      <c r="H13" s="2" t="s">
        <v>1197</v>
      </c>
      <c r="I13" s="2" t="s">
        <v>1223</v>
      </c>
      <c r="J13" s="2" t="s">
        <v>1235</v>
      </c>
      <c r="M13" s="5" t="str">
        <f t="shared" si="0"/>
        <v>Basic</v>
      </c>
      <c r="N13" s="5" t="str">
        <f t="shared" si="1"/>
        <v>Accountant-Staff-Basic</v>
      </c>
      <c r="O13" s="5" t="str">
        <f t="shared" si="2"/>
        <v>Accountant-Reviewer-Basic</v>
      </c>
      <c r="P13" s="5" t="str">
        <f t="shared" si="3"/>
        <v>Accountant-Signer-Basic</v>
      </c>
      <c r="Q13" s="6">
        <v>1.47</v>
      </c>
      <c r="R13" s="6">
        <v>0.29399999999999998</v>
      </c>
      <c r="S13" s="6">
        <v>0.14699999999999999</v>
      </c>
      <c r="T13" s="7">
        <f t="shared" si="10"/>
        <v>1.911</v>
      </c>
      <c r="U13" s="6" t="e">
        <f>SUMIFS([1]Sheet1!$L:$L,[1]Sheet1!$I:$I,AJ13,[1]Sheet1!$C:$C,A13)</f>
        <v>#VALUE!</v>
      </c>
      <c r="V13" s="6"/>
      <c r="W13" s="6"/>
      <c r="X13" s="7" t="e">
        <f t="shared" si="4"/>
        <v>#VALUE!</v>
      </c>
      <c r="Y13" s="6"/>
      <c r="AJ13" s="5" t="str">
        <f t="shared" si="5"/>
        <v>MO Accounting Services</v>
      </c>
      <c r="AK13" s="5" t="str">
        <f t="shared" si="6"/>
        <v>MO-Accounting Services-MO-Accounting Services_Basic</v>
      </c>
      <c r="AL13" s="5" t="str">
        <f t="shared" si="7"/>
        <v>Abilene _0_75-1306985_MO Accounting Services</v>
      </c>
      <c r="AM13" s="5" t="str">
        <f t="shared" si="8"/>
        <v>Abilene _0_75-1306985_MO-Accounting Services-MO-Accounting Services_Basic</v>
      </c>
    </row>
    <row r="14" spans="1:39" x14ac:dyDescent="0.25">
      <c r="A14" s="2" t="s">
        <v>1036</v>
      </c>
      <c r="B14" s="2" t="s">
        <v>1037</v>
      </c>
      <c r="C14" s="2" t="s">
        <v>1196</v>
      </c>
      <c r="D14" s="8">
        <v>43831</v>
      </c>
      <c r="E14" s="5" t="str">
        <f t="shared" si="9"/>
        <v>Acevedo, Raul_01-01-20</v>
      </c>
      <c r="F14" s="2" t="s">
        <v>1203</v>
      </c>
      <c r="G14" s="2" t="s">
        <v>1241</v>
      </c>
      <c r="H14" s="2" t="s">
        <v>1220</v>
      </c>
      <c r="I14" s="2" t="s">
        <v>1221</v>
      </c>
      <c r="J14" s="2" t="s">
        <v>1234</v>
      </c>
      <c r="M14" s="5" t="str">
        <f t="shared" si="0"/>
        <v>Mid</v>
      </c>
      <c r="N14" s="5" t="str">
        <f t="shared" si="1"/>
        <v>Tax-Staff-Mid</v>
      </c>
      <c r="O14" s="5" t="str">
        <f t="shared" si="2"/>
        <v>Tax-Reviewer-Mid</v>
      </c>
      <c r="P14" s="5" t="str">
        <f t="shared" si="3"/>
        <v>Tax-Signer-Mid</v>
      </c>
      <c r="Q14" s="6">
        <v>2.7401969696969677</v>
      </c>
      <c r="R14" s="6">
        <v>0.5480393939393936</v>
      </c>
      <c r="S14" s="6">
        <v>0.2740196969696968</v>
      </c>
      <c r="T14" s="7">
        <f t="shared" si="10"/>
        <v>3.562256060606058</v>
      </c>
      <c r="U14" s="6" t="e">
        <f>SUMIFS([1]Sheet1!$L:$L,[1]Sheet1!$I:$I,AJ14,[1]Sheet1!$C:$C,A14)</f>
        <v>#VALUE!</v>
      </c>
      <c r="V14" s="6"/>
      <c r="W14" s="6"/>
      <c r="X14" s="7" t="e">
        <f t="shared" si="4"/>
        <v>#VALUE!</v>
      </c>
      <c r="Y14" s="6"/>
      <c r="AJ14" s="5" t="str">
        <f t="shared" si="5"/>
        <v>NM 1040 - Personal</v>
      </c>
      <c r="AK14" s="5" t="str">
        <f t="shared" si="6"/>
        <v>NM-Tax Services-ANN-1040 - Personal_Mid</v>
      </c>
      <c r="AL14" s="5" t="str">
        <f t="shared" si="7"/>
        <v>Aceved_5086_NM 1040 - Personal</v>
      </c>
      <c r="AM14" s="5" t="str">
        <f t="shared" si="8"/>
        <v>Aceved_5086_NM-Tax Services-ANN-1040 - Personal_Mid</v>
      </c>
    </row>
    <row r="15" spans="1:39" x14ac:dyDescent="0.25">
      <c r="A15" s="2" t="s">
        <v>10</v>
      </c>
      <c r="B15" s="2" t="s">
        <v>11</v>
      </c>
      <c r="C15" s="2" t="s">
        <v>1197</v>
      </c>
      <c r="D15" s="8">
        <v>43831</v>
      </c>
      <c r="E15" s="5" t="str">
        <f t="shared" si="9"/>
        <v>ACL-AG LLC_01-01-20</v>
      </c>
      <c r="F15" s="2" t="s">
        <v>1199</v>
      </c>
      <c r="G15" s="2" t="s">
        <v>1241</v>
      </c>
      <c r="H15" s="2" t="s">
        <v>1220</v>
      </c>
      <c r="I15" s="2" t="s">
        <v>1221</v>
      </c>
      <c r="J15" s="2" t="s">
        <v>1234</v>
      </c>
      <c r="M15" s="5" t="str">
        <f t="shared" si="0"/>
        <v>Mid</v>
      </c>
      <c r="N15" s="5" t="str">
        <f t="shared" si="1"/>
        <v>Tax-Staff-Mid</v>
      </c>
      <c r="O15" s="5" t="str">
        <f t="shared" si="2"/>
        <v>Tax-Reviewer-Mid</v>
      </c>
      <c r="P15" s="5" t="str">
        <f t="shared" si="3"/>
        <v>Tax-Signer-Mid</v>
      </c>
      <c r="Q15" s="6">
        <v>2.7401969696969677</v>
      </c>
      <c r="R15" s="6">
        <v>0.5480393939393936</v>
      </c>
      <c r="S15" s="6">
        <v>0.2740196969696968</v>
      </c>
      <c r="T15" s="7">
        <f t="shared" si="10"/>
        <v>3.562256060606058</v>
      </c>
      <c r="U15" s="6" t="e">
        <f>SUMIFS([1]Sheet1!$L:$L,[1]Sheet1!$I:$I,AJ15,[1]Sheet1!$C:$C,A15)</f>
        <v>#VALUE!</v>
      </c>
      <c r="V15" s="6"/>
      <c r="W15" s="6"/>
      <c r="X15" s="7" t="e">
        <f t="shared" si="4"/>
        <v>#VALUE!</v>
      </c>
      <c r="Y15" s="6"/>
      <c r="AJ15" s="5" t="str">
        <f t="shared" si="5"/>
        <v>MO 1065 - Partnership</v>
      </c>
      <c r="AK15" s="5" t="str">
        <f t="shared" si="6"/>
        <v>MO-Tax Services-ANN-1065 - Partnership_Mid</v>
      </c>
      <c r="AL15" s="5" t="str">
        <f t="shared" si="7"/>
        <v>ACL-AG L_1065_81-2106666_MO 1065 - Partnership</v>
      </c>
      <c r="AM15" s="5" t="str">
        <f t="shared" si="8"/>
        <v>ACL-AG L_1065_81-2106666_MO-Tax Services-ANN-1065 - Partnership_Mid</v>
      </c>
    </row>
    <row r="16" spans="1:39" x14ac:dyDescent="0.25">
      <c r="A16" s="2" t="s">
        <v>10</v>
      </c>
      <c r="B16" s="2" t="s">
        <v>11</v>
      </c>
      <c r="C16" s="2" t="s">
        <v>1197</v>
      </c>
      <c r="D16" s="8">
        <v>43831</v>
      </c>
      <c r="E16" s="5" t="str">
        <f t="shared" si="9"/>
        <v>ACL-AG LLC_01-01-20</v>
      </c>
      <c r="F16" s="2" t="s">
        <v>1201</v>
      </c>
      <c r="G16" s="2" t="s">
        <v>1201</v>
      </c>
      <c r="H16" s="2" t="s">
        <v>1197</v>
      </c>
      <c r="I16" s="2" t="s">
        <v>1223</v>
      </c>
      <c r="J16" s="2" t="s">
        <v>1235</v>
      </c>
      <c r="M16" s="5" t="str">
        <f t="shared" si="0"/>
        <v>Basic</v>
      </c>
      <c r="N16" s="5" t="str">
        <f t="shared" si="1"/>
        <v>Accountant-Staff-Basic</v>
      </c>
      <c r="O16" s="5" t="str">
        <f t="shared" si="2"/>
        <v>Accountant-Reviewer-Basic</v>
      </c>
      <c r="P16" s="5" t="str">
        <f t="shared" si="3"/>
        <v>Accountant-Signer-Basic</v>
      </c>
      <c r="Q16" s="6">
        <v>1.47</v>
      </c>
      <c r="R16" s="6">
        <v>0.29399999999999998</v>
      </c>
      <c r="S16" s="6">
        <v>0.14699999999999999</v>
      </c>
      <c r="T16" s="7">
        <f t="shared" si="10"/>
        <v>1.911</v>
      </c>
      <c r="U16" s="6" t="e">
        <f>SUMIFS([1]Sheet1!$L:$L,[1]Sheet1!$I:$I,AJ16,[1]Sheet1!$C:$C,A16)</f>
        <v>#VALUE!</v>
      </c>
      <c r="V16" s="6"/>
      <c r="W16" s="6"/>
      <c r="X16" s="7" t="e">
        <f t="shared" si="4"/>
        <v>#VALUE!</v>
      </c>
      <c r="Y16" s="6"/>
      <c r="AJ16" s="5" t="str">
        <f t="shared" si="5"/>
        <v>MO Accounting Services</v>
      </c>
      <c r="AK16" s="5" t="str">
        <f t="shared" si="6"/>
        <v>MO-Accounting Services-MO-Accounting Services_Basic</v>
      </c>
      <c r="AL16" s="5" t="str">
        <f t="shared" si="7"/>
        <v>ACL-AG L_1065_81-2106666_MO Accounting Services</v>
      </c>
      <c r="AM16" s="5" t="str">
        <f t="shared" si="8"/>
        <v>ACL-AG L_1065_81-2106666_MO-Accounting Services-MO-Accounting Services_Basic</v>
      </c>
    </row>
    <row r="17" spans="1:39" x14ac:dyDescent="0.25">
      <c r="A17" s="2" t="s">
        <v>10</v>
      </c>
      <c r="B17" s="2" t="s">
        <v>11</v>
      </c>
      <c r="C17" s="2" t="s">
        <v>1197</v>
      </c>
      <c r="D17" s="8">
        <v>43831</v>
      </c>
      <c r="E17" s="5" t="str">
        <f t="shared" si="9"/>
        <v>ACL-AG LLC_01-01-20</v>
      </c>
      <c r="F17" s="2" t="s">
        <v>1202</v>
      </c>
      <c r="G17" s="2" t="s">
        <v>1201</v>
      </c>
      <c r="H17" s="2" t="s">
        <v>1197</v>
      </c>
      <c r="I17" s="2" t="s">
        <v>1221</v>
      </c>
      <c r="J17" s="2" t="s">
        <v>1235</v>
      </c>
      <c r="M17" s="5" t="str">
        <f t="shared" si="0"/>
        <v>Mid</v>
      </c>
      <c r="N17" s="5" t="str">
        <f t="shared" si="1"/>
        <v>Accountant-Staff-Mid</v>
      </c>
      <c r="O17" s="5" t="str">
        <f t="shared" si="2"/>
        <v>Accountant-Reviewer-Mid</v>
      </c>
      <c r="P17" s="5" t="str">
        <f t="shared" si="3"/>
        <v>Accountant-Signer-Mid</v>
      </c>
      <c r="Q17" s="6">
        <v>1</v>
      </c>
      <c r="R17" s="6">
        <v>0.2</v>
      </c>
      <c r="S17" s="6">
        <v>0.1</v>
      </c>
      <c r="T17" s="7">
        <f t="shared" si="10"/>
        <v>1.3</v>
      </c>
      <c r="U17" s="6" t="e">
        <f>SUMIFS([1]Sheet1!$L:$L,[1]Sheet1!$I:$I,AJ17,[1]Sheet1!$C:$C,A17)</f>
        <v>#VALUE!</v>
      </c>
      <c r="V17" s="6"/>
      <c r="W17" s="6"/>
      <c r="X17" s="7" t="e">
        <f t="shared" si="4"/>
        <v>#VALUE!</v>
      </c>
      <c r="Y17" s="6"/>
      <c r="AJ17" s="5" t="str">
        <f t="shared" si="5"/>
        <v>MO Sales Tax Services</v>
      </c>
      <c r="AK17" s="5" t="str">
        <f t="shared" si="6"/>
        <v>MO-Accounting Services-MO-Sales Tax Services_Mid</v>
      </c>
      <c r="AL17" s="5" t="str">
        <f t="shared" si="7"/>
        <v>ACL-AG L_1065_81-2106666_MO Sales Tax Services</v>
      </c>
      <c r="AM17" s="5" t="str">
        <f t="shared" si="8"/>
        <v>ACL-AG L_1065_81-2106666_MO-Accounting Services-MO-Sales Tax Services_Mid</v>
      </c>
    </row>
    <row r="18" spans="1:39" x14ac:dyDescent="0.25">
      <c r="A18" s="2" t="s">
        <v>10</v>
      </c>
      <c r="B18" s="2" t="s">
        <v>11</v>
      </c>
      <c r="C18" s="2" t="s">
        <v>1197</v>
      </c>
      <c r="D18" s="8">
        <v>43831</v>
      </c>
      <c r="E18" s="5" t="str">
        <f t="shared" si="9"/>
        <v>ACL-AG LLC_01-01-20</v>
      </c>
      <c r="F18" s="2" t="s">
        <v>1200</v>
      </c>
      <c r="G18" s="2" t="s">
        <v>1241</v>
      </c>
      <c r="H18" s="2" t="s">
        <v>1220</v>
      </c>
      <c r="I18" s="2" t="s">
        <v>1223</v>
      </c>
      <c r="J18" s="2" t="s">
        <v>1234</v>
      </c>
      <c r="M18" s="5" t="str">
        <f t="shared" si="0"/>
        <v>Basic</v>
      </c>
      <c r="N18" s="5" t="str">
        <f t="shared" si="1"/>
        <v>Tax-Staff-Basic</v>
      </c>
      <c r="O18" s="5" t="str">
        <f t="shared" si="2"/>
        <v>Tax-Reviewer-Basic</v>
      </c>
      <c r="P18" s="5" t="str">
        <f t="shared" si="3"/>
        <v>Tax-Signer-Basic</v>
      </c>
      <c r="Q18" s="6">
        <v>0.5</v>
      </c>
      <c r="R18" s="6">
        <v>0.1</v>
      </c>
      <c r="S18" s="6">
        <v>0.05</v>
      </c>
      <c r="T18" s="7">
        <f t="shared" si="10"/>
        <v>0.65</v>
      </c>
      <c r="U18" s="6" t="e">
        <f>SUMIFS([1]Sheet1!$L:$L,[1]Sheet1!$I:$I,AJ18,[1]Sheet1!$C:$C,A18)</f>
        <v>#VALUE!</v>
      </c>
      <c r="V18" s="6"/>
      <c r="W18" s="6"/>
      <c r="X18" s="7" t="e">
        <f t="shared" si="4"/>
        <v>#VALUE!</v>
      </c>
      <c r="Y18" s="6"/>
      <c r="AJ18" s="5" t="str">
        <f t="shared" si="5"/>
        <v>MO Texas Franchise Tax Return</v>
      </c>
      <c r="AK18" s="5" t="str">
        <f t="shared" si="6"/>
        <v>MO-Tax Services-ANN-Texas Franchise Tax Return_Basic</v>
      </c>
      <c r="AL18" s="5" t="str">
        <f t="shared" si="7"/>
        <v>ACL-AG L_1065_81-2106666_MO Texas Franchise Tax Return</v>
      </c>
      <c r="AM18" s="5" t="str">
        <f t="shared" si="8"/>
        <v>ACL-AG L_1065_81-2106666_MO-Tax Services-ANN-Texas Franchise Tax Return_Basic</v>
      </c>
    </row>
    <row r="19" spans="1:39" x14ac:dyDescent="0.25">
      <c r="A19" s="2" t="s">
        <v>12</v>
      </c>
      <c r="B19" s="2" t="s">
        <v>13</v>
      </c>
      <c r="C19" s="2" t="s">
        <v>1196</v>
      </c>
      <c r="D19" s="8">
        <v>43831</v>
      </c>
      <c r="E19" s="5" t="str">
        <f t="shared" si="9"/>
        <v>Adam's CPR_01-01-20</v>
      </c>
      <c r="F19" s="2" t="s">
        <v>1204</v>
      </c>
      <c r="G19" s="2" t="s">
        <v>1241</v>
      </c>
      <c r="H19" s="2" t="s">
        <v>1220</v>
      </c>
      <c r="I19" s="2" t="s">
        <v>1221</v>
      </c>
      <c r="J19" s="2" t="s">
        <v>1234</v>
      </c>
      <c r="M19" s="5" t="str">
        <f t="shared" si="0"/>
        <v>Mid</v>
      </c>
      <c r="N19" s="5" t="str">
        <f t="shared" si="1"/>
        <v>Tax-Staff-Mid</v>
      </c>
      <c r="O19" s="5" t="str">
        <f t="shared" si="2"/>
        <v>Tax-Reviewer-Mid</v>
      </c>
      <c r="P19" s="5" t="str">
        <f t="shared" si="3"/>
        <v>Tax-Signer-Mid</v>
      </c>
      <c r="Q19" s="6">
        <v>2.7401969696969677</v>
      </c>
      <c r="R19" s="6">
        <v>0.5480393939393936</v>
      </c>
      <c r="S19" s="6">
        <v>0.2740196969696968</v>
      </c>
      <c r="T19" s="7">
        <f t="shared" si="10"/>
        <v>3.562256060606058</v>
      </c>
      <c r="U19" s="6" t="e">
        <f>SUMIFS([1]Sheet1!$L:$L,[1]Sheet1!$I:$I,AJ19,[1]Sheet1!$C:$C,A19)</f>
        <v>#VALUE!</v>
      </c>
      <c r="V19" s="6"/>
      <c r="W19" s="6"/>
      <c r="X19" s="7" t="e">
        <f t="shared" si="4"/>
        <v>#VALUE!</v>
      </c>
      <c r="Y19" s="6"/>
      <c r="AJ19" s="5" t="str">
        <f t="shared" si="5"/>
        <v>NM 1120S - S Corporation</v>
      </c>
      <c r="AK19" s="5" t="str">
        <f t="shared" si="6"/>
        <v>NM-Tax Services-ANN-1120S - S Corporation_Mid</v>
      </c>
      <c r="AL19" s="5" t="str">
        <f t="shared" si="7"/>
        <v>Adam's C_1120S_80-0694316_NM 1120S - S Corporation</v>
      </c>
      <c r="AM19" s="5" t="str">
        <f t="shared" si="8"/>
        <v>Adam's C_1120S_80-0694316_NM-Tax Services-ANN-1120S - S Corporation_Mid</v>
      </c>
    </row>
    <row r="20" spans="1:39" x14ac:dyDescent="0.25">
      <c r="A20" s="2" t="s">
        <v>12</v>
      </c>
      <c r="B20" s="2" t="s">
        <v>13</v>
      </c>
      <c r="C20" s="2" t="s">
        <v>1197</v>
      </c>
      <c r="D20" s="8">
        <v>43831</v>
      </c>
      <c r="E20" s="5" t="str">
        <f t="shared" si="9"/>
        <v>Adam's CPR_01-01-20</v>
      </c>
      <c r="F20" s="2" t="s">
        <v>1204</v>
      </c>
      <c r="G20" s="2" t="s">
        <v>1241</v>
      </c>
      <c r="H20" s="2" t="s">
        <v>1220</v>
      </c>
      <c r="I20" s="2" t="s">
        <v>1223</v>
      </c>
      <c r="J20" s="2" t="s">
        <v>1234</v>
      </c>
      <c r="M20" s="5" t="str">
        <f t="shared" si="0"/>
        <v>Basic</v>
      </c>
      <c r="N20" s="5" t="str">
        <f t="shared" si="1"/>
        <v>Tax-Staff-Basic</v>
      </c>
      <c r="O20" s="5" t="str">
        <f t="shared" si="2"/>
        <v>Tax-Reviewer-Basic</v>
      </c>
      <c r="P20" s="5" t="str">
        <f t="shared" si="3"/>
        <v>Tax-Signer-Basic</v>
      </c>
      <c r="Q20" s="6">
        <v>1.4675000000000016</v>
      </c>
      <c r="R20" s="6">
        <v>0.29350000000000032</v>
      </c>
      <c r="S20" s="6">
        <v>0.14675000000000016</v>
      </c>
      <c r="T20" s="7">
        <f t="shared" si="10"/>
        <v>1.9077500000000021</v>
      </c>
      <c r="U20" s="6" t="e">
        <f>SUMIFS([1]Sheet1!$L:$L,[1]Sheet1!$I:$I,AJ20,[1]Sheet1!$C:$C,A20)</f>
        <v>#VALUE!</v>
      </c>
      <c r="V20" s="6"/>
      <c r="W20" s="6"/>
      <c r="X20" s="7" t="e">
        <f t="shared" si="4"/>
        <v>#VALUE!</v>
      </c>
      <c r="Y20" s="6"/>
      <c r="AJ20" s="5" t="str">
        <f t="shared" si="5"/>
        <v>MO 1120S - S Corporation</v>
      </c>
      <c r="AK20" s="5" t="str">
        <f t="shared" si="6"/>
        <v>MO-Tax Services-ANN-1120S - S Corporation_Basic</v>
      </c>
      <c r="AL20" s="5" t="str">
        <f t="shared" si="7"/>
        <v>Adam's C_1120S_80-0694316_MO 1120S - S Corporation</v>
      </c>
      <c r="AM20" s="5" t="str">
        <f t="shared" si="8"/>
        <v>Adam's C_1120S_80-0694316_MO-Tax Services-ANN-1120S - S Corporation_Basic</v>
      </c>
    </row>
    <row r="21" spans="1:39" x14ac:dyDescent="0.25">
      <c r="A21" s="2" t="s">
        <v>12</v>
      </c>
      <c r="B21" s="2" t="s">
        <v>13</v>
      </c>
      <c r="C21" s="2" t="s">
        <v>1197</v>
      </c>
      <c r="D21" s="8">
        <v>43831</v>
      </c>
      <c r="E21" s="5" t="str">
        <f t="shared" si="9"/>
        <v>Adam's CPR_01-01-20</v>
      </c>
      <c r="F21" s="2" t="s">
        <v>1201</v>
      </c>
      <c r="G21" s="2" t="s">
        <v>1201</v>
      </c>
      <c r="H21" s="2" t="s">
        <v>1197</v>
      </c>
      <c r="I21" s="2" t="s">
        <v>1223</v>
      </c>
      <c r="J21" s="2" t="s">
        <v>1235</v>
      </c>
      <c r="M21" s="5" t="str">
        <f t="shared" si="0"/>
        <v>Basic</v>
      </c>
      <c r="N21" s="5" t="str">
        <f t="shared" si="1"/>
        <v>Accountant-Staff-Basic</v>
      </c>
      <c r="O21" s="5" t="str">
        <f t="shared" si="2"/>
        <v>Accountant-Reviewer-Basic</v>
      </c>
      <c r="P21" s="5" t="str">
        <f t="shared" si="3"/>
        <v>Accountant-Signer-Basic</v>
      </c>
      <c r="Q21" s="6">
        <v>1.47</v>
      </c>
      <c r="R21" s="6">
        <v>0.29399999999999998</v>
      </c>
      <c r="S21" s="6">
        <v>0.14699999999999999</v>
      </c>
      <c r="T21" s="7">
        <f t="shared" si="10"/>
        <v>1.911</v>
      </c>
      <c r="U21" s="6" t="e">
        <f>SUMIFS([1]Sheet1!$L:$L,[1]Sheet1!$I:$I,AJ21,[1]Sheet1!$C:$C,A21)</f>
        <v>#VALUE!</v>
      </c>
      <c r="V21" s="6"/>
      <c r="W21" s="6"/>
      <c r="X21" s="7" t="e">
        <f t="shared" si="4"/>
        <v>#VALUE!</v>
      </c>
      <c r="Y21" s="6"/>
      <c r="AJ21" s="5" t="str">
        <f t="shared" si="5"/>
        <v>MO Accounting Services</v>
      </c>
      <c r="AK21" s="5" t="str">
        <f t="shared" si="6"/>
        <v>MO-Accounting Services-MO-Accounting Services_Basic</v>
      </c>
      <c r="AL21" s="5" t="str">
        <f t="shared" si="7"/>
        <v>Adam's C_1120S_80-0694316_MO Accounting Services</v>
      </c>
      <c r="AM21" s="5" t="str">
        <f t="shared" si="8"/>
        <v>Adam's C_1120S_80-0694316_MO-Accounting Services-MO-Accounting Services_Basic</v>
      </c>
    </row>
    <row r="22" spans="1:39" x14ac:dyDescent="0.25">
      <c r="A22" s="2" t="s">
        <v>12</v>
      </c>
      <c r="B22" s="2" t="s">
        <v>13</v>
      </c>
      <c r="C22" s="2" t="s">
        <v>1197</v>
      </c>
      <c r="D22" s="8">
        <v>43831</v>
      </c>
      <c r="E22" s="5" t="str">
        <f t="shared" si="9"/>
        <v>Adam's CPR_01-01-20</v>
      </c>
      <c r="F22" s="2" t="s">
        <v>1205</v>
      </c>
      <c r="G22" s="2" t="s">
        <v>1201</v>
      </c>
      <c r="H22" s="2" t="s">
        <v>1224</v>
      </c>
      <c r="I22" s="2" t="s">
        <v>1223</v>
      </c>
      <c r="J22" s="2" t="s">
        <v>1235</v>
      </c>
      <c r="M22" s="5" t="str">
        <f t="shared" si="0"/>
        <v>Basic</v>
      </c>
      <c r="N22" s="5" t="str">
        <f t="shared" si="1"/>
        <v>Accountant-Staff-Basic</v>
      </c>
      <c r="O22" s="5" t="str">
        <f t="shared" si="2"/>
        <v>Accountant-Reviewer-Basic</v>
      </c>
      <c r="P22" s="5" t="str">
        <f t="shared" si="3"/>
        <v>Accountant-Signer-Basic</v>
      </c>
      <c r="Q22" s="6">
        <v>0.5</v>
      </c>
      <c r="R22" s="6">
        <v>0.1</v>
      </c>
      <c r="S22" s="6">
        <v>0.05</v>
      </c>
      <c r="T22" s="7">
        <f t="shared" si="10"/>
        <v>0.65</v>
      </c>
      <c r="U22" s="6" t="e">
        <f>SUMIFS([1]Sheet1!$L:$L,[1]Sheet1!$I:$I,AJ22,[1]Sheet1!$C:$C,A22)</f>
        <v>#VALUE!</v>
      </c>
      <c r="V22" s="6"/>
      <c r="W22" s="6"/>
      <c r="X22" s="7" t="e">
        <f t="shared" si="4"/>
        <v>#VALUE!</v>
      </c>
      <c r="Y22" s="6"/>
      <c r="AJ22" s="5" t="str">
        <f t="shared" si="5"/>
        <v>MO Payroll Services</v>
      </c>
      <c r="AK22" s="5" t="str">
        <f t="shared" si="6"/>
        <v>MO-Accounting Services-QTR-Payroll Services_Basic</v>
      </c>
      <c r="AL22" s="5" t="str">
        <f t="shared" si="7"/>
        <v>Adam's C_1120S_80-0694316_MO Payroll Services</v>
      </c>
      <c r="AM22" s="5" t="str">
        <f t="shared" si="8"/>
        <v>Adam's C_1120S_80-0694316_MO-Accounting Services-QTR-Payroll Services_Basic</v>
      </c>
    </row>
    <row r="23" spans="1:39" x14ac:dyDescent="0.25">
      <c r="A23" s="2" t="s">
        <v>12</v>
      </c>
      <c r="B23" s="2" t="s">
        <v>13</v>
      </c>
      <c r="C23" s="2" t="s">
        <v>1197</v>
      </c>
      <c r="D23" s="8">
        <v>43831</v>
      </c>
      <c r="E23" s="5" t="str">
        <f t="shared" si="9"/>
        <v>Adam's CPR_01-01-20</v>
      </c>
      <c r="F23" s="2" t="s">
        <v>1200</v>
      </c>
      <c r="G23" s="2" t="s">
        <v>1241</v>
      </c>
      <c r="H23" s="2" t="s">
        <v>1220</v>
      </c>
      <c r="I23" s="2" t="s">
        <v>1223</v>
      </c>
      <c r="J23" s="2" t="s">
        <v>1234</v>
      </c>
      <c r="M23" s="5" t="str">
        <f t="shared" si="0"/>
        <v>Basic</v>
      </c>
      <c r="N23" s="5" t="str">
        <f t="shared" si="1"/>
        <v>Tax-Staff-Basic</v>
      </c>
      <c r="O23" s="5" t="str">
        <f t="shared" si="2"/>
        <v>Tax-Reviewer-Basic</v>
      </c>
      <c r="P23" s="5" t="str">
        <f t="shared" si="3"/>
        <v>Tax-Signer-Basic</v>
      </c>
      <c r="Q23" s="6">
        <v>0.5</v>
      </c>
      <c r="R23" s="6">
        <v>0.1</v>
      </c>
      <c r="S23" s="6">
        <v>0.05</v>
      </c>
      <c r="T23" s="7">
        <f t="shared" si="10"/>
        <v>0.65</v>
      </c>
      <c r="U23" s="6" t="e">
        <f>SUMIFS([1]Sheet1!$L:$L,[1]Sheet1!$I:$I,AJ23,[1]Sheet1!$C:$C,A23)</f>
        <v>#VALUE!</v>
      </c>
      <c r="V23" s="6"/>
      <c r="W23" s="6"/>
      <c r="X23" s="7" t="e">
        <f t="shared" si="4"/>
        <v>#VALUE!</v>
      </c>
      <c r="Y23" s="6"/>
      <c r="AJ23" s="5" t="str">
        <f t="shared" si="5"/>
        <v>MO Texas Franchise Tax Return</v>
      </c>
      <c r="AK23" s="5" t="str">
        <f t="shared" si="6"/>
        <v>MO-Tax Services-ANN-Texas Franchise Tax Return_Basic</v>
      </c>
      <c r="AL23" s="5" t="str">
        <f t="shared" si="7"/>
        <v>Adam's C_1120S_80-0694316_MO Texas Franchise Tax Return</v>
      </c>
      <c r="AM23" s="5" t="str">
        <f t="shared" si="8"/>
        <v>Adam's C_1120S_80-0694316_MO-Tax Services-ANN-Texas Franchise Tax Return_Basic</v>
      </c>
    </row>
    <row r="24" spans="1:39" x14ac:dyDescent="0.25">
      <c r="A24" s="2" t="s">
        <v>395</v>
      </c>
      <c r="B24" s="2" t="s">
        <v>396</v>
      </c>
      <c r="C24" s="2" t="s">
        <v>1197</v>
      </c>
      <c r="D24" s="8">
        <v>43831</v>
      </c>
      <c r="E24" s="5" t="str">
        <f t="shared" si="9"/>
        <v>Adaptive Nutrition_01-01-20</v>
      </c>
      <c r="F24" s="2" t="s">
        <v>1199</v>
      </c>
      <c r="G24" s="2" t="s">
        <v>1241</v>
      </c>
      <c r="H24" s="2" t="s">
        <v>1220</v>
      </c>
      <c r="I24" s="2" t="s">
        <v>1223</v>
      </c>
      <c r="J24" s="2" t="s">
        <v>1234</v>
      </c>
      <c r="M24" s="5" t="str">
        <f t="shared" si="0"/>
        <v>Basic</v>
      </c>
      <c r="N24" s="5" t="str">
        <f t="shared" si="1"/>
        <v>Tax-Staff-Basic</v>
      </c>
      <c r="O24" s="5" t="str">
        <f t="shared" si="2"/>
        <v>Tax-Reviewer-Basic</v>
      </c>
      <c r="P24" s="5" t="str">
        <f t="shared" si="3"/>
        <v>Tax-Signer-Basic</v>
      </c>
      <c r="Q24" s="6">
        <v>1.4675000000000016</v>
      </c>
      <c r="R24" s="6">
        <v>0.29350000000000032</v>
      </c>
      <c r="S24" s="6">
        <v>0.14675000000000016</v>
      </c>
      <c r="T24" s="7">
        <f t="shared" si="10"/>
        <v>1.9077500000000021</v>
      </c>
      <c r="U24" s="6" t="e">
        <f>SUMIFS([1]Sheet1!$L:$L,[1]Sheet1!$I:$I,AJ24,[1]Sheet1!$C:$C,A24)</f>
        <v>#VALUE!</v>
      </c>
      <c r="V24" s="6"/>
      <c r="W24" s="6"/>
      <c r="X24" s="7" t="e">
        <f t="shared" si="4"/>
        <v>#VALUE!</v>
      </c>
      <c r="Y24" s="6"/>
      <c r="AJ24" s="5" t="str">
        <f t="shared" si="5"/>
        <v>MO 1065 - Partnership</v>
      </c>
      <c r="AK24" s="5" t="str">
        <f t="shared" si="6"/>
        <v>MO-Tax Services-ANN-1065 - Partnership_Basic</v>
      </c>
      <c r="AL24" s="5" t="str">
        <f t="shared" si="7"/>
        <v>Adaptive_1065_81-3569674_MO 1065 - Partnership</v>
      </c>
      <c r="AM24" s="5" t="str">
        <f t="shared" si="8"/>
        <v>Adaptive_1065_81-3569674_MO-Tax Services-ANN-1065 - Partnership_Basic</v>
      </c>
    </row>
    <row r="25" spans="1:39" x14ac:dyDescent="0.25">
      <c r="A25" s="2" t="s">
        <v>227</v>
      </c>
      <c r="B25" s="2" t="s">
        <v>228</v>
      </c>
      <c r="C25" s="2" t="s">
        <v>1196</v>
      </c>
      <c r="D25" s="8">
        <v>43831</v>
      </c>
      <c r="E25" s="5" t="str">
        <f t="shared" si="9"/>
        <v>Advanced Total Systems, Inc._01-01-20</v>
      </c>
      <c r="F25" s="2" t="s">
        <v>1204</v>
      </c>
      <c r="G25" s="2" t="s">
        <v>1241</v>
      </c>
      <c r="H25" s="2" t="s">
        <v>1220</v>
      </c>
      <c r="I25" s="2" t="s">
        <v>1223</v>
      </c>
      <c r="J25" s="2" t="s">
        <v>1234</v>
      </c>
      <c r="M25" s="5" t="str">
        <f t="shared" si="0"/>
        <v>Basic</v>
      </c>
      <c r="N25" s="5" t="str">
        <f t="shared" si="1"/>
        <v>Tax-Staff-Basic</v>
      </c>
      <c r="O25" s="5" t="str">
        <f t="shared" si="2"/>
        <v>Tax-Reviewer-Basic</v>
      </c>
      <c r="P25" s="5" t="str">
        <f t="shared" si="3"/>
        <v>Tax-Signer-Basic</v>
      </c>
      <c r="Q25" s="6">
        <v>1.4675000000000016</v>
      </c>
      <c r="R25" s="6">
        <v>0.29350000000000032</v>
      </c>
      <c r="S25" s="6">
        <v>0.14675000000000016</v>
      </c>
      <c r="T25" s="7">
        <f t="shared" si="10"/>
        <v>1.9077500000000021</v>
      </c>
      <c r="U25" s="6" t="e">
        <f>SUMIFS([1]Sheet1!$L:$L,[1]Sheet1!$I:$I,AJ25,[1]Sheet1!$C:$C,A25)</f>
        <v>#VALUE!</v>
      </c>
      <c r="V25" s="6"/>
      <c r="W25" s="6"/>
      <c r="X25" s="7" t="e">
        <f t="shared" si="4"/>
        <v>#VALUE!</v>
      </c>
      <c r="Y25" s="6"/>
      <c r="AJ25" s="5" t="str">
        <f t="shared" si="5"/>
        <v>NM 1120S - S Corporation</v>
      </c>
      <c r="AK25" s="5" t="str">
        <f t="shared" si="6"/>
        <v>NM-Tax Services-ANN-1120S - S Corporation_Basic</v>
      </c>
      <c r="AL25" s="5" t="str">
        <f t="shared" si="7"/>
        <v>Advanced_1120S_65-0143176_NM 1120S - S Corporation</v>
      </c>
      <c r="AM25" s="5" t="str">
        <f t="shared" si="8"/>
        <v>Advanced_1120S_65-0143176_NM-Tax Services-ANN-1120S - S Corporation_Basic</v>
      </c>
    </row>
    <row r="26" spans="1:39" x14ac:dyDescent="0.25">
      <c r="A26" s="2" t="s">
        <v>227</v>
      </c>
      <c r="B26" s="2" t="s">
        <v>228</v>
      </c>
      <c r="C26" s="2" t="s">
        <v>1197</v>
      </c>
      <c r="D26" s="8">
        <v>43831</v>
      </c>
      <c r="E26" s="5" t="str">
        <f t="shared" si="9"/>
        <v>Advanced Total Systems, Inc._01-01-20</v>
      </c>
      <c r="F26" s="2" t="s">
        <v>1204</v>
      </c>
      <c r="G26" s="2" t="s">
        <v>1241</v>
      </c>
      <c r="H26" s="2" t="s">
        <v>1220</v>
      </c>
      <c r="I26" s="2" t="s">
        <v>1223</v>
      </c>
      <c r="J26" s="2" t="s">
        <v>1234</v>
      </c>
      <c r="M26" s="5" t="str">
        <f t="shared" si="0"/>
        <v>Basic</v>
      </c>
      <c r="N26" s="5" t="str">
        <f t="shared" si="1"/>
        <v>Tax-Staff-Basic</v>
      </c>
      <c r="O26" s="5" t="str">
        <f t="shared" si="2"/>
        <v>Tax-Reviewer-Basic</v>
      </c>
      <c r="P26" s="5" t="str">
        <f t="shared" si="3"/>
        <v>Tax-Signer-Basic</v>
      </c>
      <c r="Q26" s="6">
        <v>1.4675000000000016</v>
      </c>
      <c r="R26" s="6">
        <v>0.29350000000000032</v>
      </c>
      <c r="S26" s="6">
        <v>0.14675000000000016</v>
      </c>
      <c r="T26" s="7">
        <f t="shared" si="10"/>
        <v>1.9077500000000021</v>
      </c>
      <c r="U26" s="6" t="e">
        <f>SUMIFS([1]Sheet1!$L:$L,[1]Sheet1!$I:$I,AJ26,[1]Sheet1!$C:$C,A26)</f>
        <v>#VALUE!</v>
      </c>
      <c r="V26" s="6"/>
      <c r="W26" s="6"/>
      <c r="X26" s="7" t="e">
        <f t="shared" si="4"/>
        <v>#VALUE!</v>
      </c>
      <c r="Y26" s="6"/>
      <c r="AJ26" s="5" t="str">
        <f t="shared" si="5"/>
        <v>MO 1120S - S Corporation</v>
      </c>
      <c r="AK26" s="5" t="str">
        <f t="shared" si="6"/>
        <v>MO-Tax Services-ANN-1120S - S Corporation_Basic</v>
      </c>
      <c r="AL26" s="5" t="str">
        <f t="shared" si="7"/>
        <v>Advanced_1120S_65-0143176_MO 1120S - S Corporation</v>
      </c>
      <c r="AM26" s="5" t="str">
        <f t="shared" si="8"/>
        <v>Advanced_1120S_65-0143176_MO-Tax Services-ANN-1120S - S Corporation_Basic</v>
      </c>
    </row>
    <row r="27" spans="1:39" x14ac:dyDescent="0.25">
      <c r="A27" s="2" t="s">
        <v>1004</v>
      </c>
      <c r="B27" s="2" t="s">
        <v>1005</v>
      </c>
      <c r="C27" s="2" t="s">
        <v>1196</v>
      </c>
      <c r="D27" s="8">
        <v>43831</v>
      </c>
      <c r="E27" s="5" t="str">
        <f t="shared" si="9"/>
        <v>AG Ventures, LLC_01-01-20</v>
      </c>
      <c r="F27" s="2" t="s">
        <v>1204</v>
      </c>
      <c r="G27" s="2" t="s">
        <v>1241</v>
      </c>
      <c r="H27" s="2" t="s">
        <v>1220</v>
      </c>
      <c r="I27" s="2" t="s">
        <v>1223</v>
      </c>
      <c r="J27" s="2" t="s">
        <v>1234</v>
      </c>
      <c r="M27" s="5" t="str">
        <f t="shared" si="0"/>
        <v>Basic</v>
      </c>
      <c r="N27" s="5" t="str">
        <f t="shared" si="1"/>
        <v>Tax-Staff-Basic</v>
      </c>
      <c r="O27" s="5" t="str">
        <f t="shared" si="2"/>
        <v>Tax-Reviewer-Basic</v>
      </c>
      <c r="P27" s="5" t="str">
        <f t="shared" si="3"/>
        <v>Tax-Signer-Basic</v>
      </c>
      <c r="Q27" s="6">
        <v>1.4675000000000016</v>
      </c>
      <c r="R27" s="6">
        <v>0.29350000000000032</v>
      </c>
      <c r="S27" s="6">
        <v>0.14675000000000016</v>
      </c>
      <c r="T27" s="7">
        <f t="shared" si="10"/>
        <v>1.9077500000000021</v>
      </c>
      <c r="U27" s="6" t="e">
        <f>SUMIFS([1]Sheet1!$L:$L,[1]Sheet1!$I:$I,AJ27,[1]Sheet1!$C:$C,A27)</f>
        <v>#VALUE!</v>
      </c>
      <c r="V27" s="6"/>
      <c r="W27" s="6"/>
      <c r="X27" s="7" t="e">
        <f t="shared" si="4"/>
        <v>#VALUE!</v>
      </c>
      <c r="Y27" s="6"/>
      <c r="AJ27" s="5" t="str">
        <f t="shared" si="5"/>
        <v>NM 1120S - S Corporation</v>
      </c>
      <c r="AK27" s="5" t="str">
        <f t="shared" si="6"/>
        <v>NM-Tax Services-ANN-1120S - S Corporation_Basic</v>
      </c>
      <c r="AL27" s="5" t="str">
        <f t="shared" si="7"/>
        <v>AG Ventu_1120S_83-3623762_NM 1120S - S Corporation</v>
      </c>
      <c r="AM27" s="5" t="str">
        <f t="shared" si="8"/>
        <v>AG Ventu_1120S_83-3623762_NM-Tax Services-ANN-1120S - S Corporation_Basic</v>
      </c>
    </row>
    <row r="28" spans="1:39" x14ac:dyDescent="0.25">
      <c r="A28" s="2" t="s">
        <v>1004</v>
      </c>
      <c r="B28" s="2" t="s">
        <v>1005</v>
      </c>
      <c r="C28" s="2" t="s">
        <v>1196</v>
      </c>
      <c r="D28" s="8">
        <v>43831</v>
      </c>
      <c r="E28" s="5" t="str">
        <f t="shared" si="9"/>
        <v>AG Ventures, LLC_01-01-20</v>
      </c>
      <c r="F28" s="2" t="s">
        <v>1200</v>
      </c>
      <c r="G28" s="2" t="s">
        <v>1241</v>
      </c>
      <c r="H28" s="2" t="s">
        <v>1220</v>
      </c>
      <c r="I28" s="2" t="s">
        <v>1223</v>
      </c>
      <c r="J28" s="2" t="s">
        <v>1234</v>
      </c>
      <c r="M28" s="5" t="str">
        <f t="shared" si="0"/>
        <v>Basic</v>
      </c>
      <c r="N28" s="5" t="str">
        <f t="shared" si="1"/>
        <v>Tax-Staff-Basic</v>
      </c>
      <c r="O28" s="5" t="str">
        <f t="shared" si="2"/>
        <v>Tax-Reviewer-Basic</v>
      </c>
      <c r="P28" s="5" t="str">
        <f t="shared" si="3"/>
        <v>Tax-Signer-Basic</v>
      </c>
      <c r="Q28" s="6">
        <v>0.5</v>
      </c>
      <c r="R28" s="6">
        <v>0.1</v>
      </c>
      <c r="S28" s="6">
        <v>0.05</v>
      </c>
      <c r="T28" s="7">
        <f t="shared" si="10"/>
        <v>0.65</v>
      </c>
      <c r="U28" s="6" t="e">
        <f>SUMIFS([1]Sheet1!$L:$L,[1]Sheet1!$I:$I,AJ28,[1]Sheet1!$C:$C,A28)</f>
        <v>#VALUE!</v>
      </c>
      <c r="V28" s="6"/>
      <c r="W28" s="6"/>
      <c r="X28" s="7" t="e">
        <f t="shared" si="4"/>
        <v>#VALUE!</v>
      </c>
      <c r="Y28" s="6"/>
      <c r="AJ28" s="5" t="str">
        <f t="shared" si="5"/>
        <v>NM Texas Franchise Tax Return</v>
      </c>
      <c r="AK28" s="5" t="str">
        <f t="shared" si="6"/>
        <v>NM-Tax Services-ANN-Texas Franchise Tax Return_Basic</v>
      </c>
      <c r="AL28" s="5" t="str">
        <f t="shared" si="7"/>
        <v>AG Ventu_1120S_83-3623762_NM Texas Franchise Tax Return</v>
      </c>
      <c r="AM28" s="5" t="str">
        <f t="shared" si="8"/>
        <v>AG Ventu_1120S_83-3623762_NM-Tax Services-ANN-Texas Franchise Tax Return_Basic</v>
      </c>
    </row>
    <row r="29" spans="1:39" x14ac:dyDescent="0.25">
      <c r="A29" s="2" t="s">
        <v>229</v>
      </c>
      <c r="B29" s="2" t="s">
        <v>230</v>
      </c>
      <c r="C29" s="2" t="s">
        <v>1196</v>
      </c>
      <c r="D29" s="8">
        <v>43831</v>
      </c>
      <c r="E29" s="5" t="str">
        <f t="shared" si="9"/>
        <v>AHDesign Studios, Inc_01-01-20</v>
      </c>
      <c r="F29" s="2" t="s">
        <v>1204</v>
      </c>
      <c r="G29" s="2" t="s">
        <v>1241</v>
      </c>
      <c r="H29" s="2" t="s">
        <v>1220</v>
      </c>
      <c r="I29" s="2" t="s">
        <v>1223</v>
      </c>
      <c r="J29" s="2" t="s">
        <v>1234</v>
      </c>
      <c r="M29" s="5" t="str">
        <f t="shared" si="0"/>
        <v>Basic</v>
      </c>
      <c r="N29" s="5" t="str">
        <f t="shared" si="1"/>
        <v>Tax-Staff-Basic</v>
      </c>
      <c r="O29" s="5" t="str">
        <f t="shared" si="2"/>
        <v>Tax-Reviewer-Basic</v>
      </c>
      <c r="P29" s="5" t="str">
        <f t="shared" si="3"/>
        <v>Tax-Signer-Basic</v>
      </c>
      <c r="Q29" s="6">
        <v>1.4675000000000016</v>
      </c>
      <c r="R29" s="6">
        <v>0.29350000000000032</v>
      </c>
      <c r="S29" s="6">
        <v>0.14675000000000016</v>
      </c>
      <c r="T29" s="7">
        <f t="shared" si="10"/>
        <v>1.9077500000000021</v>
      </c>
      <c r="U29" s="6" t="e">
        <f>SUMIFS([1]Sheet1!$L:$L,[1]Sheet1!$I:$I,AJ29,[1]Sheet1!$C:$C,A29)</f>
        <v>#VALUE!</v>
      </c>
      <c r="V29" s="6"/>
      <c r="W29" s="6"/>
      <c r="X29" s="7" t="e">
        <f t="shared" si="4"/>
        <v>#VALUE!</v>
      </c>
      <c r="Y29" s="6"/>
      <c r="AJ29" s="5" t="str">
        <f t="shared" si="5"/>
        <v>NM 1120S - S Corporation</v>
      </c>
      <c r="AK29" s="5" t="str">
        <f t="shared" si="6"/>
        <v>NM-Tax Services-ANN-1120S - S Corporation_Basic</v>
      </c>
      <c r="AL29" s="5" t="str">
        <f t="shared" si="7"/>
        <v>AHDesign_1120S_47-1237847_NM 1120S - S Corporation</v>
      </c>
      <c r="AM29" s="5" t="str">
        <f t="shared" si="8"/>
        <v>AHDesign_1120S_47-1237847_NM-Tax Services-ANN-1120S - S Corporation_Basic</v>
      </c>
    </row>
    <row r="30" spans="1:39" x14ac:dyDescent="0.25">
      <c r="A30" s="2" t="s">
        <v>14</v>
      </c>
      <c r="B30" s="2" t="s">
        <v>15</v>
      </c>
      <c r="C30" s="2" t="s">
        <v>1197</v>
      </c>
      <c r="D30" s="8">
        <v>43831</v>
      </c>
      <c r="E30" s="5" t="str">
        <f t="shared" si="9"/>
        <v>Alcon Services, Inc_01-01-20</v>
      </c>
      <c r="F30" s="2" t="s">
        <v>1204</v>
      </c>
      <c r="G30" s="2" t="s">
        <v>1241</v>
      </c>
      <c r="H30" s="2" t="s">
        <v>1220</v>
      </c>
      <c r="I30" s="2" t="s">
        <v>1223</v>
      </c>
      <c r="J30" s="2" t="s">
        <v>1234</v>
      </c>
      <c r="M30" s="5" t="str">
        <f t="shared" si="0"/>
        <v>Basic</v>
      </c>
      <c r="N30" s="5" t="str">
        <f t="shared" si="1"/>
        <v>Tax-Staff-Basic</v>
      </c>
      <c r="O30" s="5" t="str">
        <f t="shared" si="2"/>
        <v>Tax-Reviewer-Basic</v>
      </c>
      <c r="P30" s="5" t="str">
        <f t="shared" si="3"/>
        <v>Tax-Signer-Basic</v>
      </c>
      <c r="Q30" s="6">
        <v>1.4675000000000016</v>
      </c>
      <c r="R30" s="6">
        <v>0.29350000000000032</v>
      </c>
      <c r="S30" s="6">
        <v>0.14675000000000016</v>
      </c>
      <c r="T30" s="7">
        <f t="shared" si="10"/>
        <v>1.9077500000000021</v>
      </c>
      <c r="U30" s="6" t="e">
        <f>SUMIFS([1]Sheet1!$L:$L,[1]Sheet1!$I:$I,AJ30,[1]Sheet1!$C:$C,A30)</f>
        <v>#VALUE!</v>
      </c>
      <c r="V30" s="6"/>
      <c r="W30" s="6"/>
      <c r="X30" s="7" t="e">
        <f t="shared" si="4"/>
        <v>#VALUE!</v>
      </c>
      <c r="Y30" s="6"/>
      <c r="AJ30" s="5" t="str">
        <f t="shared" si="5"/>
        <v>MO 1120S - S Corporation</v>
      </c>
      <c r="AK30" s="5" t="str">
        <f t="shared" si="6"/>
        <v>MO-Tax Services-ANN-1120S - S Corporation_Basic</v>
      </c>
      <c r="AL30" s="5" t="str">
        <f t="shared" si="7"/>
        <v>Alcon Se_1120S_75-2968808_MO 1120S - S Corporation</v>
      </c>
      <c r="AM30" s="5" t="str">
        <f t="shared" si="8"/>
        <v>Alcon Se_1120S_75-2968808_MO-Tax Services-ANN-1120S - S Corporation_Basic</v>
      </c>
    </row>
    <row r="31" spans="1:39" x14ac:dyDescent="0.25">
      <c r="A31" s="2" t="s">
        <v>14</v>
      </c>
      <c r="B31" s="2" t="s">
        <v>15</v>
      </c>
      <c r="C31" s="2" t="s">
        <v>1197</v>
      </c>
      <c r="D31" s="8">
        <v>43831</v>
      </c>
      <c r="E31" s="5" t="str">
        <f t="shared" si="9"/>
        <v>Alcon Services, Inc_01-01-20</v>
      </c>
      <c r="F31" s="2" t="s">
        <v>1201</v>
      </c>
      <c r="G31" s="2" t="s">
        <v>1201</v>
      </c>
      <c r="H31" s="2" t="s">
        <v>1197</v>
      </c>
      <c r="I31" s="2" t="s">
        <v>1223</v>
      </c>
      <c r="J31" s="2" t="s">
        <v>1235</v>
      </c>
      <c r="M31" s="5" t="str">
        <f t="shared" si="0"/>
        <v>Basic</v>
      </c>
      <c r="N31" s="5" t="str">
        <f t="shared" si="1"/>
        <v>Accountant-Staff-Basic</v>
      </c>
      <c r="O31" s="5" t="str">
        <f t="shared" si="2"/>
        <v>Accountant-Reviewer-Basic</v>
      </c>
      <c r="P31" s="5" t="str">
        <f t="shared" si="3"/>
        <v>Accountant-Signer-Basic</v>
      </c>
      <c r="Q31" s="6">
        <v>1.47</v>
      </c>
      <c r="R31" s="6">
        <v>0.29399999999999998</v>
      </c>
      <c r="S31" s="6">
        <v>0.14699999999999999</v>
      </c>
      <c r="T31" s="7">
        <f t="shared" si="10"/>
        <v>1.911</v>
      </c>
      <c r="U31" s="6" t="e">
        <f>SUMIFS([1]Sheet1!$L:$L,[1]Sheet1!$I:$I,AJ31,[1]Sheet1!$C:$C,A31)</f>
        <v>#VALUE!</v>
      </c>
      <c r="V31" s="6"/>
      <c r="W31" s="6"/>
      <c r="X31" s="7" t="e">
        <f t="shared" si="4"/>
        <v>#VALUE!</v>
      </c>
      <c r="Y31" s="6"/>
      <c r="AJ31" s="5" t="str">
        <f t="shared" si="5"/>
        <v>MO Accounting Services</v>
      </c>
      <c r="AK31" s="5" t="str">
        <f t="shared" si="6"/>
        <v>MO-Accounting Services-MO-Accounting Services_Basic</v>
      </c>
      <c r="AL31" s="5" t="str">
        <f t="shared" si="7"/>
        <v>Alcon Se_1120S_75-2968808_MO Accounting Services</v>
      </c>
      <c r="AM31" s="5" t="str">
        <f t="shared" si="8"/>
        <v>Alcon Se_1120S_75-2968808_MO-Accounting Services-MO-Accounting Services_Basic</v>
      </c>
    </row>
    <row r="32" spans="1:39" x14ac:dyDescent="0.25">
      <c r="A32" s="2" t="s">
        <v>14</v>
      </c>
      <c r="B32" s="2" t="s">
        <v>15</v>
      </c>
      <c r="C32" s="2" t="s">
        <v>1197</v>
      </c>
      <c r="D32" s="8">
        <v>43831</v>
      </c>
      <c r="E32" s="5" t="str">
        <f t="shared" si="9"/>
        <v>Alcon Services, Inc_01-01-20</v>
      </c>
      <c r="F32" s="2" t="s">
        <v>1200</v>
      </c>
      <c r="G32" s="2" t="s">
        <v>1241</v>
      </c>
      <c r="H32" s="2" t="s">
        <v>1220</v>
      </c>
      <c r="I32" s="2" t="s">
        <v>1223</v>
      </c>
      <c r="J32" s="2" t="s">
        <v>1234</v>
      </c>
      <c r="M32" s="5" t="str">
        <f t="shared" si="0"/>
        <v>Basic</v>
      </c>
      <c r="N32" s="5" t="str">
        <f t="shared" si="1"/>
        <v>Tax-Staff-Basic</v>
      </c>
      <c r="O32" s="5" t="str">
        <f t="shared" si="2"/>
        <v>Tax-Reviewer-Basic</v>
      </c>
      <c r="P32" s="5" t="str">
        <f t="shared" si="3"/>
        <v>Tax-Signer-Basic</v>
      </c>
      <c r="Q32" s="6">
        <v>0.5</v>
      </c>
      <c r="R32" s="6">
        <v>0.1</v>
      </c>
      <c r="S32" s="6">
        <v>0.05</v>
      </c>
      <c r="T32" s="7">
        <f t="shared" si="10"/>
        <v>0.65</v>
      </c>
      <c r="U32" s="6" t="e">
        <f>SUMIFS([1]Sheet1!$L:$L,[1]Sheet1!$I:$I,AJ32,[1]Sheet1!$C:$C,A32)</f>
        <v>#VALUE!</v>
      </c>
      <c r="V32" s="6"/>
      <c r="W32" s="6"/>
      <c r="X32" s="7" t="e">
        <f t="shared" si="4"/>
        <v>#VALUE!</v>
      </c>
      <c r="Y32" s="6"/>
      <c r="AJ32" s="5" t="str">
        <f t="shared" si="5"/>
        <v>MO Texas Franchise Tax Return</v>
      </c>
      <c r="AK32" s="5" t="str">
        <f t="shared" si="6"/>
        <v>MO-Tax Services-ANN-Texas Franchise Tax Return_Basic</v>
      </c>
      <c r="AL32" s="5" t="str">
        <f t="shared" si="7"/>
        <v>Alcon Se_1120S_75-2968808_MO Texas Franchise Tax Return</v>
      </c>
      <c r="AM32" s="5" t="str">
        <f t="shared" si="8"/>
        <v>Alcon Se_1120S_75-2968808_MO-Tax Services-ANN-Texas Franchise Tax Return_Basic</v>
      </c>
    </row>
    <row r="33" spans="1:39" x14ac:dyDescent="0.25">
      <c r="A33" s="2" t="s">
        <v>415</v>
      </c>
      <c r="B33" s="2" t="s">
        <v>416</v>
      </c>
      <c r="C33" s="2" t="s">
        <v>1196</v>
      </c>
      <c r="D33" s="8">
        <v>43831</v>
      </c>
      <c r="E33" s="5" t="str">
        <f t="shared" si="9"/>
        <v>Alexander, David_01-01-20</v>
      </c>
      <c r="F33" s="2" t="s">
        <v>1203</v>
      </c>
      <c r="G33" s="2" t="s">
        <v>1241</v>
      </c>
      <c r="H33" s="2" t="s">
        <v>1220</v>
      </c>
      <c r="I33" s="2" t="s">
        <v>1222</v>
      </c>
      <c r="J33" s="2" t="s">
        <v>1234</v>
      </c>
      <c r="M33" s="5" t="str">
        <f t="shared" si="0"/>
        <v>Adv</v>
      </c>
      <c r="N33" s="5" t="str">
        <f t="shared" si="1"/>
        <v>Tax-Staff-Adv</v>
      </c>
      <c r="O33" s="5" t="str">
        <f t="shared" si="2"/>
        <v>Tax-Reviewer-Adv</v>
      </c>
      <c r="P33" s="5" t="str">
        <f t="shared" si="3"/>
        <v>Tax-Signer-Adv</v>
      </c>
      <c r="Q33" s="6">
        <v>4.5832500000000005</v>
      </c>
      <c r="R33" s="6">
        <v>0.91665000000000019</v>
      </c>
      <c r="S33" s="6">
        <v>0.45832500000000009</v>
      </c>
      <c r="T33" s="7">
        <f t="shared" si="10"/>
        <v>5.9582250000000005</v>
      </c>
      <c r="U33" s="6" t="e">
        <f>SUMIFS([1]Sheet1!$L:$L,[1]Sheet1!$I:$I,AJ33,[1]Sheet1!$C:$C,A33)</f>
        <v>#VALUE!</v>
      </c>
      <c r="V33" s="6"/>
      <c r="W33" s="6"/>
      <c r="X33" s="7" t="e">
        <f t="shared" si="4"/>
        <v>#VALUE!</v>
      </c>
      <c r="Y33" s="6"/>
      <c r="AJ33" s="5" t="str">
        <f t="shared" si="5"/>
        <v>NM 1040 - Personal</v>
      </c>
      <c r="AK33" s="5" t="str">
        <f t="shared" si="6"/>
        <v>NM-Tax Services-ANN-1040 - Personal_Adv</v>
      </c>
      <c r="AL33" s="5" t="str">
        <f t="shared" si="7"/>
        <v>Alexan_7405_NM 1040 - Personal</v>
      </c>
      <c r="AM33" s="5" t="str">
        <f t="shared" si="8"/>
        <v>Alexan_7405_NM-Tax Services-ANN-1040 - Personal_Adv</v>
      </c>
    </row>
    <row r="34" spans="1:39" x14ac:dyDescent="0.25">
      <c r="A34" s="2" t="s">
        <v>962</v>
      </c>
      <c r="B34" s="2" t="s">
        <v>963</v>
      </c>
      <c r="C34" s="2" t="s">
        <v>1196</v>
      </c>
      <c r="D34" s="8">
        <v>43831</v>
      </c>
      <c r="E34" s="5" t="str">
        <f t="shared" si="9"/>
        <v>Alexander, Thomas_01-01-20</v>
      </c>
      <c r="F34" s="2" t="s">
        <v>1203</v>
      </c>
      <c r="G34" s="2" t="s">
        <v>1241</v>
      </c>
      <c r="H34" s="2" t="s">
        <v>1220</v>
      </c>
      <c r="I34" s="2" t="s">
        <v>1223</v>
      </c>
      <c r="J34" s="2" t="s">
        <v>1234</v>
      </c>
      <c r="M34" s="5" t="str">
        <f t="shared" si="0"/>
        <v>Basic</v>
      </c>
      <c r="N34" s="5" t="str">
        <f t="shared" si="1"/>
        <v>Tax-Staff-Basic</v>
      </c>
      <c r="O34" s="5" t="str">
        <f t="shared" si="2"/>
        <v>Tax-Reviewer-Basic</v>
      </c>
      <c r="P34" s="5" t="str">
        <f t="shared" si="3"/>
        <v>Tax-Signer-Basic</v>
      </c>
      <c r="Q34" s="6">
        <v>1.4675000000000016</v>
      </c>
      <c r="R34" s="6">
        <v>0.29350000000000032</v>
      </c>
      <c r="S34" s="6">
        <v>0.14675000000000016</v>
      </c>
      <c r="T34" s="7">
        <f t="shared" si="10"/>
        <v>1.9077500000000021</v>
      </c>
      <c r="U34" s="6" t="e">
        <f>SUMIFS([1]Sheet1!$L:$L,[1]Sheet1!$I:$I,AJ34,[1]Sheet1!$C:$C,A34)</f>
        <v>#VALUE!</v>
      </c>
      <c r="V34" s="6"/>
      <c r="W34" s="6"/>
      <c r="X34" s="7" t="e">
        <f t="shared" si="4"/>
        <v>#VALUE!</v>
      </c>
      <c r="Y34" s="6"/>
      <c r="AJ34" s="5" t="str">
        <f t="shared" si="5"/>
        <v>NM 1040 - Personal</v>
      </c>
      <c r="AK34" s="5" t="str">
        <f t="shared" si="6"/>
        <v>NM-Tax Services-ANN-1040 - Personal_Basic</v>
      </c>
      <c r="AL34" s="5" t="str">
        <f t="shared" si="7"/>
        <v>Alexan_9436_NM 1040 - Personal</v>
      </c>
      <c r="AM34" s="5" t="str">
        <f t="shared" si="8"/>
        <v>Alexan_9436_NM-Tax Services-ANN-1040 - Personal_Basic</v>
      </c>
    </row>
    <row r="35" spans="1:39" x14ac:dyDescent="0.25">
      <c r="A35" s="2" t="s">
        <v>231</v>
      </c>
      <c r="B35" s="2" t="s">
        <v>232</v>
      </c>
      <c r="C35" s="2" t="s">
        <v>1196</v>
      </c>
      <c r="D35" s="8">
        <v>43831</v>
      </c>
      <c r="E35" s="5" t="str">
        <f t="shared" si="9"/>
        <v>Alexcel, Inc._01-01-20</v>
      </c>
      <c r="F35" s="2" t="s">
        <v>1204</v>
      </c>
      <c r="G35" s="2" t="s">
        <v>1241</v>
      </c>
      <c r="H35" s="2" t="s">
        <v>1220</v>
      </c>
      <c r="I35" s="2" t="s">
        <v>1221</v>
      </c>
      <c r="J35" s="2" t="s">
        <v>1234</v>
      </c>
      <c r="M35" s="5" t="str">
        <f t="shared" si="0"/>
        <v>Mid</v>
      </c>
      <c r="N35" s="5" t="str">
        <f t="shared" si="1"/>
        <v>Tax-Staff-Mid</v>
      </c>
      <c r="O35" s="5" t="str">
        <f t="shared" si="2"/>
        <v>Tax-Reviewer-Mid</v>
      </c>
      <c r="P35" s="5" t="str">
        <f t="shared" si="3"/>
        <v>Tax-Signer-Mid</v>
      </c>
      <c r="Q35" s="6">
        <v>2.7401969696969677</v>
      </c>
      <c r="R35" s="6">
        <v>0.5480393939393936</v>
      </c>
      <c r="S35" s="6">
        <v>0.2740196969696968</v>
      </c>
      <c r="T35" s="7">
        <f t="shared" si="10"/>
        <v>3.562256060606058</v>
      </c>
      <c r="U35" s="6" t="e">
        <f>SUMIFS([1]Sheet1!$L:$L,[1]Sheet1!$I:$I,AJ35,[1]Sheet1!$C:$C,A35)</f>
        <v>#VALUE!</v>
      </c>
      <c r="V35" s="6"/>
      <c r="W35" s="6"/>
      <c r="X35" s="7" t="e">
        <f t="shared" si="4"/>
        <v>#VALUE!</v>
      </c>
      <c r="Y35" s="6"/>
      <c r="AJ35" s="5" t="str">
        <f t="shared" si="5"/>
        <v>NM 1120S - S Corporation</v>
      </c>
      <c r="AK35" s="5" t="str">
        <f t="shared" si="6"/>
        <v>NM-Tax Services-ANN-1120S - S Corporation_Mid</v>
      </c>
      <c r="AL35" s="5" t="str">
        <f t="shared" si="7"/>
        <v>Alexcel,_1120S_16-1726674_NM 1120S - S Corporation</v>
      </c>
      <c r="AM35" s="5" t="str">
        <f t="shared" si="8"/>
        <v>Alexcel,_1120S_16-1726674_NM-Tax Services-ANN-1120S - S Corporation_Mid</v>
      </c>
    </row>
    <row r="36" spans="1:39" x14ac:dyDescent="0.25">
      <c r="A36" s="2" t="s">
        <v>16</v>
      </c>
      <c r="B36" s="2" t="s">
        <v>17</v>
      </c>
      <c r="C36" s="2" t="s">
        <v>1197</v>
      </c>
      <c r="D36" s="8">
        <v>43831</v>
      </c>
      <c r="E36" s="5" t="str">
        <f t="shared" si="9"/>
        <v>All State Paving, Inc._01-01-20</v>
      </c>
      <c r="F36" s="2" t="s">
        <v>1204</v>
      </c>
      <c r="G36" s="2" t="s">
        <v>1241</v>
      </c>
      <c r="H36" s="2" t="s">
        <v>1220</v>
      </c>
      <c r="I36" s="2" t="s">
        <v>1222</v>
      </c>
      <c r="J36" s="2" t="s">
        <v>1234</v>
      </c>
      <c r="M36" s="5" t="str">
        <f t="shared" si="0"/>
        <v>Adv</v>
      </c>
      <c r="N36" s="5" t="str">
        <f t="shared" si="1"/>
        <v>Tax-Staff-Adv</v>
      </c>
      <c r="O36" s="5" t="str">
        <f t="shared" si="2"/>
        <v>Tax-Reviewer-Adv</v>
      </c>
      <c r="P36" s="5" t="str">
        <f t="shared" si="3"/>
        <v>Tax-Signer-Adv</v>
      </c>
      <c r="Q36" s="6">
        <v>4.5832500000000005</v>
      </c>
      <c r="R36" s="6">
        <v>0.91665000000000019</v>
      </c>
      <c r="S36" s="6">
        <v>0.45832500000000009</v>
      </c>
      <c r="T36" s="7">
        <f t="shared" si="10"/>
        <v>5.9582250000000005</v>
      </c>
      <c r="U36" s="6" t="e">
        <f>SUMIFS([1]Sheet1!$L:$L,[1]Sheet1!$I:$I,AJ36,[1]Sheet1!$C:$C,A36)</f>
        <v>#VALUE!</v>
      </c>
      <c r="V36" s="6"/>
      <c r="W36" s="6"/>
      <c r="X36" s="7" t="e">
        <f t="shared" si="4"/>
        <v>#VALUE!</v>
      </c>
      <c r="Y36" s="6"/>
      <c r="AJ36" s="5" t="str">
        <f t="shared" si="5"/>
        <v>MO 1120S - S Corporation</v>
      </c>
      <c r="AK36" s="5" t="str">
        <f t="shared" si="6"/>
        <v>MO-Tax Services-ANN-1120S - S Corporation_Adv</v>
      </c>
      <c r="AL36" s="5" t="str">
        <f t="shared" si="7"/>
        <v>All Stat_1120C_75-2887863_MO 1120S - S Corporation</v>
      </c>
      <c r="AM36" s="5" t="str">
        <f t="shared" si="8"/>
        <v>All Stat_1120C_75-2887863_MO-Tax Services-ANN-1120S - S Corporation_Adv</v>
      </c>
    </row>
    <row r="37" spans="1:39" x14ac:dyDescent="0.25">
      <c r="A37" s="2" t="s">
        <v>16</v>
      </c>
      <c r="B37" s="2" t="s">
        <v>17</v>
      </c>
      <c r="C37" s="2" t="s">
        <v>1197</v>
      </c>
      <c r="D37" s="8">
        <v>43831</v>
      </c>
      <c r="E37" s="5" t="str">
        <f t="shared" si="9"/>
        <v>All State Paving, Inc._01-01-20</v>
      </c>
      <c r="F37" s="2" t="s">
        <v>1206</v>
      </c>
      <c r="G37" s="2" t="s">
        <v>1241</v>
      </c>
      <c r="H37" s="2" t="s">
        <v>1220</v>
      </c>
      <c r="I37" s="2" t="s">
        <v>1222</v>
      </c>
      <c r="J37" s="2" t="s">
        <v>1234</v>
      </c>
      <c r="M37" s="5" t="str">
        <f t="shared" si="0"/>
        <v>Adv</v>
      </c>
      <c r="N37" s="5" t="str">
        <f t="shared" si="1"/>
        <v>Tax-Staff-Adv</v>
      </c>
      <c r="O37" s="5" t="str">
        <f t="shared" si="2"/>
        <v>Tax-Reviewer-Adv</v>
      </c>
      <c r="P37" s="5" t="str">
        <f t="shared" si="3"/>
        <v>Tax-Signer-Adv</v>
      </c>
      <c r="Q37" s="6">
        <v>4.5832500000000005</v>
      </c>
      <c r="R37" s="6">
        <v>0.91665000000000019</v>
      </c>
      <c r="S37" s="6">
        <v>0.45832500000000009</v>
      </c>
      <c r="T37" s="7">
        <f t="shared" si="10"/>
        <v>5.9582250000000005</v>
      </c>
      <c r="U37" s="6" t="e">
        <f>SUMIFS([1]Sheet1!$L:$L,[1]Sheet1!$I:$I,AJ37,[1]Sheet1!$C:$C,A37)</f>
        <v>#VALUE!</v>
      </c>
      <c r="V37" s="6"/>
      <c r="W37" s="6"/>
      <c r="X37" s="7" t="e">
        <f t="shared" si="4"/>
        <v>#VALUE!</v>
      </c>
      <c r="Y37" s="6"/>
      <c r="AJ37" s="5" t="str">
        <f t="shared" si="5"/>
        <v>MO 1120 - C Corporation</v>
      </c>
      <c r="AK37" s="5" t="str">
        <f t="shared" si="6"/>
        <v>MO-Tax Services-ANN-1120 - C Corporation_Adv</v>
      </c>
      <c r="AL37" s="5" t="str">
        <f t="shared" si="7"/>
        <v>All Stat_1120C_75-2887863_MO 1120 - C Corporation</v>
      </c>
      <c r="AM37" s="5" t="str">
        <f t="shared" si="8"/>
        <v>All Stat_1120C_75-2887863_MO-Tax Services-ANN-1120 - C Corporation_Adv</v>
      </c>
    </row>
    <row r="38" spans="1:39" x14ac:dyDescent="0.25">
      <c r="A38" s="2" t="s">
        <v>16</v>
      </c>
      <c r="B38" s="2" t="s">
        <v>17</v>
      </c>
      <c r="C38" s="2" t="s">
        <v>1197</v>
      </c>
      <c r="D38" s="8">
        <v>43831</v>
      </c>
      <c r="E38" s="5" t="str">
        <f t="shared" si="9"/>
        <v>All State Paving, Inc._01-01-20</v>
      </c>
      <c r="F38" s="2" t="s">
        <v>1201</v>
      </c>
      <c r="G38" s="2" t="s">
        <v>1201</v>
      </c>
      <c r="H38" s="2" t="s">
        <v>1197</v>
      </c>
      <c r="I38" s="2" t="s">
        <v>1223</v>
      </c>
      <c r="J38" s="2" t="s">
        <v>1235</v>
      </c>
      <c r="M38" s="5" t="str">
        <f t="shared" si="0"/>
        <v>Basic</v>
      </c>
      <c r="N38" s="5" t="str">
        <f t="shared" si="1"/>
        <v>Accountant-Staff-Basic</v>
      </c>
      <c r="O38" s="5" t="str">
        <f t="shared" si="2"/>
        <v>Accountant-Reviewer-Basic</v>
      </c>
      <c r="P38" s="5" t="str">
        <f t="shared" si="3"/>
        <v>Accountant-Signer-Basic</v>
      </c>
      <c r="Q38" s="6">
        <v>1.47</v>
      </c>
      <c r="R38" s="6">
        <v>0.29399999999999998</v>
      </c>
      <c r="S38" s="6">
        <v>0.14699999999999999</v>
      </c>
      <c r="T38" s="7">
        <f t="shared" si="10"/>
        <v>1.911</v>
      </c>
      <c r="U38" s="6" t="e">
        <f>SUMIFS([1]Sheet1!$L:$L,[1]Sheet1!$I:$I,AJ38,[1]Sheet1!$C:$C,A38)</f>
        <v>#VALUE!</v>
      </c>
      <c r="V38" s="6"/>
      <c r="W38" s="6"/>
      <c r="X38" s="7" t="e">
        <f t="shared" si="4"/>
        <v>#VALUE!</v>
      </c>
      <c r="Y38" s="6"/>
      <c r="AJ38" s="5" t="str">
        <f t="shared" si="5"/>
        <v>MO Accounting Services</v>
      </c>
      <c r="AK38" s="5" t="str">
        <f t="shared" si="6"/>
        <v>MO-Accounting Services-MO-Accounting Services_Basic</v>
      </c>
      <c r="AL38" s="5" t="str">
        <f t="shared" si="7"/>
        <v>All Stat_1120C_75-2887863_MO Accounting Services</v>
      </c>
      <c r="AM38" s="5" t="str">
        <f t="shared" si="8"/>
        <v>All Stat_1120C_75-2887863_MO-Accounting Services-MO-Accounting Services_Basic</v>
      </c>
    </row>
    <row r="39" spans="1:39" x14ac:dyDescent="0.25">
      <c r="A39" s="2" t="s">
        <v>16</v>
      </c>
      <c r="B39" s="2" t="s">
        <v>17</v>
      </c>
      <c r="C39" s="2" t="s">
        <v>1197</v>
      </c>
      <c r="D39" s="8">
        <v>43831</v>
      </c>
      <c r="E39" s="5" t="str">
        <f t="shared" si="9"/>
        <v>All State Paving, Inc._01-01-20</v>
      </c>
      <c r="F39" s="2" t="s">
        <v>1200</v>
      </c>
      <c r="G39" s="2" t="s">
        <v>1241</v>
      </c>
      <c r="H39" s="2" t="s">
        <v>1220</v>
      </c>
      <c r="I39" s="2" t="s">
        <v>1222</v>
      </c>
      <c r="J39" s="2" t="s">
        <v>1234</v>
      </c>
      <c r="M39" s="5" t="str">
        <f t="shared" si="0"/>
        <v>Adv</v>
      </c>
      <c r="N39" s="5" t="str">
        <f t="shared" si="1"/>
        <v>Tax-Staff-Adv</v>
      </c>
      <c r="O39" s="5" t="str">
        <f t="shared" si="2"/>
        <v>Tax-Reviewer-Adv</v>
      </c>
      <c r="P39" s="5" t="str">
        <f t="shared" si="3"/>
        <v>Tax-Signer-Adv</v>
      </c>
      <c r="Q39" s="6">
        <v>1.5</v>
      </c>
      <c r="R39" s="6">
        <v>0.30000000000000004</v>
      </c>
      <c r="S39" s="6">
        <v>0.15000000000000002</v>
      </c>
      <c r="T39" s="7">
        <f t="shared" si="10"/>
        <v>1.9500000000000002</v>
      </c>
      <c r="U39" s="6" t="e">
        <f>SUMIFS([1]Sheet1!$L:$L,[1]Sheet1!$I:$I,AJ39,[1]Sheet1!$C:$C,A39)</f>
        <v>#VALUE!</v>
      </c>
      <c r="V39" s="6"/>
      <c r="W39" s="6"/>
      <c r="X39" s="7" t="e">
        <f t="shared" si="4"/>
        <v>#VALUE!</v>
      </c>
      <c r="Y39" s="6"/>
      <c r="AJ39" s="5" t="str">
        <f t="shared" si="5"/>
        <v>MO Texas Franchise Tax Return</v>
      </c>
      <c r="AK39" s="5" t="str">
        <f t="shared" si="6"/>
        <v>MO-Tax Services-ANN-Texas Franchise Tax Return_Adv</v>
      </c>
      <c r="AL39" s="5" t="str">
        <f t="shared" si="7"/>
        <v>All Stat_1120C_75-2887863_MO Texas Franchise Tax Return</v>
      </c>
      <c r="AM39" s="5" t="str">
        <f t="shared" si="8"/>
        <v>All Stat_1120C_75-2887863_MO-Tax Services-ANN-Texas Franchise Tax Return_Adv</v>
      </c>
    </row>
    <row r="40" spans="1:39" x14ac:dyDescent="0.25">
      <c r="A40" s="2" t="s">
        <v>417</v>
      </c>
      <c r="B40" s="2" t="s">
        <v>418</v>
      </c>
      <c r="C40" s="2" t="s">
        <v>1196</v>
      </c>
      <c r="D40" s="8">
        <v>43831</v>
      </c>
      <c r="E40" s="5" t="str">
        <f t="shared" si="9"/>
        <v>Allen, Julee_01-01-20</v>
      </c>
      <c r="F40" s="2" t="s">
        <v>1203</v>
      </c>
      <c r="G40" s="2" t="s">
        <v>1241</v>
      </c>
      <c r="H40" s="2" t="s">
        <v>1220</v>
      </c>
      <c r="I40" s="2" t="s">
        <v>1223</v>
      </c>
      <c r="J40" s="2" t="s">
        <v>1234</v>
      </c>
      <c r="M40" s="5" t="str">
        <f t="shared" si="0"/>
        <v>Basic</v>
      </c>
      <c r="N40" s="5" t="str">
        <f t="shared" si="1"/>
        <v>Tax-Staff-Basic</v>
      </c>
      <c r="O40" s="5" t="str">
        <f t="shared" si="2"/>
        <v>Tax-Reviewer-Basic</v>
      </c>
      <c r="P40" s="5" t="str">
        <f t="shared" si="3"/>
        <v>Tax-Signer-Basic</v>
      </c>
      <c r="Q40" s="6">
        <v>1.4675000000000016</v>
      </c>
      <c r="R40" s="6">
        <v>0.29350000000000032</v>
      </c>
      <c r="S40" s="6">
        <v>0.14675000000000016</v>
      </c>
      <c r="T40" s="7">
        <f t="shared" si="10"/>
        <v>1.9077500000000021</v>
      </c>
      <c r="U40" s="6" t="e">
        <f>SUMIFS([1]Sheet1!$L:$L,[1]Sheet1!$I:$I,AJ40,[1]Sheet1!$C:$C,A40)</f>
        <v>#VALUE!</v>
      </c>
      <c r="V40" s="6"/>
      <c r="W40" s="6"/>
      <c r="X40" s="7" t="e">
        <f t="shared" si="4"/>
        <v>#VALUE!</v>
      </c>
      <c r="Y40" s="6"/>
      <c r="AJ40" s="5" t="str">
        <f t="shared" si="5"/>
        <v>NM 1040 - Personal</v>
      </c>
      <c r="AK40" s="5" t="str">
        <f t="shared" si="6"/>
        <v>NM-Tax Services-ANN-1040 - Personal_Basic</v>
      </c>
      <c r="AL40" s="5" t="str">
        <f t="shared" si="7"/>
        <v>Allen,_7017_NM 1040 - Personal</v>
      </c>
      <c r="AM40" s="5" t="str">
        <f t="shared" si="8"/>
        <v>Allen,_7017_NM-Tax Services-ANN-1040 - Personal_Basic</v>
      </c>
    </row>
    <row r="41" spans="1:39" x14ac:dyDescent="0.25">
      <c r="A41" s="2" t="s">
        <v>421</v>
      </c>
      <c r="B41" s="2" t="s">
        <v>422</v>
      </c>
      <c r="C41" s="2" t="s">
        <v>1196</v>
      </c>
      <c r="D41" s="8">
        <v>43831</v>
      </c>
      <c r="E41" s="5" t="str">
        <f t="shared" si="9"/>
        <v>Allford, Ricky R_01-01-20</v>
      </c>
      <c r="F41" s="2" t="s">
        <v>1203</v>
      </c>
      <c r="G41" s="2" t="s">
        <v>1241</v>
      </c>
      <c r="H41" s="2" t="s">
        <v>1220</v>
      </c>
      <c r="I41" s="2" t="s">
        <v>1222</v>
      </c>
      <c r="J41" s="2" t="s">
        <v>1234</v>
      </c>
      <c r="M41" s="5" t="str">
        <f t="shared" si="0"/>
        <v>Adv</v>
      </c>
      <c r="N41" s="5" t="str">
        <f t="shared" si="1"/>
        <v>Tax-Staff-Adv</v>
      </c>
      <c r="O41" s="5" t="str">
        <f t="shared" si="2"/>
        <v>Tax-Reviewer-Adv</v>
      </c>
      <c r="P41" s="5" t="str">
        <f t="shared" si="3"/>
        <v>Tax-Signer-Adv</v>
      </c>
      <c r="Q41" s="6">
        <v>4.5832500000000005</v>
      </c>
      <c r="R41" s="6">
        <v>0.91665000000000019</v>
      </c>
      <c r="S41" s="6">
        <v>0.45832500000000009</v>
      </c>
      <c r="T41" s="7">
        <f t="shared" si="10"/>
        <v>5.9582250000000005</v>
      </c>
      <c r="U41" s="6" t="e">
        <f>SUMIFS([1]Sheet1!$L:$L,[1]Sheet1!$I:$I,AJ41,[1]Sheet1!$C:$C,A41)</f>
        <v>#VALUE!</v>
      </c>
      <c r="V41" s="6"/>
      <c r="W41" s="6"/>
      <c r="X41" s="7" t="e">
        <f t="shared" si="4"/>
        <v>#VALUE!</v>
      </c>
      <c r="Y41" s="6"/>
      <c r="AJ41" s="5" t="str">
        <f t="shared" si="5"/>
        <v>NM 1040 - Personal</v>
      </c>
      <c r="AK41" s="5" t="str">
        <f t="shared" si="6"/>
        <v>NM-Tax Services-ANN-1040 - Personal_Adv</v>
      </c>
      <c r="AL41" s="5" t="str">
        <f t="shared" si="7"/>
        <v>Allfor_1325_NM 1040 - Personal</v>
      </c>
      <c r="AM41" s="5" t="str">
        <f t="shared" si="8"/>
        <v>Allfor_1325_NM-Tax Services-ANN-1040 - Personal_Adv</v>
      </c>
    </row>
    <row r="42" spans="1:39" x14ac:dyDescent="0.25">
      <c r="A42" s="2" t="s">
        <v>419</v>
      </c>
      <c r="B42" s="2" t="s">
        <v>420</v>
      </c>
      <c r="C42" s="2" t="s">
        <v>1196</v>
      </c>
      <c r="D42" s="8">
        <v>43831</v>
      </c>
      <c r="E42" s="5" t="str">
        <f t="shared" si="9"/>
        <v>Allford, Rick Jr._01-01-20</v>
      </c>
      <c r="F42" s="2" t="s">
        <v>1203</v>
      </c>
      <c r="G42" s="2" t="s">
        <v>1241</v>
      </c>
      <c r="H42" s="2" t="s">
        <v>1220</v>
      </c>
      <c r="I42" s="2" t="s">
        <v>1221</v>
      </c>
      <c r="J42" s="2" t="s">
        <v>1234</v>
      </c>
      <c r="M42" s="5" t="str">
        <f t="shared" si="0"/>
        <v>Mid</v>
      </c>
      <c r="N42" s="5" t="str">
        <f t="shared" si="1"/>
        <v>Tax-Staff-Mid</v>
      </c>
      <c r="O42" s="5" t="str">
        <f t="shared" si="2"/>
        <v>Tax-Reviewer-Mid</v>
      </c>
      <c r="P42" s="5" t="str">
        <f t="shared" si="3"/>
        <v>Tax-Signer-Mid</v>
      </c>
      <c r="Q42" s="6">
        <v>2.7401969696969677</v>
      </c>
      <c r="R42" s="6">
        <v>0.5480393939393936</v>
      </c>
      <c r="S42" s="6">
        <v>0.2740196969696968</v>
      </c>
      <c r="T42" s="7">
        <f t="shared" si="10"/>
        <v>3.562256060606058</v>
      </c>
      <c r="U42" s="6" t="e">
        <f>SUMIFS([1]Sheet1!$L:$L,[1]Sheet1!$I:$I,AJ42,[1]Sheet1!$C:$C,A42)</f>
        <v>#VALUE!</v>
      </c>
      <c r="V42" s="6"/>
      <c r="W42" s="6"/>
      <c r="X42" s="7" t="e">
        <f t="shared" si="4"/>
        <v>#VALUE!</v>
      </c>
      <c r="Y42" s="6"/>
      <c r="AJ42" s="5" t="str">
        <f t="shared" si="5"/>
        <v>NM 1040 - Personal</v>
      </c>
      <c r="AK42" s="5" t="str">
        <f t="shared" si="6"/>
        <v>NM-Tax Services-ANN-1040 - Personal_Mid</v>
      </c>
      <c r="AL42" s="5" t="str">
        <f t="shared" si="7"/>
        <v>Allfor_8610_NM 1040 - Personal</v>
      </c>
      <c r="AM42" s="5" t="str">
        <f t="shared" si="8"/>
        <v>Allfor_8610_NM-Tax Services-ANN-1040 - Personal_Mid</v>
      </c>
    </row>
    <row r="43" spans="1:39" x14ac:dyDescent="0.25">
      <c r="A43" s="2" t="s">
        <v>187</v>
      </c>
      <c r="B43" s="2" t="s">
        <v>188</v>
      </c>
      <c r="C43" s="2" t="s">
        <v>1196</v>
      </c>
      <c r="D43" s="8">
        <v>43831</v>
      </c>
      <c r="E43" s="5" t="str">
        <f t="shared" si="9"/>
        <v>Allford Select Inc._01-01-20</v>
      </c>
      <c r="F43" s="2" t="s">
        <v>1206</v>
      </c>
      <c r="G43" s="2" t="s">
        <v>1241</v>
      </c>
      <c r="H43" s="2" t="s">
        <v>1220</v>
      </c>
      <c r="I43" s="2" t="s">
        <v>1223</v>
      </c>
      <c r="J43" s="2" t="s">
        <v>1234</v>
      </c>
      <c r="M43" s="5" t="str">
        <f t="shared" si="0"/>
        <v>Basic</v>
      </c>
      <c r="N43" s="5" t="str">
        <f t="shared" si="1"/>
        <v>Tax-Staff-Basic</v>
      </c>
      <c r="O43" s="5" t="str">
        <f t="shared" si="2"/>
        <v>Tax-Reviewer-Basic</v>
      </c>
      <c r="P43" s="5" t="str">
        <f t="shared" si="3"/>
        <v>Tax-Signer-Basic</v>
      </c>
      <c r="Q43" s="6">
        <v>1.4675000000000016</v>
      </c>
      <c r="R43" s="6">
        <v>0.29350000000000032</v>
      </c>
      <c r="S43" s="6">
        <v>0.14675000000000016</v>
      </c>
      <c r="T43" s="7">
        <f t="shared" si="10"/>
        <v>1.9077500000000021</v>
      </c>
      <c r="U43" s="6" t="e">
        <f>SUMIFS([1]Sheet1!$L:$L,[1]Sheet1!$I:$I,AJ43,[1]Sheet1!$C:$C,A43)</f>
        <v>#VALUE!</v>
      </c>
      <c r="V43" s="6"/>
      <c r="W43" s="6"/>
      <c r="X43" s="7" t="e">
        <f t="shared" si="4"/>
        <v>#VALUE!</v>
      </c>
      <c r="Y43" s="6"/>
      <c r="AJ43" s="5" t="str">
        <f t="shared" si="5"/>
        <v>NM 1120 - C Corporation</v>
      </c>
      <c r="AK43" s="5" t="str">
        <f t="shared" si="6"/>
        <v>NM-Tax Services-ANN-1120 - C Corporation_Basic</v>
      </c>
      <c r="AL43" s="5" t="str">
        <f t="shared" si="7"/>
        <v>Allford _1120C_47-5330439_NM 1120 - C Corporation</v>
      </c>
      <c r="AM43" s="5" t="str">
        <f t="shared" si="8"/>
        <v>Allford _1120C_47-5330439_NM-Tax Services-ANN-1120 - C Corporation_Basic</v>
      </c>
    </row>
    <row r="44" spans="1:39" x14ac:dyDescent="0.25">
      <c r="A44" s="2" t="s">
        <v>1103</v>
      </c>
      <c r="B44" s="2" t="s">
        <v>1104</v>
      </c>
      <c r="C44" s="2" t="s">
        <v>1196</v>
      </c>
      <c r="D44" s="8">
        <v>43831</v>
      </c>
      <c r="E44" s="5" t="str">
        <f t="shared" si="9"/>
        <v>Amaya, Pete &amp; Chelsea_01-01-20</v>
      </c>
      <c r="F44" s="2" t="s">
        <v>1203</v>
      </c>
      <c r="G44" s="2" t="s">
        <v>1241</v>
      </c>
      <c r="H44" s="2" t="s">
        <v>1220</v>
      </c>
      <c r="I44" s="2" t="s">
        <v>1221</v>
      </c>
      <c r="J44" s="2" t="s">
        <v>1234</v>
      </c>
      <c r="M44" s="5" t="str">
        <f t="shared" si="0"/>
        <v>Mid</v>
      </c>
      <c r="N44" s="5" t="str">
        <f t="shared" si="1"/>
        <v>Tax-Staff-Mid</v>
      </c>
      <c r="O44" s="5" t="str">
        <f t="shared" si="2"/>
        <v>Tax-Reviewer-Mid</v>
      </c>
      <c r="P44" s="5" t="str">
        <f t="shared" si="3"/>
        <v>Tax-Signer-Mid</v>
      </c>
      <c r="Q44" s="6">
        <v>2.7401969696969677</v>
      </c>
      <c r="R44" s="6">
        <v>0.5480393939393936</v>
      </c>
      <c r="S44" s="6">
        <v>0.2740196969696968</v>
      </c>
      <c r="T44" s="7">
        <f t="shared" si="10"/>
        <v>3.562256060606058</v>
      </c>
      <c r="U44" s="6" t="e">
        <f>SUMIFS([1]Sheet1!$L:$L,[1]Sheet1!$I:$I,AJ44,[1]Sheet1!$C:$C,A44)</f>
        <v>#VALUE!</v>
      </c>
      <c r="V44" s="6"/>
      <c r="W44" s="6"/>
      <c r="X44" s="7" t="e">
        <f t="shared" si="4"/>
        <v>#VALUE!</v>
      </c>
      <c r="Y44" s="6"/>
      <c r="AJ44" s="5" t="str">
        <f t="shared" si="5"/>
        <v>NM 1040 - Personal</v>
      </c>
      <c r="AK44" s="5" t="str">
        <f t="shared" si="6"/>
        <v>NM-Tax Services-ANN-1040 - Personal_Mid</v>
      </c>
      <c r="AL44" s="5" t="str">
        <f t="shared" si="7"/>
        <v>Amaya,_9535_NM 1040 - Personal</v>
      </c>
      <c r="AM44" s="5" t="str">
        <f t="shared" si="8"/>
        <v>Amaya,_9535_NM-Tax Services-ANN-1040 - Personal_Mid</v>
      </c>
    </row>
    <row r="45" spans="1:39" x14ac:dyDescent="0.25">
      <c r="A45" s="2" t="s">
        <v>423</v>
      </c>
      <c r="B45" s="2" t="s">
        <v>424</v>
      </c>
      <c r="C45" s="2" t="s">
        <v>1196</v>
      </c>
      <c r="D45" s="8">
        <v>43831</v>
      </c>
      <c r="E45" s="5" t="str">
        <f t="shared" si="9"/>
        <v>Amerongen, Jeff_01-01-20</v>
      </c>
      <c r="F45" s="2" t="s">
        <v>1203</v>
      </c>
      <c r="G45" s="2" t="s">
        <v>1241</v>
      </c>
      <c r="H45" s="2" t="s">
        <v>1220</v>
      </c>
      <c r="I45" s="2" t="s">
        <v>1223</v>
      </c>
      <c r="J45" s="2" t="s">
        <v>1234</v>
      </c>
      <c r="M45" s="5" t="str">
        <f t="shared" si="0"/>
        <v>Basic</v>
      </c>
      <c r="N45" s="5" t="str">
        <f t="shared" si="1"/>
        <v>Tax-Staff-Basic</v>
      </c>
      <c r="O45" s="5" t="str">
        <f t="shared" si="2"/>
        <v>Tax-Reviewer-Basic</v>
      </c>
      <c r="P45" s="5" t="str">
        <f t="shared" si="3"/>
        <v>Tax-Signer-Basic</v>
      </c>
      <c r="Q45" s="6">
        <v>1.4675000000000016</v>
      </c>
      <c r="R45" s="6">
        <v>0.29350000000000032</v>
      </c>
      <c r="S45" s="6">
        <v>0.14675000000000016</v>
      </c>
      <c r="T45" s="7">
        <f t="shared" si="10"/>
        <v>1.9077500000000021</v>
      </c>
      <c r="U45" s="6" t="e">
        <f>SUMIFS([1]Sheet1!$L:$L,[1]Sheet1!$I:$I,AJ45,[1]Sheet1!$C:$C,A45)</f>
        <v>#VALUE!</v>
      </c>
      <c r="V45" s="6"/>
      <c r="W45" s="6"/>
      <c r="X45" s="7" t="e">
        <f t="shared" si="4"/>
        <v>#VALUE!</v>
      </c>
      <c r="Y45" s="6"/>
      <c r="AJ45" s="5" t="str">
        <f t="shared" si="5"/>
        <v>NM 1040 - Personal</v>
      </c>
      <c r="AK45" s="5" t="str">
        <f t="shared" si="6"/>
        <v>NM-Tax Services-ANN-1040 - Personal_Basic</v>
      </c>
      <c r="AL45" s="5" t="str">
        <f t="shared" si="7"/>
        <v>Ameron_5966_NM 1040 - Personal</v>
      </c>
      <c r="AM45" s="5" t="str">
        <f t="shared" si="8"/>
        <v>Ameron_5966_NM-Tax Services-ANN-1040 - Personal_Basic</v>
      </c>
    </row>
    <row r="46" spans="1:39" x14ac:dyDescent="0.25">
      <c r="A46" s="2" t="s">
        <v>425</v>
      </c>
      <c r="B46" s="2" t="s">
        <v>426</v>
      </c>
      <c r="C46" s="2" t="s">
        <v>1196</v>
      </c>
      <c r="D46" s="8">
        <v>43831</v>
      </c>
      <c r="E46" s="5" t="str">
        <f t="shared" si="9"/>
        <v>Amidi, Joe_01-01-20</v>
      </c>
      <c r="F46" s="2" t="s">
        <v>1203</v>
      </c>
      <c r="G46" s="2" t="s">
        <v>1241</v>
      </c>
      <c r="H46" s="2" t="s">
        <v>1220</v>
      </c>
      <c r="I46" s="2" t="s">
        <v>1223</v>
      </c>
      <c r="J46" s="2" t="s">
        <v>1234</v>
      </c>
      <c r="M46" s="5" t="str">
        <f t="shared" si="0"/>
        <v>Basic</v>
      </c>
      <c r="N46" s="5" t="str">
        <f t="shared" si="1"/>
        <v>Tax-Staff-Basic</v>
      </c>
      <c r="O46" s="5" t="str">
        <f t="shared" si="2"/>
        <v>Tax-Reviewer-Basic</v>
      </c>
      <c r="P46" s="5" t="str">
        <f t="shared" si="3"/>
        <v>Tax-Signer-Basic</v>
      </c>
      <c r="Q46" s="6">
        <v>1.4675000000000016</v>
      </c>
      <c r="R46" s="6">
        <v>0.29350000000000032</v>
      </c>
      <c r="S46" s="6">
        <v>0.14675000000000016</v>
      </c>
      <c r="T46" s="7">
        <f t="shared" si="10"/>
        <v>1.9077500000000021</v>
      </c>
      <c r="U46" s="6" t="e">
        <f>SUMIFS([1]Sheet1!$L:$L,[1]Sheet1!$I:$I,AJ46,[1]Sheet1!$C:$C,A46)</f>
        <v>#VALUE!</v>
      </c>
      <c r="V46" s="6"/>
      <c r="W46" s="6"/>
      <c r="X46" s="7" t="e">
        <f t="shared" si="4"/>
        <v>#VALUE!</v>
      </c>
      <c r="Y46" s="6"/>
      <c r="AJ46" s="5" t="str">
        <f t="shared" si="5"/>
        <v>NM 1040 - Personal</v>
      </c>
      <c r="AK46" s="5" t="str">
        <f t="shared" si="6"/>
        <v>NM-Tax Services-ANN-1040 - Personal_Basic</v>
      </c>
      <c r="AL46" s="5" t="str">
        <f t="shared" si="7"/>
        <v>Amidi,_4713_NM 1040 - Personal</v>
      </c>
      <c r="AM46" s="5" t="str">
        <f t="shared" si="8"/>
        <v>Amidi,_4713_NM-Tax Services-ANN-1040 - Personal_Basic</v>
      </c>
    </row>
    <row r="47" spans="1:39" x14ac:dyDescent="0.25">
      <c r="A47" s="2" t="s">
        <v>19</v>
      </c>
      <c r="B47" s="2" t="s">
        <v>20</v>
      </c>
      <c r="C47" s="2" t="s">
        <v>1197</v>
      </c>
      <c r="D47" s="8">
        <v>43831</v>
      </c>
      <c r="E47" s="5" t="str">
        <f t="shared" si="9"/>
        <v>Anabell's Brazilian Wax, LLC_01-01-20</v>
      </c>
      <c r="F47" s="2" t="s">
        <v>1201</v>
      </c>
      <c r="G47" s="2" t="s">
        <v>1201</v>
      </c>
      <c r="H47" s="2" t="s">
        <v>1197</v>
      </c>
      <c r="I47" s="2" t="s">
        <v>1223</v>
      </c>
      <c r="J47" s="2" t="s">
        <v>1235</v>
      </c>
      <c r="M47" s="5" t="str">
        <f t="shared" si="0"/>
        <v>Basic</v>
      </c>
      <c r="N47" s="5" t="str">
        <f t="shared" si="1"/>
        <v>Accountant-Staff-Basic</v>
      </c>
      <c r="O47" s="5" t="str">
        <f t="shared" si="2"/>
        <v>Accountant-Reviewer-Basic</v>
      </c>
      <c r="P47" s="5" t="str">
        <f t="shared" si="3"/>
        <v>Accountant-Signer-Basic</v>
      </c>
      <c r="Q47" s="6">
        <v>1.47</v>
      </c>
      <c r="R47" s="6">
        <v>0.29399999999999998</v>
      </c>
      <c r="S47" s="6">
        <v>0.14699999999999999</v>
      </c>
      <c r="T47" s="7">
        <f t="shared" si="10"/>
        <v>1.911</v>
      </c>
      <c r="U47" s="6" t="e">
        <f>SUMIFS([1]Sheet1!$L:$L,[1]Sheet1!$I:$I,AJ47,[1]Sheet1!$C:$C,A47)</f>
        <v>#VALUE!</v>
      </c>
      <c r="V47" s="6"/>
      <c r="W47" s="6"/>
      <c r="X47" s="7" t="e">
        <f t="shared" si="4"/>
        <v>#VALUE!</v>
      </c>
      <c r="Y47" s="6"/>
      <c r="AJ47" s="5" t="str">
        <f t="shared" si="5"/>
        <v>MO Accounting Services</v>
      </c>
      <c r="AK47" s="5" t="str">
        <f t="shared" si="6"/>
        <v>MO-Accounting Services-MO-Accounting Services_Basic</v>
      </c>
      <c r="AL47" s="5" t="str">
        <f t="shared" si="7"/>
        <v>Anabell'_NoTax_0001_MO Accounting Services</v>
      </c>
      <c r="AM47" s="5" t="str">
        <f t="shared" si="8"/>
        <v>Anabell'_NoTax_0001_MO-Accounting Services-MO-Accounting Services_Basic</v>
      </c>
    </row>
    <row r="48" spans="1:39" x14ac:dyDescent="0.25">
      <c r="A48" s="2" t="s">
        <v>21</v>
      </c>
      <c r="B48" s="2" t="s">
        <v>22</v>
      </c>
      <c r="C48" s="2" t="s">
        <v>1197</v>
      </c>
      <c r="D48" s="8">
        <v>43831</v>
      </c>
      <c r="E48" s="5" t="str">
        <f t="shared" si="9"/>
        <v>Anasofia Mexican Grill, LLC_01-01-20</v>
      </c>
      <c r="F48" s="2" t="s">
        <v>1201</v>
      </c>
      <c r="G48" s="2" t="s">
        <v>1201</v>
      </c>
      <c r="H48" s="2" t="s">
        <v>1197</v>
      </c>
      <c r="I48" s="2" t="s">
        <v>1221</v>
      </c>
      <c r="J48" s="2" t="s">
        <v>1235</v>
      </c>
      <c r="M48" s="5" t="str">
        <f t="shared" si="0"/>
        <v>Mid</v>
      </c>
      <c r="N48" s="5" t="str">
        <f t="shared" si="1"/>
        <v>Accountant-Staff-Mid</v>
      </c>
      <c r="O48" s="5" t="str">
        <f t="shared" si="2"/>
        <v>Accountant-Reviewer-Mid</v>
      </c>
      <c r="P48" s="5" t="str">
        <f t="shared" si="3"/>
        <v>Accountant-Signer-Mid</v>
      </c>
      <c r="Q48" s="6">
        <v>1.47</v>
      </c>
      <c r="R48" s="6">
        <v>0.29399999999999998</v>
      </c>
      <c r="S48" s="6">
        <v>0.14699999999999999</v>
      </c>
      <c r="T48" s="7">
        <f t="shared" si="10"/>
        <v>1.911</v>
      </c>
      <c r="U48" s="6" t="e">
        <f>SUMIFS([1]Sheet1!$L:$L,[1]Sheet1!$I:$I,AJ48,[1]Sheet1!$C:$C,A48)</f>
        <v>#VALUE!</v>
      </c>
      <c r="V48" s="6"/>
      <c r="W48" s="6"/>
      <c r="X48" s="7" t="e">
        <f t="shared" si="4"/>
        <v>#VALUE!</v>
      </c>
      <c r="Y48" s="6"/>
      <c r="AJ48" s="5" t="str">
        <f t="shared" si="5"/>
        <v>MO Accounting Services</v>
      </c>
      <c r="AK48" s="5" t="str">
        <f t="shared" si="6"/>
        <v>MO-Accounting Services-MO-Accounting Services_Mid</v>
      </c>
      <c r="AL48" s="5" t="str">
        <f t="shared" si="7"/>
        <v>Anasofia_1040_82-2087037_MO Accounting Services</v>
      </c>
      <c r="AM48" s="5" t="str">
        <f t="shared" si="8"/>
        <v>Anasofia_1040_82-2087037_MO-Accounting Services-MO-Accounting Services_Mid</v>
      </c>
    </row>
    <row r="49" spans="1:39" x14ac:dyDescent="0.25">
      <c r="A49" s="2" t="s">
        <v>233</v>
      </c>
      <c r="B49" s="2" t="s">
        <v>234</v>
      </c>
      <c r="C49" s="2" t="s">
        <v>1196</v>
      </c>
      <c r="D49" s="8">
        <v>43831</v>
      </c>
      <c r="E49" s="5" t="str">
        <f t="shared" si="9"/>
        <v>Andrew Tarr PA_01-01-20</v>
      </c>
      <c r="F49" s="2" t="s">
        <v>1204</v>
      </c>
      <c r="G49" s="2" t="s">
        <v>1241</v>
      </c>
      <c r="H49" s="2" t="s">
        <v>1220</v>
      </c>
      <c r="I49" s="2" t="s">
        <v>1223</v>
      </c>
      <c r="J49" s="2" t="s">
        <v>1234</v>
      </c>
      <c r="M49" s="5" t="str">
        <f t="shared" si="0"/>
        <v>Basic</v>
      </c>
      <c r="N49" s="5" t="str">
        <f t="shared" si="1"/>
        <v>Tax-Staff-Basic</v>
      </c>
      <c r="O49" s="5" t="str">
        <f t="shared" si="2"/>
        <v>Tax-Reviewer-Basic</v>
      </c>
      <c r="P49" s="5" t="str">
        <f t="shared" si="3"/>
        <v>Tax-Signer-Basic</v>
      </c>
      <c r="Q49" s="6">
        <v>1.4675000000000016</v>
      </c>
      <c r="R49" s="6">
        <v>0.29350000000000032</v>
      </c>
      <c r="S49" s="6">
        <v>0.14675000000000016</v>
      </c>
      <c r="T49" s="7">
        <f t="shared" si="10"/>
        <v>1.9077500000000021</v>
      </c>
      <c r="U49" s="6" t="e">
        <f>SUMIFS([1]Sheet1!$L:$L,[1]Sheet1!$I:$I,AJ49,[1]Sheet1!$C:$C,A49)</f>
        <v>#VALUE!</v>
      </c>
      <c r="V49" s="6"/>
      <c r="W49" s="6"/>
      <c r="X49" s="7" t="e">
        <f t="shared" si="4"/>
        <v>#VALUE!</v>
      </c>
      <c r="Y49" s="6"/>
      <c r="AJ49" s="5" t="str">
        <f t="shared" si="5"/>
        <v>NM 1120S - S Corporation</v>
      </c>
      <c r="AK49" s="5" t="str">
        <f t="shared" si="6"/>
        <v>NM-Tax Services-ANN-1120S - S Corporation_Basic</v>
      </c>
      <c r="AL49" s="5" t="str">
        <f t="shared" si="7"/>
        <v>Andrew T_1120S_65-0875761_NM 1120S - S Corporation</v>
      </c>
      <c r="AM49" s="5" t="str">
        <f t="shared" si="8"/>
        <v>Andrew T_1120S_65-0875761_NM-Tax Services-ANN-1120S - S Corporation_Basic</v>
      </c>
    </row>
    <row r="50" spans="1:39" x14ac:dyDescent="0.25">
      <c r="A50" s="2" t="s">
        <v>233</v>
      </c>
      <c r="B50" s="2" t="s">
        <v>234</v>
      </c>
      <c r="C50" s="2" t="s">
        <v>1197</v>
      </c>
      <c r="D50" s="8">
        <v>43831</v>
      </c>
      <c r="E50" s="5" t="str">
        <f t="shared" si="9"/>
        <v>Andrew Tarr PA_01-01-20</v>
      </c>
      <c r="F50" s="2" t="s">
        <v>1204</v>
      </c>
      <c r="G50" s="2" t="s">
        <v>1241</v>
      </c>
      <c r="H50" s="2" t="s">
        <v>1220</v>
      </c>
      <c r="I50" s="2" t="s">
        <v>1223</v>
      </c>
      <c r="J50" s="2" t="s">
        <v>1234</v>
      </c>
      <c r="M50" s="5" t="str">
        <f t="shared" si="0"/>
        <v>Basic</v>
      </c>
      <c r="N50" s="5" t="str">
        <f t="shared" si="1"/>
        <v>Tax-Staff-Basic</v>
      </c>
      <c r="O50" s="5" t="str">
        <f t="shared" si="2"/>
        <v>Tax-Reviewer-Basic</v>
      </c>
      <c r="P50" s="5" t="str">
        <f t="shared" si="3"/>
        <v>Tax-Signer-Basic</v>
      </c>
      <c r="Q50" s="6">
        <v>1.4675000000000016</v>
      </c>
      <c r="R50" s="6">
        <v>0.29350000000000032</v>
      </c>
      <c r="S50" s="6">
        <v>0.14675000000000016</v>
      </c>
      <c r="T50" s="7">
        <f t="shared" si="10"/>
        <v>1.9077500000000021</v>
      </c>
      <c r="U50" s="6" t="e">
        <f>SUMIFS([1]Sheet1!$L:$L,[1]Sheet1!$I:$I,AJ50,[1]Sheet1!$C:$C,A50)</f>
        <v>#VALUE!</v>
      </c>
      <c r="V50" s="6"/>
      <c r="W50" s="6"/>
      <c r="X50" s="7" t="e">
        <f t="shared" si="4"/>
        <v>#VALUE!</v>
      </c>
      <c r="Y50" s="6"/>
      <c r="AJ50" s="5" t="str">
        <f t="shared" si="5"/>
        <v>MO 1120S - S Corporation</v>
      </c>
      <c r="AK50" s="5" t="str">
        <f t="shared" si="6"/>
        <v>MO-Tax Services-ANN-1120S - S Corporation_Basic</v>
      </c>
      <c r="AL50" s="5" t="str">
        <f t="shared" si="7"/>
        <v>Andrew T_1120S_65-0875761_MO 1120S - S Corporation</v>
      </c>
      <c r="AM50" s="5" t="str">
        <f t="shared" si="8"/>
        <v>Andrew T_1120S_65-0875761_MO-Tax Services-ANN-1120S - S Corporation_Basic</v>
      </c>
    </row>
    <row r="51" spans="1:39" x14ac:dyDescent="0.25">
      <c r="A51" s="2" t="s">
        <v>427</v>
      </c>
      <c r="B51" s="2" t="s">
        <v>428</v>
      </c>
      <c r="C51" s="2" t="s">
        <v>1196</v>
      </c>
      <c r="D51" s="8">
        <v>43831</v>
      </c>
      <c r="E51" s="5" t="str">
        <f t="shared" si="9"/>
        <v>Aportela, Ricardo &amp; Xiomara_01-01-20</v>
      </c>
      <c r="F51" s="2" t="s">
        <v>1203</v>
      </c>
      <c r="G51" s="2" t="s">
        <v>1241</v>
      </c>
      <c r="H51" s="2" t="s">
        <v>1220</v>
      </c>
      <c r="I51" s="2" t="s">
        <v>1221</v>
      </c>
      <c r="J51" s="2" t="s">
        <v>1234</v>
      </c>
      <c r="M51" s="5" t="str">
        <f t="shared" si="0"/>
        <v>Mid</v>
      </c>
      <c r="N51" s="5" t="str">
        <f t="shared" si="1"/>
        <v>Tax-Staff-Mid</v>
      </c>
      <c r="O51" s="5" t="str">
        <f t="shared" si="2"/>
        <v>Tax-Reviewer-Mid</v>
      </c>
      <c r="P51" s="5" t="str">
        <f t="shared" si="3"/>
        <v>Tax-Signer-Mid</v>
      </c>
      <c r="Q51" s="6">
        <v>2.7401969696969677</v>
      </c>
      <c r="R51" s="6">
        <v>0.5480393939393936</v>
      </c>
      <c r="S51" s="6">
        <v>0.2740196969696968</v>
      </c>
      <c r="T51" s="7">
        <f t="shared" si="10"/>
        <v>3.562256060606058</v>
      </c>
      <c r="U51" s="6" t="e">
        <f>SUMIFS([1]Sheet1!$L:$L,[1]Sheet1!$I:$I,AJ51,[1]Sheet1!$C:$C,A51)</f>
        <v>#VALUE!</v>
      </c>
      <c r="V51" s="6"/>
      <c r="W51" s="6"/>
      <c r="X51" s="7" t="e">
        <f t="shared" si="4"/>
        <v>#VALUE!</v>
      </c>
      <c r="Y51" s="6"/>
      <c r="AJ51" s="5" t="str">
        <f t="shared" si="5"/>
        <v>NM 1040 - Personal</v>
      </c>
      <c r="AK51" s="5" t="str">
        <f t="shared" si="6"/>
        <v>NM-Tax Services-ANN-1040 - Personal_Mid</v>
      </c>
      <c r="AL51" s="5" t="str">
        <f t="shared" si="7"/>
        <v>Aporte_0491_NM 1040 - Personal</v>
      </c>
      <c r="AM51" s="5" t="str">
        <f t="shared" si="8"/>
        <v>Aporte_0491_NM-Tax Services-ANN-1040 - Personal_Mid</v>
      </c>
    </row>
    <row r="52" spans="1:39" x14ac:dyDescent="0.25">
      <c r="A52" s="2" t="s">
        <v>966</v>
      </c>
      <c r="B52" s="2" t="s">
        <v>967</v>
      </c>
      <c r="C52" s="2" t="s">
        <v>1197</v>
      </c>
      <c r="D52" s="8">
        <v>43831</v>
      </c>
      <c r="E52" s="5" t="str">
        <f t="shared" si="9"/>
        <v>Aquatecture Design Group, LLC_01-01-20</v>
      </c>
      <c r="F52" s="2" t="s">
        <v>1204</v>
      </c>
      <c r="G52" s="2" t="s">
        <v>1241</v>
      </c>
      <c r="H52" s="2" t="s">
        <v>1220</v>
      </c>
      <c r="I52" s="2" t="s">
        <v>1223</v>
      </c>
      <c r="J52" s="2" t="s">
        <v>1234</v>
      </c>
      <c r="M52" s="5" t="str">
        <f t="shared" si="0"/>
        <v>Basic</v>
      </c>
      <c r="N52" s="5" t="str">
        <f t="shared" si="1"/>
        <v>Tax-Staff-Basic</v>
      </c>
      <c r="O52" s="5" t="str">
        <f t="shared" si="2"/>
        <v>Tax-Reviewer-Basic</v>
      </c>
      <c r="P52" s="5" t="str">
        <f t="shared" si="3"/>
        <v>Tax-Signer-Basic</v>
      </c>
      <c r="Q52" s="6">
        <v>1.4675000000000016</v>
      </c>
      <c r="R52" s="6">
        <v>0.29350000000000032</v>
      </c>
      <c r="S52" s="6">
        <v>0.14675000000000016</v>
      </c>
      <c r="T52" s="7">
        <f t="shared" si="10"/>
        <v>1.9077500000000021</v>
      </c>
      <c r="U52" s="6" t="e">
        <f>SUMIFS([1]Sheet1!$L:$L,[1]Sheet1!$I:$I,AJ52,[1]Sheet1!$C:$C,A52)</f>
        <v>#VALUE!</v>
      </c>
      <c r="V52" s="6"/>
      <c r="W52" s="6"/>
      <c r="X52" s="7" t="e">
        <f t="shared" si="4"/>
        <v>#VALUE!</v>
      </c>
      <c r="Y52" s="6"/>
      <c r="AJ52" s="5" t="str">
        <f t="shared" si="5"/>
        <v>MO 1120S - S Corporation</v>
      </c>
      <c r="AK52" s="5" t="str">
        <f t="shared" si="6"/>
        <v>MO-Tax Services-ANN-1120S - S Corporation_Basic</v>
      </c>
      <c r="AL52" s="5" t="str">
        <f t="shared" si="7"/>
        <v>Aquatect_1120S_26-4034326_MO 1120S - S Corporation</v>
      </c>
      <c r="AM52" s="5" t="str">
        <f t="shared" si="8"/>
        <v>Aquatect_1120S_26-4034326_MO-Tax Services-ANN-1120S - S Corporation_Basic</v>
      </c>
    </row>
    <row r="53" spans="1:39" x14ac:dyDescent="0.25">
      <c r="A53" s="2" t="s">
        <v>169</v>
      </c>
      <c r="B53" s="2" t="s">
        <v>170</v>
      </c>
      <c r="C53" s="2" t="s">
        <v>1197</v>
      </c>
      <c r="D53" s="8">
        <v>43831</v>
      </c>
      <c r="E53" s="5" t="str">
        <f t="shared" si="9"/>
        <v>Archer Installations, LLC_01-01-20</v>
      </c>
      <c r="F53" s="2" t="s">
        <v>1199</v>
      </c>
      <c r="G53" s="2" t="s">
        <v>1241</v>
      </c>
      <c r="H53" s="2" t="s">
        <v>1220</v>
      </c>
      <c r="I53" s="2" t="s">
        <v>1223</v>
      </c>
      <c r="J53" s="2" t="s">
        <v>1234</v>
      </c>
      <c r="M53" s="5" t="str">
        <f t="shared" si="0"/>
        <v>Basic</v>
      </c>
      <c r="N53" s="5" t="str">
        <f t="shared" si="1"/>
        <v>Tax-Staff-Basic</v>
      </c>
      <c r="O53" s="5" t="str">
        <f t="shared" si="2"/>
        <v>Tax-Reviewer-Basic</v>
      </c>
      <c r="P53" s="5" t="str">
        <f t="shared" si="3"/>
        <v>Tax-Signer-Basic</v>
      </c>
      <c r="Q53" s="6">
        <v>1.4675000000000016</v>
      </c>
      <c r="R53" s="6">
        <v>0.29350000000000032</v>
      </c>
      <c r="S53" s="6">
        <v>0.14675000000000016</v>
      </c>
      <c r="T53" s="7">
        <f t="shared" si="10"/>
        <v>1.9077500000000021</v>
      </c>
      <c r="U53" s="6" t="e">
        <f>SUMIFS([1]Sheet1!$L:$L,[1]Sheet1!$I:$I,AJ53,[1]Sheet1!$C:$C,A53)</f>
        <v>#VALUE!</v>
      </c>
      <c r="V53" s="6"/>
      <c r="W53" s="6"/>
      <c r="X53" s="7" t="e">
        <f t="shared" si="4"/>
        <v>#VALUE!</v>
      </c>
      <c r="Y53" s="6"/>
      <c r="AJ53" s="5" t="str">
        <f t="shared" si="5"/>
        <v>MO 1065 - Partnership</v>
      </c>
      <c r="AK53" s="5" t="str">
        <f t="shared" si="6"/>
        <v>MO-Tax Services-ANN-1065 - Partnership_Basic</v>
      </c>
      <c r="AL53" s="5" t="str">
        <f t="shared" si="7"/>
        <v>Archer I_1065_45-2826643_MO 1065 - Partnership</v>
      </c>
      <c r="AM53" s="5" t="str">
        <f t="shared" si="8"/>
        <v>Archer I_1065_45-2826643_MO-Tax Services-ANN-1065 - Partnership_Basic</v>
      </c>
    </row>
    <row r="54" spans="1:39" x14ac:dyDescent="0.25">
      <c r="A54" s="2" t="s">
        <v>169</v>
      </c>
      <c r="B54" s="2" t="s">
        <v>170</v>
      </c>
      <c r="C54" s="2" t="s">
        <v>1197</v>
      </c>
      <c r="D54" s="8">
        <v>43831</v>
      </c>
      <c r="E54" s="5" t="str">
        <f t="shared" si="9"/>
        <v>Archer Installations, LLC_01-01-20</v>
      </c>
      <c r="F54" s="2" t="s">
        <v>1201</v>
      </c>
      <c r="G54" s="2" t="s">
        <v>1201</v>
      </c>
      <c r="H54" s="2" t="s">
        <v>1197</v>
      </c>
      <c r="I54" s="2" t="s">
        <v>1223</v>
      </c>
      <c r="J54" s="2" t="s">
        <v>1235</v>
      </c>
      <c r="M54" s="5" t="str">
        <f t="shared" si="0"/>
        <v>Basic</v>
      </c>
      <c r="N54" s="5" t="str">
        <f t="shared" si="1"/>
        <v>Accountant-Staff-Basic</v>
      </c>
      <c r="O54" s="5" t="str">
        <f t="shared" si="2"/>
        <v>Accountant-Reviewer-Basic</v>
      </c>
      <c r="P54" s="5" t="str">
        <f t="shared" si="3"/>
        <v>Accountant-Signer-Basic</v>
      </c>
      <c r="Q54" s="6">
        <v>1.47</v>
      </c>
      <c r="R54" s="6">
        <v>0.29399999999999998</v>
      </c>
      <c r="S54" s="6">
        <v>0.14699999999999999</v>
      </c>
      <c r="T54" s="7">
        <f t="shared" si="10"/>
        <v>1.911</v>
      </c>
      <c r="U54" s="6" t="e">
        <f>SUMIFS([1]Sheet1!$L:$L,[1]Sheet1!$I:$I,AJ54,[1]Sheet1!$C:$C,A54)</f>
        <v>#VALUE!</v>
      </c>
      <c r="V54" s="6"/>
      <c r="W54" s="6"/>
      <c r="X54" s="7" t="e">
        <f t="shared" si="4"/>
        <v>#VALUE!</v>
      </c>
      <c r="Y54" s="6"/>
      <c r="AJ54" s="5" t="str">
        <f t="shared" si="5"/>
        <v>MO Accounting Services</v>
      </c>
      <c r="AK54" s="5" t="str">
        <f t="shared" si="6"/>
        <v>MO-Accounting Services-MO-Accounting Services_Basic</v>
      </c>
      <c r="AL54" s="5" t="str">
        <f t="shared" si="7"/>
        <v>Archer I_1065_45-2826643_MO Accounting Services</v>
      </c>
      <c r="AM54" s="5" t="str">
        <f t="shared" si="8"/>
        <v>Archer I_1065_45-2826643_MO-Accounting Services-MO-Accounting Services_Basic</v>
      </c>
    </row>
    <row r="55" spans="1:39" x14ac:dyDescent="0.25">
      <c r="A55" s="2" t="s">
        <v>429</v>
      </c>
      <c r="B55" s="2" t="s">
        <v>430</v>
      </c>
      <c r="C55" s="2" t="s">
        <v>1196</v>
      </c>
      <c r="D55" s="8">
        <v>43831</v>
      </c>
      <c r="E55" s="5" t="str">
        <f t="shared" si="9"/>
        <v>Arrington, Larry C &amp; Brenda D_01-01-20</v>
      </c>
      <c r="F55" s="2" t="s">
        <v>1203</v>
      </c>
      <c r="G55" s="2" t="s">
        <v>1241</v>
      </c>
      <c r="H55" s="2" t="s">
        <v>1220</v>
      </c>
      <c r="I55" s="2" t="s">
        <v>1223</v>
      </c>
      <c r="J55" s="2" t="s">
        <v>1234</v>
      </c>
      <c r="M55" s="5" t="str">
        <f t="shared" si="0"/>
        <v>Basic</v>
      </c>
      <c r="N55" s="5" t="str">
        <f t="shared" si="1"/>
        <v>Tax-Staff-Basic</v>
      </c>
      <c r="O55" s="5" t="str">
        <f t="shared" si="2"/>
        <v>Tax-Reviewer-Basic</v>
      </c>
      <c r="P55" s="5" t="str">
        <f t="shared" si="3"/>
        <v>Tax-Signer-Basic</v>
      </c>
      <c r="Q55" s="6">
        <v>1.4675000000000016</v>
      </c>
      <c r="R55" s="6">
        <v>0.29350000000000032</v>
      </c>
      <c r="S55" s="6">
        <v>0.14675000000000016</v>
      </c>
      <c r="T55" s="7">
        <f t="shared" si="10"/>
        <v>1.9077500000000021</v>
      </c>
      <c r="U55" s="6" t="e">
        <f>SUMIFS([1]Sheet1!$L:$L,[1]Sheet1!$I:$I,AJ55,[1]Sheet1!$C:$C,A55)</f>
        <v>#VALUE!</v>
      </c>
      <c r="V55" s="6"/>
      <c r="W55" s="6"/>
      <c r="X55" s="7" t="e">
        <f t="shared" si="4"/>
        <v>#VALUE!</v>
      </c>
      <c r="Y55" s="6"/>
      <c r="AJ55" s="5" t="str">
        <f t="shared" si="5"/>
        <v>NM 1040 - Personal</v>
      </c>
      <c r="AK55" s="5" t="str">
        <f t="shared" si="6"/>
        <v>NM-Tax Services-ANN-1040 - Personal_Basic</v>
      </c>
      <c r="AL55" s="5" t="str">
        <f t="shared" si="7"/>
        <v>Arring_1529_NM 1040 - Personal</v>
      </c>
      <c r="AM55" s="5" t="str">
        <f t="shared" si="8"/>
        <v>Arring_1529_NM-Tax Services-ANN-1040 - Personal_Basic</v>
      </c>
    </row>
    <row r="56" spans="1:39" x14ac:dyDescent="0.25">
      <c r="A56" s="2" t="s">
        <v>333</v>
      </c>
      <c r="B56" s="2" t="s">
        <v>334</v>
      </c>
      <c r="C56" s="2" t="s">
        <v>1196</v>
      </c>
      <c r="D56" s="8">
        <v>43831</v>
      </c>
      <c r="E56" s="5" t="str">
        <f t="shared" si="9"/>
        <v>Arroyo Royalties, LLC_01-01-20</v>
      </c>
      <c r="F56" s="2" t="s">
        <v>1199</v>
      </c>
      <c r="G56" s="2" t="s">
        <v>1241</v>
      </c>
      <c r="H56" s="2" t="s">
        <v>1220</v>
      </c>
      <c r="I56" s="2" t="s">
        <v>1221</v>
      </c>
      <c r="J56" s="2" t="s">
        <v>1234</v>
      </c>
      <c r="M56" s="5" t="str">
        <f t="shared" si="0"/>
        <v>Mid</v>
      </c>
      <c r="N56" s="5" t="str">
        <f t="shared" si="1"/>
        <v>Tax-Staff-Mid</v>
      </c>
      <c r="O56" s="5" t="str">
        <f t="shared" si="2"/>
        <v>Tax-Reviewer-Mid</v>
      </c>
      <c r="P56" s="5" t="str">
        <f t="shared" si="3"/>
        <v>Tax-Signer-Mid</v>
      </c>
      <c r="Q56" s="6">
        <v>2.7401969696969677</v>
      </c>
      <c r="R56" s="6">
        <v>0.5480393939393936</v>
      </c>
      <c r="S56" s="6">
        <v>0.2740196969696968</v>
      </c>
      <c r="T56" s="7">
        <f t="shared" si="10"/>
        <v>3.562256060606058</v>
      </c>
      <c r="U56" s="6" t="e">
        <f>SUMIFS([1]Sheet1!$L:$L,[1]Sheet1!$I:$I,AJ56,[1]Sheet1!$C:$C,A56)</f>
        <v>#VALUE!</v>
      </c>
      <c r="V56" s="6"/>
      <c r="W56" s="6"/>
      <c r="X56" s="7" t="e">
        <f t="shared" si="4"/>
        <v>#VALUE!</v>
      </c>
      <c r="Y56" s="6"/>
      <c r="AJ56" s="5" t="str">
        <f t="shared" si="5"/>
        <v>NM 1065 - Partnership</v>
      </c>
      <c r="AK56" s="5" t="str">
        <f t="shared" si="6"/>
        <v>NM-Tax Services-ANN-1065 - Partnership_Mid</v>
      </c>
      <c r="AL56" s="5" t="str">
        <f t="shared" si="7"/>
        <v>Arroyo R_1065_82-5504175_NM 1065 - Partnership</v>
      </c>
      <c r="AM56" s="5" t="str">
        <f t="shared" si="8"/>
        <v>Arroyo R_1065_82-5504175_NM-Tax Services-ANN-1065 - Partnership_Mid</v>
      </c>
    </row>
    <row r="57" spans="1:39" x14ac:dyDescent="0.25">
      <c r="A57" s="2" t="s">
        <v>333</v>
      </c>
      <c r="B57" s="2" t="s">
        <v>334</v>
      </c>
      <c r="C57" s="2" t="s">
        <v>1196</v>
      </c>
      <c r="D57" s="8">
        <v>43831</v>
      </c>
      <c r="E57" s="5" t="str">
        <f t="shared" si="9"/>
        <v>Arroyo Royalties, LLC_01-01-20</v>
      </c>
      <c r="F57" s="2" t="s">
        <v>1200</v>
      </c>
      <c r="G57" s="2" t="s">
        <v>1241</v>
      </c>
      <c r="H57" s="2" t="s">
        <v>1220</v>
      </c>
      <c r="I57" s="2" t="s">
        <v>1223</v>
      </c>
      <c r="J57" s="2" t="s">
        <v>1234</v>
      </c>
      <c r="M57" s="5" t="str">
        <f t="shared" si="0"/>
        <v>Basic</v>
      </c>
      <c r="N57" s="5" t="str">
        <f t="shared" si="1"/>
        <v>Tax-Staff-Basic</v>
      </c>
      <c r="O57" s="5" t="str">
        <f t="shared" si="2"/>
        <v>Tax-Reviewer-Basic</v>
      </c>
      <c r="P57" s="5" t="str">
        <f t="shared" si="3"/>
        <v>Tax-Signer-Basic</v>
      </c>
      <c r="Q57" s="6">
        <v>0.5</v>
      </c>
      <c r="R57" s="6">
        <v>0.1</v>
      </c>
      <c r="S57" s="6">
        <v>0.05</v>
      </c>
      <c r="T57" s="7">
        <f t="shared" si="10"/>
        <v>0.65</v>
      </c>
      <c r="U57" s="6" t="e">
        <f>SUMIFS([1]Sheet1!$L:$L,[1]Sheet1!$I:$I,AJ57,[1]Sheet1!$C:$C,A57)</f>
        <v>#VALUE!</v>
      </c>
      <c r="V57" s="6"/>
      <c r="W57" s="6"/>
      <c r="X57" s="7" t="e">
        <f t="shared" si="4"/>
        <v>#VALUE!</v>
      </c>
      <c r="Y57" s="6"/>
      <c r="AJ57" s="5" t="str">
        <f t="shared" si="5"/>
        <v>NM Texas Franchise Tax Return</v>
      </c>
      <c r="AK57" s="5" t="str">
        <f t="shared" si="6"/>
        <v>NM-Tax Services-ANN-Texas Franchise Tax Return_Basic</v>
      </c>
      <c r="AL57" s="5" t="str">
        <f t="shared" si="7"/>
        <v>Arroyo R_1065_82-5504175_NM Texas Franchise Tax Return</v>
      </c>
      <c r="AM57" s="5" t="str">
        <f t="shared" si="8"/>
        <v>Arroyo R_1065_82-5504175_NM-Tax Services-ANN-Texas Franchise Tax Return_Basic</v>
      </c>
    </row>
    <row r="58" spans="1:39" x14ac:dyDescent="0.25">
      <c r="A58" s="2" t="s">
        <v>335</v>
      </c>
      <c r="B58" s="2" t="s">
        <v>336</v>
      </c>
      <c r="C58" s="2" t="s">
        <v>1196</v>
      </c>
      <c r="D58" s="8">
        <v>43831</v>
      </c>
      <c r="E58" s="5" t="str">
        <f t="shared" si="9"/>
        <v>Ashby Townhomes, LLC_01-01-20</v>
      </c>
      <c r="F58" s="2" t="s">
        <v>1199</v>
      </c>
      <c r="G58" s="2" t="s">
        <v>1241</v>
      </c>
      <c r="H58" s="2" t="s">
        <v>1220</v>
      </c>
      <c r="I58" s="2" t="s">
        <v>1223</v>
      </c>
      <c r="J58" s="2" t="s">
        <v>1234</v>
      </c>
      <c r="M58" s="5" t="str">
        <f t="shared" si="0"/>
        <v>Basic</v>
      </c>
      <c r="N58" s="5" t="str">
        <f t="shared" si="1"/>
        <v>Tax-Staff-Basic</v>
      </c>
      <c r="O58" s="5" t="str">
        <f t="shared" si="2"/>
        <v>Tax-Reviewer-Basic</v>
      </c>
      <c r="P58" s="5" t="str">
        <f t="shared" si="3"/>
        <v>Tax-Signer-Basic</v>
      </c>
      <c r="Q58" s="6">
        <v>1.4675000000000016</v>
      </c>
      <c r="R58" s="6">
        <v>0.29350000000000032</v>
      </c>
      <c r="S58" s="6">
        <v>0.14675000000000016</v>
      </c>
      <c r="T58" s="7">
        <f t="shared" si="10"/>
        <v>1.9077500000000021</v>
      </c>
      <c r="U58" s="6" t="e">
        <f>SUMIFS([1]Sheet1!$L:$L,[1]Sheet1!$I:$I,AJ58,[1]Sheet1!$C:$C,A58)</f>
        <v>#VALUE!</v>
      </c>
      <c r="V58" s="6"/>
      <c r="W58" s="6"/>
      <c r="X58" s="7" t="e">
        <f t="shared" si="4"/>
        <v>#VALUE!</v>
      </c>
      <c r="Y58" s="6"/>
      <c r="AJ58" s="5" t="str">
        <f t="shared" si="5"/>
        <v>NM 1065 - Partnership</v>
      </c>
      <c r="AK58" s="5" t="str">
        <f t="shared" si="6"/>
        <v>NM-Tax Services-ANN-1065 - Partnership_Basic</v>
      </c>
      <c r="AL58" s="5" t="str">
        <f t="shared" si="7"/>
        <v>Ashby To_1065_81-4685942_NM 1065 - Partnership</v>
      </c>
      <c r="AM58" s="5" t="str">
        <f t="shared" si="8"/>
        <v>Ashby To_1065_81-4685942_NM-Tax Services-ANN-1065 - Partnership_Basic</v>
      </c>
    </row>
    <row r="59" spans="1:39" x14ac:dyDescent="0.25">
      <c r="A59" s="2" t="s">
        <v>1079</v>
      </c>
      <c r="B59" s="2" t="s">
        <v>1080</v>
      </c>
      <c r="C59" s="2" t="s">
        <v>1196</v>
      </c>
      <c r="D59" s="8">
        <v>43831</v>
      </c>
      <c r="E59" s="5" t="str">
        <f t="shared" si="9"/>
        <v>Athens Real Estate Investment_01-01-20</v>
      </c>
      <c r="F59" s="2" t="s">
        <v>1200</v>
      </c>
      <c r="G59" s="2" t="s">
        <v>1241</v>
      </c>
      <c r="H59" s="2" t="s">
        <v>1220</v>
      </c>
      <c r="I59" s="2" t="s">
        <v>1223</v>
      </c>
      <c r="J59" s="2" t="s">
        <v>1234</v>
      </c>
      <c r="M59" s="5" t="str">
        <f t="shared" si="0"/>
        <v>Basic</v>
      </c>
      <c r="N59" s="5" t="str">
        <f t="shared" si="1"/>
        <v>Tax-Staff-Basic</v>
      </c>
      <c r="O59" s="5" t="str">
        <f t="shared" si="2"/>
        <v>Tax-Reviewer-Basic</v>
      </c>
      <c r="P59" s="5" t="str">
        <f t="shared" si="3"/>
        <v>Tax-Signer-Basic</v>
      </c>
      <c r="Q59" s="6">
        <v>0.5</v>
      </c>
      <c r="R59" s="6">
        <v>0.1</v>
      </c>
      <c r="S59" s="6">
        <v>0.05</v>
      </c>
      <c r="T59" s="7">
        <f t="shared" si="10"/>
        <v>0.65</v>
      </c>
      <c r="U59" s="6" t="e">
        <f>SUMIFS([1]Sheet1!$L:$L,[1]Sheet1!$I:$I,AJ59,[1]Sheet1!$C:$C,A59)</f>
        <v>#VALUE!</v>
      </c>
      <c r="V59" s="6"/>
      <c r="W59" s="6"/>
      <c r="X59" s="7" t="e">
        <f t="shared" si="4"/>
        <v>#VALUE!</v>
      </c>
      <c r="Y59" s="6"/>
      <c r="AJ59" s="5" t="str">
        <f t="shared" si="5"/>
        <v>NM Texas Franchise Tax Return</v>
      </c>
      <c r="AK59" s="5" t="str">
        <f t="shared" si="6"/>
        <v>NM-Tax Services-ANN-Texas Franchise Tax Return_Basic</v>
      </c>
      <c r="AL59" s="5" t="str">
        <f t="shared" si="7"/>
        <v>Athens R_1065_84-4513729_NM Texas Franchise Tax Return</v>
      </c>
      <c r="AM59" s="5" t="str">
        <f t="shared" si="8"/>
        <v>Athens R_1065_84-4513729_NM-Tax Services-ANN-Texas Franchise Tax Return_Basic</v>
      </c>
    </row>
    <row r="60" spans="1:39" x14ac:dyDescent="0.25">
      <c r="A60" s="2" t="s">
        <v>235</v>
      </c>
      <c r="B60" s="2" t="s">
        <v>236</v>
      </c>
      <c r="C60" s="2" t="s">
        <v>1196</v>
      </c>
      <c r="D60" s="8">
        <v>43831</v>
      </c>
      <c r="E60" s="5" t="str">
        <f t="shared" si="9"/>
        <v>Azul Estrella Inc._01-01-20</v>
      </c>
      <c r="F60" s="2" t="s">
        <v>1204</v>
      </c>
      <c r="G60" s="2" t="s">
        <v>1241</v>
      </c>
      <c r="H60" s="2" t="s">
        <v>1220</v>
      </c>
      <c r="I60" s="2" t="s">
        <v>1221</v>
      </c>
      <c r="J60" s="2" t="s">
        <v>1234</v>
      </c>
      <c r="M60" s="5" t="str">
        <f t="shared" si="0"/>
        <v>Mid</v>
      </c>
      <c r="N60" s="5" t="str">
        <f t="shared" si="1"/>
        <v>Tax-Staff-Mid</v>
      </c>
      <c r="O60" s="5" t="str">
        <f t="shared" si="2"/>
        <v>Tax-Reviewer-Mid</v>
      </c>
      <c r="P60" s="5" t="str">
        <f t="shared" si="3"/>
        <v>Tax-Signer-Mid</v>
      </c>
      <c r="Q60" s="6">
        <v>2.7401969696969677</v>
      </c>
      <c r="R60" s="6">
        <v>0.5480393939393936</v>
      </c>
      <c r="S60" s="6">
        <v>0.2740196969696968</v>
      </c>
      <c r="T60" s="7">
        <f t="shared" si="10"/>
        <v>3.562256060606058</v>
      </c>
      <c r="U60" s="6" t="e">
        <f>SUMIFS([1]Sheet1!$L:$L,[1]Sheet1!$I:$I,AJ60,[1]Sheet1!$C:$C,A60)</f>
        <v>#VALUE!</v>
      </c>
      <c r="V60" s="6"/>
      <c r="W60" s="6"/>
      <c r="X60" s="7" t="e">
        <f t="shared" si="4"/>
        <v>#VALUE!</v>
      </c>
      <c r="Y60" s="6"/>
      <c r="AJ60" s="5" t="str">
        <f t="shared" si="5"/>
        <v>NM 1120S - S Corporation</v>
      </c>
      <c r="AK60" s="5" t="str">
        <f t="shared" si="6"/>
        <v>NM-Tax Services-ANN-1120S - S Corporation_Mid</v>
      </c>
      <c r="AL60" s="5" t="str">
        <f t="shared" si="7"/>
        <v>Azul Est_1120S_26-3435244_NM 1120S - S Corporation</v>
      </c>
      <c r="AM60" s="5" t="str">
        <f t="shared" si="8"/>
        <v>Azul Est_1120S_26-3435244_NM-Tax Services-ANN-1120S - S Corporation_Mid</v>
      </c>
    </row>
    <row r="61" spans="1:39" x14ac:dyDescent="0.25">
      <c r="A61" s="2" t="s">
        <v>235</v>
      </c>
      <c r="B61" s="2" t="s">
        <v>236</v>
      </c>
      <c r="C61" s="2" t="s">
        <v>1196</v>
      </c>
      <c r="D61" s="8">
        <v>43831</v>
      </c>
      <c r="E61" s="5" t="str">
        <f t="shared" si="9"/>
        <v>Azul Estrella Inc._01-01-20</v>
      </c>
      <c r="F61" s="2" t="s">
        <v>1200</v>
      </c>
      <c r="G61" s="2" t="s">
        <v>1241</v>
      </c>
      <c r="H61" s="2" t="s">
        <v>1220</v>
      </c>
      <c r="I61" s="2" t="s">
        <v>1223</v>
      </c>
      <c r="J61" s="2" t="s">
        <v>1234</v>
      </c>
      <c r="M61" s="5" t="str">
        <f t="shared" si="0"/>
        <v>Basic</v>
      </c>
      <c r="N61" s="5" t="str">
        <f t="shared" si="1"/>
        <v>Tax-Staff-Basic</v>
      </c>
      <c r="O61" s="5" t="str">
        <f t="shared" si="2"/>
        <v>Tax-Reviewer-Basic</v>
      </c>
      <c r="P61" s="5" t="str">
        <f t="shared" si="3"/>
        <v>Tax-Signer-Basic</v>
      </c>
      <c r="Q61" s="6">
        <v>0.5</v>
      </c>
      <c r="R61" s="6">
        <v>0.1</v>
      </c>
      <c r="S61" s="6">
        <v>0.05</v>
      </c>
      <c r="T61" s="7">
        <f t="shared" si="10"/>
        <v>0.65</v>
      </c>
      <c r="U61" s="6" t="e">
        <f>SUMIFS([1]Sheet1!$L:$L,[1]Sheet1!$I:$I,AJ61,[1]Sheet1!$C:$C,A61)</f>
        <v>#VALUE!</v>
      </c>
      <c r="V61" s="6"/>
      <c r="W61" s="6"/>
      <c r="X61" s="7" t="e">
        <f t="shared" si="4"/>
        <v>#VALUE!</v>
      </c>
      <c r="Y61" s="6"/>
      <c r="AJ61" s="5" t="str">
        <f t="shared" si="5"/>
        <v>NM Texas Franchise Tax Return</v>
      </c>
      <c r="AK61" s="5" t="str">
        <f t="shared" si="6"/>
        <v>NM-Tax Services-ANN-Texas Franchise Tax Return_Basic</v>
      </c>
      <c r="AL61" s="5" t="str">
        <f t="shared" si="7"/>
        <v>Azul Est_1120S_26-3435244_NM Texas Franchise Tax Return</v>
      </c>
      <c r="AM61" s="5" t="str">
        <f t="shared" si="8"/>
        <v>Azul Est_1120S_26-3435244_NM-Tax Services-ANN-Texas Franchise Tax Return_Basic</v>
      </c>
    </row>
    <row r="62" spans="1:39" x14ac:dyDescent="0.25">
      <c r="A62" s="2" t="s">
        <v>337</v>
      </c>
      <c r="B62" s="2" t="s">
        <v>338</v>
      </c>
      <c r="C62" s="2" t="s">
        <v>1196</v>
      </c>
      <c r="D62" s="8">
        <v>43831</v>
      </c>
      <c r="E62" s="5" t="str">
        <f t="shared" si="9"/>
        <v>B&amp;R Holding_01-01-20</v>
      </c>
      <c r="F62" s="2" t="s">
        <v>1199</v>
      </c>
      <c r="G62" s="2" t="s">
        <v>1241</v>
      </c>
      <c r="H62" s="2" t="s">
        <v>1220</v>
      </c>
      <c r="I62" s="2" t="s">
        <v>1223</v>
      </c>
      <c r="J62" s="2" t="s">
        <v>1234</v>
      </c>
      <c r="M62" s="5" t="str">
        <f t="shared" si="0"/>
        <v>Basic</v>
      </c>
      <c r="N62" s="5" t="str">
        <f t="shared" si="1"/>
        <v>Tax-Staff-Basic</v>
      </c>
      <c r="O62" s="5" t="str">
        <f t="shared" si="2"/>
        <v>Tax-Reviewer-Basic</v>
      </c>
      <c r="P62" s="5" t="str">
        <f t="shared" si="3"/>
        <v>Tax-Signer-Basic</v>
      </c>
      <c r="Q62" s="6">
        <v>1.4675000000000016</v>
      </c>
      <c r="R62" s="6">
        <v>0.29350000000000032</v>
      </c>
      <c r="S62" s="6">
        <v>0.14675000000000016</v>
      </c>
      <c r="T62" s="7">
        <f t="shared" si="10"/>
        <v>1.9077500000000021</v>
      </c>
      <c r="U62" s="6" t="e">
        <f>SUMIFS([1]Sheet1!$L:$L,[1]Sheet1!$I:$I,AJ62,[1]Sheet1!$C:$C,A62)</f>
        <v>#VALUE!</v>
      </c>
      <c r="V62" s="6"/>
      <c r="W62" s="6"/>
      <c r="X62" s="7" t="e">
        <f t="shared" si="4"/>
        <v>#VALUE!</v>
      </c>
      <c r="Y62" s="6"/>
      <c r="AJ62" s="5" t="str">
        <f t="shared" si="5"/>
        <v>NM 1065 - Partnership</v>
      </c>
      <c r="AK62" s="5" t="str">
        <f t="shared" si="6"/>
        <v>NM-Tax Services-ANN-1065 - Partnership_Basic</v>
      </c>
      <c r="AL62" s="5" t="str">
        <f t="shared" si="7"/>
        <v>B&amp;R Hold_1065_82-1096560_NM 1065 - Partnership</v>
      </c>
      <c r="AM62" s="5" t="str">
        <f t="shared" si="8"/>
        <v>B&amp;R Hold_1065_82-1096560_NM-Tax Services-ANN-1065 - Partnership_Basic</v>
      </c>
    </row>
    <row r="63" spans="1:39" x14ac:dyDescent="0.25">
      <c r="A63" s="2" t="s">
        <v>1139</v>
      </c>
      <c r="B63" s="2" t="s">
        <v>1140</v>
      </c>
      <c r="C63" s="2" t="s">
        <v>1196</v>
      </c>
      <c r="D63" s="8">
        <v>43831</v>
      </c>
      <c r="E63" s="5" t="str">
        <f t="shared" si="9"/>
        <v>Balcarcel, Melvin_01-01-20</v>
      </c>
      <c r="F63" s="2" t="s">
        <v>1203</v>
      </c>
      <c r="G63" s="2" t="s">
        <v>1241</v>
      </c>
      <c r="H63" s="2" t="s">
        <v>1220</v>
      </c>
      <c r="I63" s="2" t="s">
        <v>1221</v>
      </c>
      <c r="J63" s="2" t="s">
        <v>1234</v>
      </c>
      <c r="M63" s="5" t="str">
        <f t="shared" si="0"/>
        <v>Mid</v>
      </c>
      <c r="N63" s="5" t="str">
        <f t="shared" si="1"/>
        <v>Tax-Staff-Mid</v>
      </c>
      <c r="O63" s="5" t="str">
        <f t="shared" si="2"/>
        <v>Tax-Reviewer-Mid</v>
      </c>
      <c r="P63" s="5" t="str">
        <f t="shared" si="3"/>
        <v>Tax-Signer-Mid</v>
      </c>
      <c r="Q63" s="6">
        <v>2.7401969696969677</v>
      </c>
      <c r="R63" s="6">
        <v>0.5480393939393936</v>
      </c>
      <c r="S63" s="6">
        <v>0.2740196969696968</v>
      </c>
      <c r="T63" s="7">
        <f t="shared" si="10"/>
        <v>3.562256060606058</v>
      </c>
      <c r="U63" s="6" t="e">
        <f>SUMIFS([1]Sheet1!$L:$L,[1]Sheet1!$I:$I,AJ63,[1]Sheet1!$C:$C,A63)</f>
        <v>#VALUE!</v>
      </c>
      <c r="V63" s="6"/>
      <c r="W63" s="6"/>
      <c r="X63" s="7" t="e">
        <f t="shared" si="4"/>
        <v>#VALUE!</v>
      </c>
      <c r="Y63" s="6"/>
      <c r="AJ63" s="5" t="str">
        <f t="shared" si="5"/>
        <v>NM 1040 - Personal</v>
      </c>
      <c r="AK63" s="5" t="str">
        <f t="shared" si="6"/>
        <v>NM-Tax Services-ANN-1040 - Personal_Mid</v>
      </c>
      <c r="AL63" s="5" t="str">
        <f t="shared" si="7"/>
        <v>Balcar_0015_NM 1040 - Personal</v>
      </c>
      <c r="AM63" s="5" t="str">
        <f t="shared" si="8"/>
        <v>Balcar_0015_NM-Tax Services-ANN-1040 - Personal_Mid</v>
      </c>
    </row>
    <row r="64" spans="1:39" x14ac:dyDescent="0.25">
      <c r="A64" s="2" t="s">
        <v>433</v>
      </c>
      <c r="B64" s="2" t="s">
        <v>434</v>
      </c>
      <c r="C64" s="2" t="s">
        <v>1196</v>
      </c>
      <c r="D64" s="8">
        <v>43831</v>
      </c>
      <c r="E64" s="5" t="str">
        <f t="shared" si="9"/>
        <v>Barrera, Elvis R. (JR)_01-01-20</v>
      </c>
      <c r="F64" s="2" t="s">
        <v>1203</v>
      </c>
      <c r="G64" s="2" t="s">
        <v>1241</v>
      </c>
      <c r="H64" s="2" t="s">
        <v>1220</v>
      </c>
      <c r="I64" s="2" t="s">
        <v>1223</v>
      </c>
      <c r="J64" s="2" t="s">
        <v>1234</v>
      </c>
      <c r="M64" s="5" t="str">
        <f t="shared" si="0"/>
        <v>Basic</v>
      </c>
      <c r="N64" s="5" t="str">
        <f t="shared" si="1"/>
        <v>Tax-Staff-Basic</v>
      </c>
      <c r="O64" s="5" t="str">
        <f t="shared" si="2"/>
        <v>Tax-Reviewer-Basic</v>
      </c>
      <c r="P64" s="5" t="str">
        <f t="shared" si="3"/>
        <v>Tax-Signer-Basic</v>
      </c>
      <c r="Q64" s="6">
        <v>1.4675000000000016</v>
      </c>
      <c r="R64" s="6">
        <v>0.29350000000000032</v>
      </c>
      <c r="S64" s="6">
        <v>0.14675000000000016</v>
      </c>
      <c r="T64" s="7">
        <f t="shared" si="10"/>
        <v>1.9077500000000021</v>
      </c>
      <c r="U64" s="6" t="e">
        <f>SUMIFS([1]Sheet1!$L:$L,[1]Sheet1!$I:$I,AJ64,[1]Sheet1!$C:$C,A64)</f>
        <v>#VALUE!</v>
      </c>
      <c r="V64" s="6"/>
      <c r="W64" s="6"/>
      <c r="X64" s="7" t="e">
        <f t="shared" si="4"/>
        <v>#VALUE!</v>
      </c>
      <c r="Y64" s="6"/>
      <c r="AJ64" s="5" t="str">
        <f t="shared" si="5"/>
        <v>NM 1040 - Personal</v>
      </c>
      <c r="AK64" s="5" t="str">
        <f t="shared" si="6"/>
        <v>NM-Tax Services-ANN-1040 - Personal_Basic</v>
      </c>
      <c r="AL64" s="5" t="str">
        <f t="shared" si="7"/>
        <v>Barrer_5530_NM 1040 - Personal</v>
      </c>
      <c r="AM64" s="5" t="str">
        <f t="shared" si="8"/>
        <v>Barrer_5530_NM-Tax Services-ANN-1040 - Personal_Basic</v>
      </c>
    </row>
    <row r="65" spans="1:39" x14ac:dyDescent="0.25">
      <c r="A65" s="2" t="s">
        <v>435</v>
      </c>
      <c r="B65" s="2" t="s">
        <v>436</v>
      </c>
      <c r="C65" s="2" t="s">
        <v>1196</v>
      </c>
      <c r="D65" s="8">
        <v>43831</v>
      </c>
      <c r="E65" s="5" t="str">
        <f t="shared" si="9"/>
        <v>Barrera, Elvis R &amp; Marcelina M_01-01-20</v>
      </c>
      <c r="F65" s="2" t="s">
        <v>1203</v>
      </c>
      <c r="G65" s="2" t="s">
        <v>1241</v>
      </c>
      <c r="H65" s="2" t="s">
        <v>1220</v>
      </c>
      <c r="I65" s="2" t="s">
        <v>1221</v>
      </c>
      <c r="J65" s="2" t="s">
        <v>1234</v>
      </c>
      <c r="M65" s="5" t="str">
        <f t="shared" si="0"/>
        <v>Mid</v>
      </c>
      <c r="N65" s="5" t="str">
        <f t="shared" si="1"/>
        <v>Tax-Staff-Mid</v>
      </c>
      <c r="O65" s="5" t="str">
        <f t="shared" si="2"/>
        <v>Tax-Reviewer-Mid</v>
      </c>
      <c r="P65" s="5" t="str">
        <f t="shared" si="3"/>
        <v>Tax-Signer-Mid</v>
      </c>
      <c r="Q65" s="6">
        <v>2.7401969696969677</v>
      </c>
      <c r="R65" s="6">
        <v>0.5480393939393936</v>
      </c>
      <c r="S65" s="6">
        <v>0.2740196969696968</v>
      </c>
      <c r="T65" s="7">
        <f t="shared" si="10"/>
        <v>3.562256060606058</v>
      </c>
      <c r="U65" s="6" t="e">
        <f>SUMIFS([1]Sheet1!$L:$L,[1]Sheet1!$I:$I,AJ65,[1]Sheet1!$C:$C,A65)</f>
        <v>#VALUE!</v>
      </c>
      <c r="V65" s="6"/>
      <c r="W65" s="6"/>
      <c r="X65" s="7" t="e">
        <f t="shared" si="4"/>
        <v>#VALUE!</v>
      </c>
      <c r="Y65" s="6"/>
      <c r="AJ65" s="5" t="str">
        <f t="shared" si="5"/>
        <v>NM 1040 - Personal</v>
      </c>
      <c r="AK65" s="5" t="str">
        <f t="shared" si="6"/>
        <v>NM-Tax Services-ANN-1040 - Personal_Mid</v>
      </c>
      <c r="AL65" s="5" t="str">
        <f t="shared" si="7"/>
        <v>Barrer_9370_NM 1040 - Personal</v>
      </c>
      <c r="AM65" s="5" t="str">
        <f t="shared" si="8"/>
        <v>Barrer_9370_NM-Tax Services-ANN-1040 - Personal_Mid</v>
      </c>
    </row>
    <row r="66" spans="1:39" x14ac:dyDescent="0.25">
      <c r="A66" s="2" t="s">
        <v>437</v>
      </c>
      <c r="B66" s="2" t="s">
        <v>438</v>
      </c>
      <c r="C66" s="2" t="s">
        <v>1196</v>
      </c>
      <c r="D66" s="8">
        <v>43831</v>
      </c>
      <c r="E66" s="5" t="str">
        <f t="shared" si="9"/>
        <v>Barton, Nanette J._01-01-20</v>
      </c>
      <c r="F66" s="2" t="s">
        <v>1203</v>
      </c>
      <c r="G66" s="2" t="s">
        <v>1241</v>
      </c>
      <c r="H66" s="2" t="s">
        <v>1220</v>
      </c>
      <c r="I66" s="2" t="s">
        <v>1223</v>
      </c>
      <c r="J66" s="2" t="s">
        <v>1234</v>
      </c>
      <c r="M66" s="5" t="str">
        <f t="shared" ref="M66:M129" si="11">I66</f>
        <v>Basic</v>
      </c>
      <c r="N66" s="5" t="str">
        <f t="shared" ref="N66:N129" si="12">$J66&amp;"-"&amp;"Staff"&amp;"-"&amp;$M66</f>
        <v>Tax-Staff-Basic</v>
      </c>
      <c r="O66" s="5" t="str">
        <f t="shared" ref="O66:O129" si="13">$J66&amp;"-"&amp;"Reviewer"&amp;"-"&amp;$M66</f>
        <v>Tax-Reviewer-Basic</v>
      </c>
      <c r="P66" s="5" t="str">
        <f t="shared" ref="P66:P129" si="14">$J66&amp;"-"&amp;"Signer"&amp;"-"&amp;$M66</f>
        <v>Tax-Signer-Basic</v>
      </c>
      <c r="Q66" s="6">
        <v>1.4675000000000016</v>
      </c>
      <c r="R66" s="6">
        <v>0.29350000000000032</v>
      </c>
      <c r="S66" s="6">
        <v>0.14675000000000016</v>
      </c>
      <c r="T66" s="7">
        <f t="shared" si="10"/>
        <v>1.9077500000000021</v>
      </c>
      <c r="U66" s="6" t="e">
        <f>SUMIFS([1]Sheet1!$L:$L,[1]Sheet1!$I:$I,AJ66,[1]Sheet1!$C:$C,A66)</f>
        <v>#VALUE!</v>
      </c>
      <c r="V66" s="6"/>
      <c r="W66" s="6"/>
      <c r="X66" s="7" t="e">
        <f t="shared" ref="X66:X129" si="15">SUM(U66:W66)</f>
        <v>#VALUE!</v>
      </c>
      <c r="Y66" s="6"/>
      <c r="AJ66" s="5" t="str">
        <f t="shared" ref="AJ66:AJ129" si="16">C66&amp;" "&amp;F66</f>
        <v>NM 1040 - Personal</v>
      </c>
      <c r="AK66" s="5" t="str">
        <f t="shared" ref="AK66:AK129" si="17">C66&amp;"-"&amp;G66&amp;"-"&amp;H66&amp;"-"&amp;F66&amp;"_"&amp;I66</f>
        <v>NM-Tax Services-ANN-1040 - Personal_Basic</v>
      </c>
      <c r="AL66" s="5" t="str">
        <f t="shared" ref="AL66:AL129" si="18">A66&amp;"_"&amp;AJ66</f>
        <v>Barton_4783_NM 1040 - Personal</v>
      </c>
      <c r="AM66" s="5" t="str">
        <f t="shared" ref="AM66:AM129" si="19">A66&amp;"_"&amp;AK66</f>
        <v>Barton_4783_NM-Tax Services-ANN-1040 - Personal_Basic</v>
      </c>
    </row>
    <row r="67" spans="1:39" x14ac:dyDescent="0.25">
      <c r="A67" s="2" t="s">
        <v>439</v>
      </c>
      <c r="B67" s="2" t="s">
        <v>440</v>
      </c>
      <c r="C67" s="2" t="s">
        <v>1196</v>
      </c>
      <c r="D67" s="8">
        <v>43831</v>
      </c>
      <c r="E67" s="5" t="str">
        <f t="shared" ref="E67:E130" si="20">B67&amp;"_"&amp;TEXT(D67,"DD-MM-YY")</f>
        <v>Barton, Trent_01-01-20</v>
      </c>
      <c r="F67" s="2" t="s">
        <v>1203</v>
      </c>
      <c r="G67" s="2" t="s">
        <v>1241</v>
      </c>
      <c r="H67" s="2" t="s">
        <v>1220</v>
      </c>
      <c r="I67" s="2" t="s">
        <v>1223</v>
      </c>
      <c r="J67" s="2" t="s">
        <v>1234</v>
      </c>
      <c r="M67" s="5" t="str">
        <f t="shared" si="11"/>
        <v>Basic</v>
      </c>
      <c r="N67" s="5" t="str">
        <f t="shared" si="12"/>
        <v>Tax-Staff-Basic</v>
      </c>
      <c r="O67" s="5" t="str">
        <f t="shared" si="13"/>
        <v>Tax-Reviewer-Basic</v>
      </c>
      <c r="P67" s="5" t="str">
        <f t="shared" si="14"/>
        <v>Tax-Signer-Basic</v>
      </c>
      <c r="Q67" s="6">
        <v>1.4675000000000016</v>
      </c>
      <c r="R67" s="6">
        <v>0.29350000000000032</v>
      </c>
      <c r="S67" s="6">
        <v>0.14675000000000016</v>
      </c>
      <c r="T67" s="7">
        <f t="shared" ref="T67:T130" si="21">SUM(Q67:S67)</f>
        <v>1.9077500000000021</v>
      </c>
      <c r="U67" s="6" t="e">
        <f>SUMIFS([1]Sheet1!$L:$L,[1]Sheet1!$I:$I,AJ67,[1]Sheet1!$C:$C,A67)</f>
        <v>#VALUE!</v>
      </c>
      <c r="V67" s="6"/>
      <c r="W67" s="6"/>
      <c r="X67" s="7" t="e">
        <f t="shared" si="15"/>
        <v>#VALUE!</v>
      </c>
      <c r="Y67" s="6"/>
      <c r="AJ67" s="5" t="str">
        <f t="shared" si="16"/>
        <v>NM 1040 - Personal</v>
      </c>
      <c r="AK67" s="5" t="str">
        <f t="shared" si="17"/>
        <v>NM-Tax Services-ANN-1040 - Personal_Basic</v>
      </c>
      <c r="AL67" s="5" t="str">
        <f t="shared" si="18"/>
        <v>Barton_6416_NM 1040 - Personal</v>
      </c>
      <c r="AM67" s="5" t="str">
        <f t="shared" si="19"/>
        <v>Barton_6416_NM-Tax Services-ANN-1040 - Personal_Basic</v>
      </c>
    </row>
    <row r="68" spans="1:39" x14ac:dyDescent="0.25">
      <c r="A68" s="2" t="s">
        <v>441</v>
      </c>
      <c r="B68" s="2" t="s">
        <v>442</v>
      </c>
      <c r="C68" s="2" t="s">
        <v>1196</v>
      </c>
      <c r="D68" s="8">
        <v>43831</v>
      </c>
      <c r="E68" s="5" t="str">
        <f t="shared" si="20"/>
        <v>Bass, Chris_01-01-20</v>
      </c>
      <c r="F68" s="2" t="s">
        <v>1203</v>
      </c>
      <c r="G68" s="2" t="s">
        <v>1241</v>
      </c>
      <c r="H68" s="2" t="s">
        <v>1220</v>
      </c>
      <c r="I68" s="2" t="s">
        <v>1221</v>
      </c>
      <c r="J68" s="2" t="s">
        <v>1234</v>
      </c>
      <c r="M68" s="5" t="str">
        <f t="shared" si="11"/>
        <v>Mid</v>
      </c>
      <c r="N68" s="5" t="str">
        <f t="shared" si="12"/>
        <v>Tax-Staff-Mid</v>
      </c>
      <c r="O68" s="5" t="str">
        <f t="shared" si="13"/>
        <v>Tax-Reviewer-Mid</v>
      </c>
      <c r="P68" s="5" t="str">
        <f t="shared" si="14"/>
        <v>Tax-Signer-Mid</v>
      </c>
      <c r="Q68" s="6">
        <v>2.7401969696969677</v>
      </c>
      <c r="R68" s="6">
        <v>0.5480393939393936</v>
      </c>
      <c r="S68" s="6">
        <v>0.2740196969696968</v>
      </c>
      <c r="T68" s="7">
        <f t="shared" si="21"/>
        <v>3.562256060606058</v>
      </c>
      <c r="U68" s="6" t="e">
        <f>SUMIFS([1]Sheet1!$L:$L,[1]Sheet1!$I:$I,AJ68,[1]Sheet1!$C:$C,A68)</f>
        <v>#VALUE!</v>
      </c>
      <c r="V68" s="6"/>
      <c r="W68" s="6"/>
      <c r="X68" s="7" t="e">
        <f t="shared" si="15"/>
        <v>#VALUE!</v>
      </c>
      <c r="Y68" s="6"/>
      <c r="AJ68" s="5" t="str">
        <f t="shared" si="16"/>
        <v>NM 1040 - Personal</v>
      </c>
      <c r="AK68" s="5" t="str">
        <f t="shared" si="17"/>
        <v>NM-Tax Services-ANN-1040 - Personal_Mid</v>
      </c>
      <c r="AL68" s="5" t="str">
        <f t="shared" si="18"/>
        <v>Bass, _8746_NM 1040 - Personal</v>
      </c>
      <c r="AM68" s="5" t="str">
        <f t="shared" si="19"/>
        <v>Bass, _8746_NM-Tax Services-ANN-1040 - Personal_Mid</v>
      </c>
    </row>
    <row r="69" spans="1:39" x14ac:dyDescent="0.25">
      <c r="A69" s="2" t="s">
        <v>413</v>
      </c>
      <c r="B69" s="2" t="s">
        <v>414</v>
      </c>
      <c r="C69" s="2" t="s">
        <v>1196</v>
      </c>
      <c r="D69" s="8">
        <v>43831</v>
      </c>
      <c r="E69" s="5" t="str">
        <f t="shared" si="20"/>
        <v>Bates Investment Group LLC_01-01-20</v>
      </c>
      <c r="F69" s="2" t="s">
        <v>1199</v>
      </c>
      <c r="G69" s="2" t="s">
        <v>1241</v>
      </c>
      <c r="H69" s="2" t="s">
        <v>1220</v>
      </c>
      <c r="I69" s="2" t="s">
        <v>1221</v>
      </c>
      <c r="J69" s="2" t="s">
        <v>1234</v>
      </c>
      <c r="M69" s="5" t="str">
        <f t="shared" si="11"/>
        <v>Mid</v>
      </c>
      <c r="N69" s="5" t="str">
        <f t="shared" si="12"/>
        <v>Tax-Staff-Mid</v>
      </c>
      <c r="O69" s="5" t="str">
        <f t="shared" si="13"/>
        <v>Tax-Reviewer-Mid</v>
      </c>
      <c r="P69" s="5" t="str">
        <f t="shared" si="14"/>
        <v>Tax-Signer-Mid</v>
      </c>
      <c r="Q69" s="6">
        <v>2.7401969696969677</v>
      </c>
      <c r="R69" s="6">
        <v>0.5480393939393936</v>
      </c>
      <c r="S69" s="6">
        <v>0.2740196969696968</v>
      </c>
      <c r="T69" s="7">
        <f t="shared" si="21"/>
        <v>3.562256060606058</v>
      </c>
      <c r="U69" s="6" t="e">
        <f>SUMIFS([1]Sheet1!$L:$L,[1]Sheet1!$I:$I,AJ69,[1]Sheet1!$C:$C,A69)</f>
        <v>#VALUE!</v>
      </c>
      <c r="V69" s="6"/>
      <c r="W69" s="6"/>
      <c r="X69" s="7" t="e">
        <f t="shared" si="15"/>
        <v>#VALUE!</v>
      </c>
      <c r="Y69" s="6"/>
      <c r="AJ69" s="5" t="str">
        <f t="shared" si="16"/>
        <v>NM 1065 - Partnership</v>
      </c>
      <c r="AK69" s="5" t="str">
        <f t="shared" si="17"/>
        <v>NM-Tax Services-ANN-1065 - Partnership_Mid</v>
      </c>
      <c r="AL69" s="5" t="str">
        <f t="shared" si="18"/>
        <v>Bates In_1065_81-3270377_NM 1065 - Partnership</v>
      </c>
      <c r="AM69" s="5" t="str">
        <f t="shared" si="19"/>
        <v>Bates In_1065_81-3270377_NM-Tax Services-ANN-1065 - Partnership_Mid</v>
      </c>
    </row>
    <row r="70" spans="1:39" x14ac:dyDescent="0.25">
      <c r="A70" s="2" t="s">
        <v>237</v>
      </c>
      <c r="B70" s="2" t="s">
        <v>238</v>
      </c>
      <c r="C70" s="2" t="s">
        <v>1196</v>
      </c>
      <c r="D70" s="8">
        <v>43831</v>
      </c>
      <c r="E70" s="5" t="str">
        <f t="shared" si="20"/>
        <v>BDU Enterprises LLC_01-01-20</v>
      </c>
      <c r="F70" s="2" t="s">
        <v>1204</v>
      </c>
      <c r="G70" s="2" t="s">
        <v>1241</v>
      </c>
      <c r="H70" s="2" t="s">
        <v>1220</v>
      </c>
      <c r="I70" s="2" t="s">
        <v>1221</v>
      </c>
      <c r="J70" s="2" t="s">
        <v>1234</v>
      </c>
      <c r="M70" s="5" t="str">
        <f t="shared" si="11"/>
        <v>Mid</v>
      </c>
      <c r="N70" s="5" t="str">
        <f t="shared" si="12"/>
        <v>Tax-Staff-Mid</v>
      </c>
      <c r="O70" s="5" t="str">
        <f t="shared" si="13"/>
        <v>Tax-Reviewer-Mid</v>
      </c>
      <c r="P70" s="5" t="str">
        <f t="shared" si="14"/>
        <v>Tax-Signer-Mid</v>
      </c>
      <c r="Q70" s="6">
        <v>2.7401969696969677</v>
      </c>
      <c r="R70" s="6">
        <v>0.5480393939393936</v>
      </c>
      <c r="S70" s="6">
        <v>0.2740196969696968</v>
      </c>
      <c r="T70" s="7">
        <f t="shared" si="21"/>
        <v>3.562256060606058</v>
      </c>
      <c r="U70" s="6" t="e">
        <f>SUMIFS([1]Sheet1!$L:$L,[1]Sheet1!$I:$I,AJ70,[1]Sheet1!$C:$C,A70)</f>
        <v>#VALUE!</v>
      </c>
      <c r="V70" s="6"/>
      <c r="W70" s="6"/>
      <c r="X70" s="7" t="e">
        <f t="shared" si="15"/>
        <v>#VALUE!</v>
      </c>
      <c r="Y70" s="6"/>
      <c r="AJ70" s="5" t="str">
        <f t="shared" si="16"/>
        <v>NM 1120S - S Corporation</v>
      </c>
      <c r="AK70" s="5" t="str">
        <f t="shared" si="17"/>
        <v>NM-Tax Services-ANN-1120S - S Corporation_Mid</v>
      </c>
      <c r="AL70" s="5" t="str">
        <f t="shared" si="18"/>
        <v>BDU Ente_1120S_82-2643945_NM 1120S - S Corporation</v>
      </c>
      <c r="AM70" s="5" t="str">
        <f t="shared" si="19"/>
        <v>BDU Ente_1120S_82-2643945_NM-Tax Services-ANN-1120S - S Corporation_Mid</v>
      </c>
    </row>
    <row r="71" spans="1:39" x14ac:dyDescent="0.25">
      <c r="A71" s="2" t="s">
        <v>443</v>
      </c>
      <c r="B71" s="2" t="s">
        <v>444</v>
      </c>
      <c r="C71" s="2" t="s">
        <v>1196</v>
      </c>
      <c r="D71" s="8">
        <v>43831</v>
      </c>
      <c r="E71" s="5" t="str">
        <f t="shared" si="20"/>
        <v>Bean, Clint_01-01-20</v>
      </c>
      <c r="F71" s="2" t="s">
        <v>1203</v>
      </c>
      <c r="G71" s="2" t="s">
        <v>1241</v>
      </c>
      <c r="H71" s="2" t="s">
        <v>1220</v>
      </c>
      <c r="I71" s="2" t="s">
        <v>1221</v>
      </c>
      <c r="J71" s="2" t="s">
        <v>1234</v>
      </c>
      <c r="M71" s="5" t="str">
        <f t="shared" si="11"/>
        <v>Mid</v>
      </c>
      <c r="N71" s="5" t="str">
        <f t="shared" si="12"/>
        <v>Tax-Staff-Mid</v>
      </c>
      <c r="O71" s="5" t="str">
        <f t="shared" si="13"/>
        <v>Tax-Reviewer-Mid</v>
      </c>
      <c r="P71" s="5" t="str">
        <f t="shared" si="14"/>
        <v>Tax-Signer-Mid</v>
      </c>
      <c r="Q71" s="6">
        <v>2.7401969696969677</v>
      </c>
      <c r="R71" s="6">
        <v>0.5480393939393936</v>
      </c>
      <c r="S71" s="6">
        <v>0.2740196969696968</v>
      </c>
      <c r="T71" s="7">
        <f t="shared" si="21"/>
        <v>3.562256060606058</v>
      </c>
      <c r="U71" s="6" t="e">
        <f>SUMIFS([1]Sheet1!$L:$L,[1]Sheet1!$I:$I,AJ71,[1]Sheet1!$C:$C,A71)</f>
        <v>#VALUE!</v>
      </c>
      <c r="V71" s="6"/>
      <c r="W71" s="6"/>
      <c r="X71" s="7" t="e">
        <f t="shared" si="15"/>
        <v>#VALUE!</v>
      </c>
      <c r="Y71" s="6"/>
      <c r="AJ71" s="5" t="str">
        <f t="shared" si="16"/>
        <v>NM 1040 - Personal</v>
      </c>
      <c r="AK71" s="5" t="str">
        <f t="shared" si="17"/>
        <v>NM-Tax Services-ANN-1040 - Personal_Mid</v>
      </c>
      <c r="AL71" s="5" t="str">
        <f t="shared" si="18"/>
        <v>Bean, _2903_NM 1040 - Personal</v>
      </c>
      <c r="AM71" s="5" t="str">
        <f t="shared" si="19"/>
        <v>Bean, _2903_NM-Tax Services-ANN-1040 - Personal_Mid</v>
      </c>
    </row>
    <row r="72" spans="1:39" x14ac:dyDescent="0.25">
      <c r="A72" s="2" t="s">
        <v>445</v>
      </c>
      <c r="B72" s="2" t="s">
        <v>446</v>
      </c>
      <c r="C72" s="2" t="s">
        <v>1196</v>
      </c>
      <c r="D72" s="8">
        <v>43831</v>
      </c>
      <c r="E72" s="5" t="str">
        <f t="shared" si="20"/>
        <v>Bearden, Travis_01-01-20</v>
      </c>
      <c r="F72" s="2" t="s">
        <v>1203</v>
      </c>
      <c r="G72" s="2" t="s">
        <v>1241</v>
      </c>
      <c r="H72" s="2" t="s">
        <v>1220</v>
      </c>
      <c r="I72" s="2" t="s">
        <v>1223</v>
      </c>
      <c r="J72" s="2" t="s">
        <v>1234</v>
      </c>
      <c r="M72" s="5" t="str">
        <f t="shared" si="11"/>
        <v>Basic</v>
      </c>
      <c r="N72" s="5" t="str">
        <f t="shared" si="12"/>
        <v>Tax-Staff-Basic</v>
      </c>
      <c r="O72" s="5" t="str">
        <f t="shared" si="13"/>
        <v>Tax-Reviewer-Basic</v>
      </c>
      <c r="P72" s="5" t="str">
        <f t="shared" si="14"/>
        <v>Tax-Signer-Basic</v>
      </c>
      <c r="Q72" s="6">
        <v>1.4675000000000016</v>
      </c>
      <c r="R72" s="6">
        <v>0.29350000000000032</v>
      </c>
      <c r="S72" s="6">
        <v>0.14675000000000016</v>
      </c>
      <c r="T72" s="7">
        <f t="shared" si="21"/>
        <v>1.9077500000000021</v>
      </c>
      <c r="U72" s="6" t="e">
        <f>SUMIFS([1]Sheet1!$L:$L,[1]Sheet1!$I:$I,AJ72,[1]Sheet1!$C:$C,A72)</f>
        <v>#VALUE!</v>
      </c>
      <c r="V72" s="6"/>
      <c r="W72" s="6"/>
      <c r="X72" s="7" t="e">
        <f t="shared" si="15"/>
        <v>#VALUE!</v>
      </c>
      <c r="Y72" s="6"/>
      <c r="AJ72" s="5" t="str">
        <f t="shared" si="16"/>
        <v>NM 1040 - Personal</v>
      </c>
      <c r="AK72" s="5" t="str">
        <f t="shared" si="17"/>
        <v>NM-Tax Services-ANN-1040 - Personal_Basic</v>
      </c>
      <c r="AL72" s="5" t="str">
        <f t="shared" si="18"/>
        <v>Bearde_5676_NM 1040 - Personal</v>
      </c>
      <c r="AM72" s="5" t="str">
        <f t="shared" si="19"/>
        <v>Bearde_5676_NM-Tax Services-ANN-1040 - Personal_Basic</v>
      </c>
    </row>
    <row r="73" spans="1:39" x14ac:dyDescent="0.25">
      <c r="A73" s="2" t="s">
        <v>239</v>
      </c>
      <c r="B73" s="2" t="s">
        <v>240</v>
      </c>
      <c r="C73" s="2" t="s">
        <v>1196</v>
      </c>
      <c r="D73" s="8">
        <v>43831</v>
      </c>
      <c r="E73" s="5" t="str">
        <f t="shared" si="20"/>
        <v>Beau Beck Industries, LLC_01-01-20</v>
      </c>
      <c r="F73" s="2" t="s">
        <v>1204</v>
      </c>
      <c r="G73" s="2" t="s">
        <v>1241</v>
      </c>
      <c r="H73" s="2" t="s">
        <v>1220</v>
      </c>
      <c r="I73" s="2" t="s">
        <v>1221</v>
      </c>
      <c r="J73" s="2" t="s">
        <v>1234</v>
      </c>
      <c r="M73" s="5" t="str">
        <f t="shared" si="11"/>
        <v>Mid</v>
      </c>
      <c r="N73" s="5" t="str">
        <f t="shared" si="12"/>
        <v>Tax-Staff-Mid</v>
      </c>
      <c r="O73" s="5" t="str">
        <f t="shared" si="13"/>
        <v>Tax-Reviewer-Mid</v>
      </c>
      <c r="P73" s="5" t="str">
        <f t="shared" si="14"/>
        <v>Tax-Signer-Mid</v>
      </c>
      <c r="Q73" s="6">
        <v>2.7401969696969677</v>
      </c>
      <c r="R73" s="6">
        <v>0.5480393939393936</v>
      </c>
      <c r="S73" s="6">
        <v>0.2740196969696968</v>
      </c>
      <c r="T73" s="7">
        <f t="shared" si="21"/>
        <v>3.562256060606058</v>
      </c>
      <c r="U73" s="6" t="e">
        <f>SUMIFS([1]Sheet1!$L:$L,[1]Sheet1!$I:$I,AJ73,[1]Sheet1!$C:$C,A73)</f>
        <v>#VALUE!</v>
      </c>
      <c r="V73" s="6"/>
      <c r="W73" s="6"/>
      <c r="X73" s="7" t="e">
        <f t="shared" si="15"/>
        <v>#VALUE!</v>
      </c>
      <c r="Y73" s="6"/>
      <c r="AJ73" s="5" t="str">
        <f t="shared" si="16"/>
        <v>NM 1120S - S Corporation</v>
      </c>
      <c r="AK73" s="5" t="str">
        <f t="shared" si="17"/>
        <v>NM-Tax Services-ANN-1120S - S Corporation_Mid</v>
      </c>
      <c r="AL73" s="5" t="str">
        <f t="shared" si="18"/>
        <v>Beau Bec_1120S_47-1904930_NM 1120S - S Corporation</v>
      </c>
      <c r="AM73" s="5" t="str">
        <f t="shared" si="19"/>
        <v>Beau Bec_1120S_47-1904930_NM-Tax Services-ANN-1120S - S Corporation_Mid</v>
      </c>
    </row>
    <row r="74" spans="1:39" x14ac:dyDescent="0.25">
      <c r="A74" s="2" t="s">
        <v>447</v>
      </c>
      <c r="B74" s="2" t="s">
        <v>448</v>
      </c>
      <c r="C74" s="2" t="s">
        <v>1196</v>
      </c>
      <c r="D74" s="8">
        <v>43831</v>
      </c>
      <c r="E74" s="5" t="str">
        <f t="shared" si="20"/>
        <v>Beck, Harrison J. &amp; Rachel M._01-01-20</v>
      </c>
      <c r="F74" s="2" t="s">
        <v>1203</v>
      </c>
      <c r="G74" s="2" t="s">
        <v>1241</v>
      </c>
      <c r="H74" s="2" t="s">
        <v>1220</v>
      </c>
      <c r="I74" s="2" t="s">
        <v>1221</v>
      </c>
      <c r="J74" s="2" t="s">
        <v>1234</v>
      </c>
      <c r="M74" s="5" t="str">
        <f t="shared" si="11"/>
        <v>Mid</v>
      </c>
      <c r="N74" s="5" t="str">
        <f t="shared" si="12"/>
        <v>Tax-Staff-Mid</v>
      </c>
      <c r="O74" s="5" t="str">
        <f t="shared" si="13"/>
        <v>Tax-Reviewer-Mid</v>
      </c>
      <c r="P74" s="5" t="str">
        <f t="shared" si="14"/>
        <v>Tax-Signer-Mid</v>
      </c>
      <c r="Q74" s="6">
        <v>2.7401969696969677</v>
      </c>
      <c r="R74" s="6">
        <v>0.5480393939393936</v>
      </c>
      <c r="S74" s="6">
        <v>0.2740196969696968</v>
      </c>
      <c r="T74" s="7">
        <f t="shared" si="21"/>
        <v>3.562256060606058</v>
      </c>
      <c r="U74" s="6" t="e">
        <f>SUMIFS([1]Sheet1!$L:$L,[1]Sheet1!$I:$I,AJ74,[1]Sheet1!$C:$C,A74)</f>
        <v>#VALUE!</v>
      </c>
      <c r="V74" s="6"/>
      <c r="W74" s="6"/>
      <c r="X74" s="7" t="e">
        <f t="shared" si="15"/>
        <v>#VALUE!</v>
      </c>
      <c r="Y74" s="6"/>
      <c r="AJ74" s="5" t="str">
        <f t="shared" si="16"/>
        <v>NM 1040 - Personal</v>
      </c>
      <c r="AK74" s="5" t="str">
        <f t="shared" si="17"/>
        <v>NM-Tax Services-ANN-1040 - Personal_Mid</v>
      </c>
      <c r="AL74" s="5" t="str">
        <f t="shared" si="18"/>
        <v>Beck, _8274_NM 1040 - Personal</v>
      </c>
      <c r="AM74" s="5" t="str">
        <f t="shared" si="19"/>
        <v>Beck, _8274_NM-Tax Services-ANN-1040 - Personal_Mid</v>
      </c>
    </row>
    <row r="75" spans="1:39" x14ac:dyDescent="0.25">
      <c r="A75" s="2" t="s">
        <v>449</v>
      </c>
      <c r="B75" s="2" t="s">
        <v>450</v>
      </c>
      <c r="C75" s="2" t="s">
        <v>1196</v>
      </c>
      <c r="D75" s="8">
        <v>43831</v>
      </c>
      <c r="E75" s="5" t="str">
        <f t="shared" si="20"/>
        <v>Beckett, Matthew_01-01-20</v>
      </c>
      <c r="F75" s="2" t="s">
        <v>1203</v>
      </c>
      <c r="G75" s="2" t="s">
        <v>1241</v>
      </c>
      <c r="H75" s="2" t="s">
        <v>1220</v>
      </c>
      <c r="I75" s="2" t="s">
        <v>1221</v>
      </c>
      <c r="J75" s="2" t="s">
        <v>1234</v>
      </c>
      <c r="M75" s="5" t="str">
        <f t="shared" si="11"/>
        <v>Mid</v>
      </c>
      <c r="N75" s="5" t="str">
        <f t="shared" si="12"/>
        <v>Tax-Staff-Mid</v>
      </c>
      <c r="O75" s="5" t="str">
        <f t="shared" si="13"/>
        <v>Tax-Reviewer-Mid</v>
      </c>
      <c r="P75" s="5" t="str">
        <f t="shared" si="14"/>
        <v>Tax-Signer-Mid</v>
      </c>
      <c r="Q75" s="6">
        <v>2.7401969696969677</v>
      </c>
      <c r="R75" s="6">
        <v>0.5480393939393936</v>
      </c>
      <c r="S75" s="6">
        <v>0.2740196969696968</v>
      </c>
      <c r="T75" s="7">
        <f t="shared" si="21"/>
        <v>3.562256060606058</v>
      </c>
      <c r="U75" s="6" t="e">
        <f>SUMIFS([1]Sheet1!$L:$L,[1]Sheet1!$I:$I,AJ75,[1]Sheet1!$C:$C,A75)</f>
        <v>#VALUE!</v>
      </c>
      <c r="V75" s="6"/>
      <c r="W75" s="6"/>
      <c r="X75" s="7" t="e">
        <f t="shared" si="15"/>
        <v>#VALUE!</v>
      </c>
      <c r="Y75" s="6"/>
      <c r="AJ75" s="5" t="str">
        <f t="shared" si="16"/>
        <v>NM 1040 - Personal</v>
      </c>
      <c r="AK75" s="5" t="str">
        <f t="shared" si="17"/>
        <v>NM-Tax Services-ANN-1040 - Personal_Mid</v>
      </c>
      <c r="AL75" s="5" t="str">
        <f t="shared" si="18"/>
        <v>Becket_5012_NM 1040 - Personal</v>
      </c>
      <c r="AM75" s="5" t="str">
        <f t="shared" si="19"/>
        <v>Becket_5012_NM-Tax Services-ANN-1040 - Personal_Mid</v>
      </c>
    </row>
    <row r="76" spans="1:39" x14ac:dyDescent="0.25">
      <c r="A76" s="2" t="s">
        <v>451</v>
      </c>
      <c r="B76" s="2" t="s">
        <v>452</v>
      </c>
      <c r="C76" s="2" t="s">
        <v>1196</v>
      </c>
      <c r="D76" s="8">
        <v>43831</v>
      </c>
      <c r="E76" s="5" t="str">
        <f t="shared" si="20"/>
        <v>Bell, Harlon &amp; Pansey_01-01-20</v>
      </c>
      <c r="F76" s="2" t="s">
        <v>1203</v>
      </c>
      <c r="G76" s="2" t="s">
        <v>1241</v>
      </c>
      <c r="H76" s="2" t="s">
        <v>1220</v>
      </c>
      <c r="I76" s="2" t="s">
        <v>1223</v>
      </c>
      <c r="J76" s="2" t="s">
        <v>1234</v>
      </c>
      <c r="M76" s="5" t="str">
        <f t="shared" si="11"/>
        <v>Basic</v>
      </c>
      <c r="N76" s="5" t="str">
        <f t="shared" si="12"/>
        <v>Tax-Staff-Basic</v>
      </c>
      <c r="O76" s="5" t="str">
        <f t="shared" si="13"/>
        <v>Tax-Reviewer-Basic</v>
      </c>
      <c r="P76" s="5" t="str">
        <f t="shared" si="14"/>
        <v>Tax-Signer-Basic</v>
      </c>
      <c r="Q76" s="6">
        <v>1.4675000000000016</v>
      </c>
      <c r="R76" s="6">
        <v>0.29350000000000032</v>
      </c>
      <c r="S76" s="6">
        <v>0.14675000000000016</v>
      </c>
      <c r="T76" s="7">
        <f t="shared" si="21"/>
        <v>1.9077500000000021</v>
      </c>
      <c r="U76" s="6" t="e">
        <f>SUMIFS([1]Sheet1!$L:$L,[1]Sheet1!$I:$I,AJ76,[1]Sheet1!$C:$C,A76)</f>
        <v>#VALUE!</v>
      </c>
      <c r="V76" s="6"/>
      <c r="W76" s="6"/>
      <c r="X76" s="7" t="e">
        <f t="shared" si="15"/>
        <v>#VALUE!</v>
      </c>
      <c r="Y76" s="6"/>
      <c r="AJ76" s="5" t="str">
        <f t="shared" si="16"/>
        <v>NM 1040 - Personal</v>
      </c>
      <c r="AK76" s="5" t="str">
        <f t="shared" si="17"/>
        <v>NM-Tax Services-ANN-1040 - Personal_Basic</v>
      </c>
      <c r="AL76" s="5" t="str">
        <f t="shared" si="18"/>
        <v>Bell, _6338_NM 1040 - Personal</v>
      </c>
      <c r="AM76" s="5" t="str">
        <f t="shared" si="19"/>
        <v>Bell, _6338_NM-Tax Services-ANN-1040 - Personal_Basic</v>
      </c>
    </row>
    <row r="77" spans="1:39" x14ac:dyDescent="0.25">
      <c r="A77" s="2" t="s">
        <v>453</v>
      </c>
      <c r="B77" s="2" t="s">
        <v>454</v>
      </c>
      <c r="C77" s="2" t="s">
        <v>1196</v>
      </c>
      <c r="D77" s="8">
        <v>43831</v>
      </c>
      <c r="E77" s="5" t="str">
        <f t="shared" si="20"/>
        <v>Bellan, Rachel_01-01-20</v>
      </c>
      <c r="F77" s="2" t="s">
        <v>1203</v>
      </c>
      <c r="G77" s="2" t="s">
        <v>1241</v>
      </c>
      <c r="H77" s="2" t="s">
        <v>1220</v>
      </c>
      <c r="I77" s="2" t="s">
        <v>1221</v>
      </c>
      <c r="J77" s="2" t="s">
        <v>1234</v>
      </c>
      <c r="M77" s="5" t="str">
        <f t="shared" si="11"/>
        <v>Mid</v>
      </c>
      <c r="N77" s="5" t="str">
        <f t="shared" si="12"/>
        <v>Tax-Staff-Mid</v>
      </c>
      <c r="O77" s="5" t="str">
        <f t="shared" si="13"/>
        <v>Tax-Reviewer-Mid</v>
      </c>
      <c r="P77" s="5" t="str">
        <f t="shared" si="14"/>
        <v>Tax-Signer-Mid</v>
      </c>
      <c r="Q77" s="6">
        <v>2.7401969696969677</v>
      </c>
      <c r="R77" s="6">
        <v>0.5480393939393936</v>
      </c>
      <c r="S77" s="6">
        <v>0.2740196969696968</v>
      </c>
      <c r="T77" s="7">
        <f t="shared" si="21"/>
        <v>3.562256060606058</v>
      </c>
      <c r="U77" s="6" t="e">
        <f>SUMIFS([1]Sheet1!$L:$L,[1]Sheet1!$I:$I,AJ77,[1]Sheet1!$C:$C,A77)</f>
        <v>#VALUE!</v>
      </c>
      <c r="V77" s="6"/>
      <c r="W77" s="6"/>
      <c r="X77" s="7" t="e">
        <f t="shared" si="15"/>
        <v>#VALUE!</v>
      </c>
      <c r="Y77" s="6"/>
      <c r="AJ77" s="5" t="str">
        <f t="shared" si="16"/>
        <v>NM 1040 - Personal</v>
      </c>
      <c r="AK77" s="5" t="str">
        <f t="shared" si="17"/>
        <v>NM-Tax Services-ANN-1040 - Personal_Mid</v>
      </c>
      <c r="AL77" s="5" t="str">
        <f t="shared" si="18"/>
        <v>Bellan_1780_NM 1040 - Personal</v>
      </c>
      <c r="AM77" s="5" t="str">
        <f t="shared" si="19"/>
        <v>Bellan_1780_NM-Tax Services-ANN-1040 - Personal_Mid</v>
      </c>
    </row>
    <row r="78" spans="1:39" x14ac:dyDescent="0.25">
      <c r="A78" s="2" t="s">
        <v>1141</v>
      </c>
      <c r="B78" s="2" t="s">
        <v>1142</v>
      </c>
      <c r="C78" s="2" t="s">
        <v>1196</v>
      </c>
      <c r="D78" s="8">
        <v>43831</v>
      </c>
      <c r="E78" s="5" t="str">
        <f t="shared" si="20"/>
        <v>Belvin, Michael_01-01-20</v>
      </c>
      <c r="F78" s="2" t="s">
        <v>1203</v>
      </c>
      <c r="G78" s="2" t="s">
        <v>1241</v>
      </c>
      <c r="H78" s="2" t="s">
        <v>1220</v>
      </c>
      <c r="I78" s="2" t="s">
        <v>1221</v>
      </c>
      <c r="J78" s="2" t="s">
        <v>1234</v>
      </c>
      <c r="M78" s="5" t="str">
        <f t="shared" si="11"/>
        <v>Mid</v>
      </c>
      <c r="N78" s="5" t="str">
        <f t="shared" si="12"/>
        <v>Tax-Staff-Mid</v>
      </c>
      <c r="O78" s="5" t="str">
        <f t="shared" si="13"/>
        <v>Tax-Reviewer-Mid</v>
      </c>
      <c r="P78" s="5" t="str">
        <f t="shared" si="14"/>
        <v>Tax-Signer-Mid</v>
      </c>
      <c r="Q78" s="6">
        <v>2.7401969696969677</v>
      </c>
      <c r="R78" s="6">
        <v>0.5480393939393936</v>
      </c>
      <c r="S78" s="6">
        <v>0.2740196969696968</v>
      </c>
      <c r="T78" s="7">
        <f t="shared" si="21"/>
        <v>3.562256060606058</v>
      </c>
      <c r="U78" s="6" t="e">
        <f>SUMIFS([1]Sheet1!$L:$L,[1]Sheet1!$I:$I,AJ78,[1]Sheet1!$C:$C,A78)</f>
        <v>#VALUE!</v>
      </c>
      <c r="V78" s="6"/>
      <c r="W78" s="6"/>
      <c r="X78" s="7" t="e">
        <f t="shared" si="15"/>
        <v>#VALUE!</v>
      </c>
      <c r="Y78" s="6"/>
      <c r="AJ78" s="5" t="str">
        <f t="shared" si="16"/>
        <v>NM 1040 - Personal</v>
      </c>
      <c r="AK78" s="5" t="str">
        <f t="shared" si="17"/>
        <v>NM-Tax Services-ANN-1040 - Personal_Mid</v>
      </c>
      <c r="AL78" s="5" t="str">
        <f t="shared" si="18"/>
        <v>Belvin_5668_NM 1040 - Personal</v>
      </c>
      <c r="AM78" s="5" t="str">
        <f t="shared" si="19"/>
        <v>Belvin_5668_NM-Tax Services-ANN-1040 - Personal_Mid</v>
      </c>
    </row>
    <row r="79" spans="1:39" x14ac:dyDescent="0.25">
      <c r="A79" s="2" t="s">
        <v>455</v>
      </c>
      <c r="B79" s="2" t="s">
        <v>456</v>
      </c>
      <c r="C79" s="2" t="s">
        <v>1196</v>
      </c>
      <c r="D79" s="8">
        <v>43831</v>
      </c>
      <c r="E79" s="5" t="str">
        <f t="shared" si="20"/>
        <v>Bender, Stephen A &amp; Rachael_01-01-20</v>
      </c>
      <c r="F79" s="2" t="s">
        <v>1203</v>
      </c>
      <c r="G79" s="2" t="s">
        <v>1241</v>
      </c>
      <c r="H79" s="2" t="s">
        <v>1220</v>
      </c>
      <c r="I79" s="2" t="s">
        <v>1223</v>
      </c>
      <c r="J79" s="2" t="s">
        <v>1234</v>
      </c>
      <c r="M79" s="5" t="str">
        <f t="shared" si="11"/>
        <v>Basic</v>
      </c>
      <c r="N79" s="5" t="str">
        <f t="shared" si="12"/>
        <v>Tax-Staff-Basic</v>
      </c>
      <c r="O79" s="5" t="str">
        <f t="shared" si="13"/>
        <v>Tax-Reviewer-Basic</v>
      </c>
      <c r="P79" s="5" t="str">
        <f t="shared" si="14"/>
        <v>Tax-Signer-Basic</v>
      </c>
      <c r="Q79" s="6">
        <v>1.4675000000000016</v>
      </c>
      <c r="R79" s="6">
        <v>0.29350000000000032</v>
      </c>
      <c r="S79" s="6">
        <v>0.14675000000000016</v>
      </c>
      <c r="T79" s="7">
        <f t="shared" si="21"/>
        <v>1.9077500000000021</v>
      </c>
      <c r="U79" s="6" t="e">
        <f>SUMIFS([1]Sheet1!$L:$L,[1]Sheet1!$I:$I,AJ79,[1]Sheet1!$C:$C,A79)</f>
        <v>#VALUE!</v>
      </c>
      <c r="V79" s="6"/>
      <c r="W79" s="6"/>
      <c r="X79" s="7" t="e">
        <f t="shared" si="15"/>
        <v>#VALUE!</v>
      </c>
      <c r="Y79" s="6"/>
      <c r="AJ79" s="5" t="str">
        <f t="shared" si="16"/>
        <v>NM 1040 - Personal</v>
      </c>
      <c r="AK79" s="5" t="str">
        <f t="shared" si="17"/>
        <v>NM-Tax Services-ANN-1040 - Personal_Basic</v>
      </c>
      <c r="AL79" s="5" t="str">
        <f t="shared" si="18"/>
        <v>Bender_7060_NM 1040 - Personal</v>
      </c>
      <c r="AM79" s="5" t="str">
        <f t="shared" si="19"/>
        <v>Bender_7060_NM-Tax Services-ANN-1040 - Personal_Basic</v>
      </c>
    </row>
    <row r="80" spans="1:39" x14ac:dyDescent="0.25">
      <c r="A80" s="2" t="s">
        <v>457</v>
      </c>
      <c r="B80" s="2" t="s">
        <v>458</v>
      </c>
      <c r="C80" s="2" t="s">
        <v>1196</v>
      </c>
      <c r="D80" s="8">
        <v>43831</v>
      </c>
      <c r="E80" s="5" t="str">
        <f t="shared" si="20"/>
        <v>Bennett, William B &amp; Tina J_01-01-20</v>
      </c>
      <c r="F80" s="2" t="s">
        <v>1203</v>
      </c>
      <c r="G80" s="2" t="s">
        <v>1241</v>
      </c>
      <c r="H80" s="2" t="s">
        <v>1220</v>
      </c>
      <c r="I80" s="2" t="s">
        <v>1222</v>
      </c>
      <c r="J80" s="2" t="s">
        <v>1234</v>
      </c>
      <c r="M80" s="5" t="str">
        <f t="shared" si="11"/>
        <v>Adv</v>
      </c>
      <c r="N80" s="5" t="str">
        <f t="shared" si="12"/>
        <v>Tax-Staff-Adv</v>
      </c>
      <c r="O80" s="5" t="str">
        <f t="shared" si="13"/>
        <v>Tax-Reviewer-Adv</v>
      </c>
      <c r="P80" s="5" t="str">
        <f t="shared" si="14"/>
        <v>Tax-Signer-Adv</v>
      </c>
      <c r="Q80" s="6">
        <v>4.5832500000000005</v>
      </c>
      <c r="R80" s="6">
        <v>0.91665000000000019</v>
      </c>
      <c r="S80" s="6">
        <v>0.45832500000000009</v>
      </c>
      <c r="T80" s="7">
        <f t="shared" si="21"/>
        <v>5.9582250000000005</v>
      </c>
      <c r="U80" s="6" t="e">
        <f>SUMIFS([1]Sheet1!$L:$L,[1]Sheet1!$I:$I,AJ80,[1]Sheet1!$C:$C,A80)</f>
        <v>#VALUE!</v>
      </c>
      <c r="V80" s="6"/>
      <c r="W80" s="6"/>
      <c r="X80" s="7" t="e">
        <f t="shared" si="15"/>
        <v>#VALUE!</v>
      </c>
      <c r="Y80" s="6"/>
      <c r="AJ80" s="5" t="str">
        <f t="shared" si="16"/>
        <v>NM 1040 - Personal</v>
      </c>
      <c r="AK80" s="5" t="str">
        <f t="shared" si="17"/>
        <v>NM-Tax Services-ANN-1040 - Personal_Adv</v>
      </c>
      <c r="AL80" s="5" t="str">
        <f t="shared" si="18"/>
        <v>Bennet_9678_NM 1040 - Personal</v>
      </c>
      <c r="AM80" s="5" t="str">
        <f t="shared" si="19"/>
        <v>Bennet_9678_NM-Tax Services-ANN-1040 - Personal_Adv</v>
      </c>
    </row>
    <row r="81" spans="1:39" x14ac:dyDescent="0.25">
      <c r="A81" s="2" t="s">
        <v>241</v>
      </c>
      <c r="B81" s="2" t="s">
        <v>242</v>
      </c>
      <c r="C81" s="2" t="s">
        <v>1196</v>
      </c>
      <c r="D81" s="8">
        <v>43831</v>
      </c>
      <c r="E81" s="5" t="str">
        <f t="shared" si="20"/>
        <v>Bernard J Gotway, PHD, PC_01-01-20</v>
      </c>
      <c r="F81" s="2" t="s">
        <v>1204</v>
      </c>
      <c r="G81" s="2" t="s">
        <v>1241</v>
      </c>
      <c r="H81" s="2" t="s">
        <v>1220</v>
      </c>
      <c r="I81" s="2" t="s">
        <v>1223</v>
      </c>
      <c r="J81" s="2" t="s">
        <v>1234</v>
      </c>
      <c r="M81" s="5" t="str">
        <f t="shared" si="11"/>
        <v>Basic</v>
      </c>
      <c r="N81" s="5" t="str">
        <f t="shared" si="12"/>
        <v>Tax-Staff-Basic</v>
      </c>
      <c r="O81" s="5" t="str">
        <f t="shared" si="13"/>
        <v>Tax-Reviewer-Basic</v>
      </c>
      <c r="P81" s="5" t="str">
        <f t="shared" si="14"/>
        <v>Tax-Signer-Basic</v>
      </c>
      <c r="Q81" s="6">
        <v>1.4675000000000016</v>
      </c>
      <c r="R81" s="6">
        <v>0.29350000000000032</v>
      </c>
      <c r="S81" s="6">
        <v>0.14675000000000016</v>
      </c>
      <c r="T81" s="7">
        <f t="shared" si="21"/>
        <v>1.9077500000000021</v>
      </c>
      <c r="U81" s="6" t="e">
        <f>SUMIFS([1]Sheet1!$L:$L,[1]Sheet1!$I:$I,AJ81,[1]Sheet1!$C:$C,A81)</f>
        <v>#VALUE!</v>
      </c>
      <c r="V81" s="6"/>
      <c r="W81" s="6"/>
      <c r="X81" s="7" t="e">
        <f t="shared" si="15"/>
        <v>#VALUE!</v>
      </c>
      <c r="Y81" s="6"/>
      <c r="AJ81" s="5" t="str">
        <f t="shared" si="16"/>
        <v>NM 1120S - S Corporation</v>
      </c>
      <c r="AK81" s="5" t="str">
        <f t="shared" si="17"/>
        <v>NM-Tax Services-ANN-1120S - S Corporation_Basic</v>
      </c>
      <c r="AL81" s="5" t="str">
        <f t="shared" si="18"/>
        <v>Bernard _1120S_80-0728971_NM 1120S - S Corporation</v>
      </c>
      <c r="AM81" s="5" t="str">
        <f t="shared" si="19"/>
        <v>Bernard _1120S_80-0728971_NM-Tax Services-ANN-1120S - S Corporation_Basic</v>
      </c>
    </row>
    <row r="82" spans="1:39" x14ac:dyDescent="0.25">
      <c r="A82" s="2" t="s">
        <v>189</v>
      </c>
      <c r="B82" s="2" t="s">
        <v>190</v>
      </c>
      <c r="C82" s="2" t="s">
        <v>1196</v>
      </c>
      <c r="D82" s="8">
        <v>43831</v>
      </c>
      <c r="E82" s="5" t="str">
        <f t="shared" si="20"/>
        <v>BetaBlocks Company_01-01-20</v>
      </c>
      <c r="F82" s="2" t="s">
        <v>1206</v>
      </c>
      <c r="G82" s="2" t="s">
        <v>1241</v>
      </c>
      <c r="H82" s="2" t="s">
        <v>1220</v>
      </c>
      <c r="I82" s="2" t="s">
        <v>1221</v>
      </c>
      <c r="J82" s="2" t="s">
        <v>1234</v>
      </c>
      <c r="M82" s="5" t="str">
        <f t="shared" si="11"/>
        <v>Mid</v>
      </c>
      <c r="N82" s="5" t="str">
        <f t="shared" si="12"/>
        <v>Tax-Staff-Mid</v>
      </c>
      <c r="O82" s="5" t="str">
        <f t="shared" si="13"/>
        <v>Tax-Reviewer-Mid</v>
      </c>
      <c r="P82" s="5" t="str">
        <f t="shared" si="14"/>
        <v>Tax-Signer-Mid</v>
      </c>
      <c r="Q82" s="6">
        <v>2.7401969696969677</v>
      </c>
      <c r="R82" s="6">
        <v>0.5480393939393936</v>
      </c>
      <c r="S82" s="6">
        <v>0.2740196969696968</v>
      </c>
      <c r="T82" s="7">
        <f t="shared" si="21"/>
        <v>3.562256060606058</v>
      </c>
      <c r="U82" s="6" t="e">
        <f>SUMIFS([1]Sheet1!$L:$L,[1]Sheet1!$I:$I,AJ82,[1]Sheet1!$C:$C,A82)</f>
        <v>#VALUE!</v>
      </c>
      <c r="V82" s="6"/>
      <c r="W82" s="6"/>
      <c r="X82" s="7" t="e">
        <f t="shared" si="15"/>
        <v>#VALUE!</v>
      </c>
      <c r="Y82" s="6"/>
      <c r="AJ82" s="5" t="str">
        <f t="shared" si="16"/>
        <v>NM 1120 - C Corporation</v>
      </c>
      <c r="AK82" s="5" t="str">
        <f t="shared" si="17"/>
        <v>NM-Tax Services-ANN-1120 - C Corporation_Mid</v>
      </c>
      <c r="AL82" s="5" t="str">
        <f t="shared" si="18"/>
        <v>BetaBloc_1120C_82-5257663_NM 1120 - C Corporation</v>
      </c>
      <c r="AM82" s="5" t="str">
        <f t="shared" si="19"/>
        <v>BetaBloc_1120C_82-5257663_NM-Tax Services-ANN-1120 - C Corporation_Mid</v>
      </c>
    </row>
    <row r="83" spans="1:39" x14ac:dyDescent="0.25">
      <c r="A83" s="2" t="s">
        <v>459</v>
      </c>
      <c r="B83" s="2" t="s">
        <v>460</v>
      </c>
      <c r="C83" s="2" t="s">
        <v>1196</v>
      </c>
      <c r="D83" s="8">
        <v>43831</v>
      </c>
      <c r="E83" s="5" t="str">
        <f t="shared" si="20"/>
        <v>Bingham, William_01-01-20</v>
      </c>
      <c r="F83" s="2" t="s">
        <v>1203</v>
      </c>
      <c r="G83" s="2" t="s">
        <v>1241</v>
      </c>
      <c r="H83" s="2" t="s">
        <v>1220</v>
      </c>
      <c r="I83" s="2" t="s">
        <v>1223</v>
      </c>
      <c r="J83" s="2" t="s">
        <v>1234</v>
      </c>
      <c r="M83" s="5" t="str">
        <f t="shared" si="11"/>
        <v>Basic</v>
      </c>
      <c r="N83" s="5" t="str">
        <f t="shared" si="12"/>
        <v>Tax-Staff-Basic</v>
      </c>
      <c r="O83" s="5" t="str">
        <f t="shared" si="13"/>
        <v>Tax-Reviewer-Basic</v>
      </c>
      <c r="P83" s="5" t="str">
        <f t="shared" si="14"/>
        <v>Tax-Signer-Basic</v>
      </c>
      <c r="Q83" s="6">
        <v>1.4675000000000016</v>
      </c>
      <c r="R83" s="6">
        <v>0.29350000000000032</v>
      </c>
      <c r="S83" s="6">
        <v>0.14675000000000016</v>
      </c>
      <c r="T83" s="7">
        <f t="shared" si="21"/>
        <v>1.9077500000000021</v>
      </c>
      <c r="U83" s="6" t="e">
        <f>SUMIFS([1]Sheet1!$L:$L,[1]Sheet1!$I:$I,AJ83,[1]Sheet1!$C:$C,A83)</f>
        <v>#VALUE!</v>
      </c>
      <c r="V83" s="6"/>
      <c r="W83" s="6"/>
      <c r="X83" s="7" t="e">
        <f t="shared" si="15"/>
        <v>#VALUE!</v>
      </c>
      <c r="Y83" s="6"/>
      <c r="AJ83" s="5" t="str">
        <f t="shared" si="16"/>
        <v>NM 1040 - Personal</v>
      </c>
      <c r="AK83" s="5" t="str">
        <f t="shared" si="17"/>
        <v>NM-Tax Services-ANN-1040 - Personal_Basic</v>
      </c>
      <c r="AL83" s="5" t="str">
        <f t="shared" si="18"/>
        <v>Bingha_7691_NM 1040 - Personal</v>
      </c>
      <c r="AM83" s="5" t="str">
        <f t="shared" si="19"/>
        <v>Bingha_7691_NM-Tax Services-ANN-1040 - Personal_Basic</v>
      </c>
    </row>
    <row r="84" spans="1:39" x14ac:dyDescent="0.25">
      <c r="A84" s="2" t="s">
        <v>243</v>
      </c>
      <c r="B84" s="2" t="s">
        <v>244</v>
      </c>
      <c r="C84" s="2" t="s">
        <v>1196</v>
      </c>
      <c r="D84" s="8">
        <v>43831</v>
      </c>
      <c r="E84" s="5" t="str">
        <f t="shared" si="20"/>
        <v>Bingmed LLC_01-01-20</v>
      </c>
      <c r="F84" s="2" t="s">
        <v>1204</v>
      </c>
      <c r="G84" s="2" t="s">
        <v>1241</v>
      </c>
      <c r="H84" s="2" t="s">
        <v>1220</v>
      </c>
      <c r="I84" s="2" t="s">
        <v>1223</v>
      </c>
      <c r="J84" s="2" t="s">
        <v>1234</v>
      </c>
      <c r="M84" s="5" t="str">
        <f t="shared" si="11"/>
        <v>Basic</v>
      </c>
      <c r="N84" s="5" t="str">
        <f t="shared" si="12"/>
        <v>Tax-Staff-Basic</v>
      </c>
      <c r="O84" s="5" t="str">
        <f t="shared" si="13"/>
        <v>Tax-Reviewer-Basic</v>
      </c>
      <c r="P84" s="5" t="str">
        <f t="shared" si="14"/>
        <v>Tax-Signer-Basic</v>
      </c>
      <c r="Q84" s="6">
        <v>1.4675000000000016</v>
      </c>
      <c r="R84" s="6">
        <v>0.29350000000000032</v>
      </c>
      <c r="S84" s="6">
        <v>0.14675000000000016</v>
      </c>
      <c r="T84" s="7">
        <f t="shared" si="21"/>
        <v>1.9077500000000021</v>
      </c>
      <c r="U84" s="6" t="e">
        <f>SUMIFS([1]Sheet1!$L:$L,[1]Sheet1!$I:$I,AJ84,[1]Sheet1!$C:$C,A84)</f>
        <v>#VALUE!</v>
      </c>
      <c r="V84" s="6"/>
      <c r="W84" s="6"/>
      <c r="X84" s="7" t="e">
        <f t="shared" si="15"/>
        <v>#VALUE!</v>
      </c>
      <c r="Y84" s="6"/>
      <c r="AJ84" s="5" t="str">
        <f t="shared" si="16"/>
        <v>NM 1120S - S Corporation</v>
      </c>
      <c r="AK84" s="5" t="str">
        <f t="shared" si="17"/>
        <v>NM-Tax Services-ANN-1120S - S Corporation_Basic</v>
      </c>
      <c r="AL84" s="5" t="str">
        <f t="shared" si="18"/>
        <v>Bingmed _1120S_27-2089283_NM 1120S - S Corporation</v>
      </c>
      <c r="AM84" s="5" t="str">
        <f t="shared" si="19"/>
        <v>Bingmed _1120S_27-2089283_NM-Tax Services-ANN-1120S - S Corporation_Basic</v>
      </c>
    </row>
    <row r="85" spans="1:39" x14ac:dyDescent="0.25">
      <c r="A85" s="2" t="s">
        <v>243</v>
      </c>
      <c r="B85" s="2" t="s">
        <v>244</v>
      </c>
      <c r="C85" s="2" t="s">
        <v>1197</v>
      </c>
      <c r="D85" s="8">
        <v>43831</v>
      </c>
      <c r="E85" s="5" t="str">
        <f t="shared" si="20"/>
        <v>Bingmed LLC_01-01-20</v>
      </c>
      <c r="F85" s="2" t="s">
        <v>1200</v>
      </c>
      <c r="G85" s="2" t="s">
        <v>1241</v>
      </c>
      <c r="H85" s="2" t="s">
        <v>1220</v>
      </c>
      <c r="I85" s="2" t="s">
        <v>1223</v>
      </c>
      <c r="J85" s="2" t="s">
        <v>1234</v>
      </c>
      <c r="M85" s="5" t="str">
        <f t="shared" si="11"/>
        <v>Basic</v>
      </c>
      <c r="N85" s="5" t="str">
        <f t="shared" si="12"/>
        <v>Tax-Staff-Basic</v>
      </c>
      <c r="O85" s="5" t="str">
        <f t="shared" si="13"/>
        <v>Tax-Reviewer-Basic</v>
      </c>
      <c r="P85" s="5" t="str">
        <f t="shared" si="14"/>
        <v>Tax-Signer-Basic</v>
      </c>
      <c r="Q85" s="6">
        <v>0.5</v>
      </c>
      <c r="R85" s="6">
        <v>0.1</v>
      </c>
      <c r="S85" s="6">
        <v>0.05</v>
      </c>
      <c r="T85" s="7">
        <f t="shared" si="21"/>
        <v>0.65</v>
      </c>
      <c r="U85" s="6" t="e">
        <f>SUMIFS([1]Sheet1!$L:$L,[1]Sheet1!$I:$I,AJ85,[1]Sheet1!$C:$C,A85)</f>
        <v>#VALUE!</v>
      </c>
      <c r="V85" s="6"/>
      <c r="W85" s="6"/>
      <c r="X85" s="7" t="e">
        <f t="shared" si="15"/>
        <v>#VALUE!</v>
      </c>
      <c r="Y85" s="6"/>
      <c r="AJ85" s="5" t="str">
        <f t="shared" si="16"/>
        <v>MO Texas Franchise Tax Return</v>
      </c>
      <c r="AK85" s="5" t="str">
        <f t="shared" si="17"/>
        <v>MO-Tax Services-ANN-Texas Franchise Tax Return_Basic</v>
      </c>
      <c r="AL85" s="5" t="str">
        <f t="shared" si="18"/>
        <v>Bingmed _1120S_27-2089283_MO Texas Franchise Tax Return</v>
      </c>
      <c r="AM85" s="5" t="str">
        <f t="shared" si="19"/>
        <v>Bingmed _1120S_27-2089283_MO-Tax Services-ANN-Texas Franchise Tax Return_Basic</v>
      </c>
    </row>
    <row r="86" spans="1:39" x14ac:dyDescent="0.25">
      <c r="A86" s="2" t="s">
        <v>1077</v>
      </c>
      <c r="B86" s="2" t="s">
        <v>1078</v>
      </c>
      <c r="C86" s="2" t="s">
        <v>1196</v>
      </c>
      <c r="D86" s="8">
        <v>43831</v>
      </c>
      <c r="E86" s="5" t="str">
        <f t="shared" si="20"/>
        <v>BitFavors LLC_01-01-20</v>
      </c>
      <c r="F86" s="2" t="s">
        <v>1199</v>
      </c>
      <c r="G86" s="2" t="s">
        <v>1241</v>
      </c>
      <c r="H86" s="2" t="s">
        <v>1220</v>
      </c>
      <c r="I86" s="2" t="s">
        <v>1223</v>
      </c>
      <c r="J86" s="2" t="s">
        <v>1234</v>
      </c>
      <c r="M86" s="5" t="str">
        <f t="shared" si="11"/>
        <v>Basic</v>
      </c>
      <c r="N86" s="5" t="str">
        <f t="shared" si="12"/>
        <v>Tax-Staff-Basic</v>
      </c>
      <c r="O86" s="5" t="str">
        <f t="shared" si="13"/>
        <v>Tax-Reviewer-Basic</v>
      </c>
      <c r="P86" s="5" t="str">
        <f t="shared" si="14"/>
        <v>Tax-Signer-Basic</v>
      </c>
      <c r="Q86" s="6">
        <v>1.4675000000000016</v>
      </c>
      <c r="R86" s="6">
        <v>0.29350000000000032</v>
      </c>
      <c r="S86" s="6">
        <v>0.14675000000000016</v>
      </c>
      <c r="T86" s="7">
        <f t="shared" si="21"/>
        <v>1.9077500000000021</v>
      </c>
      <c r="U86" s="6" t="e">
        <f>SUMIFS([1]Sheet1!$L:$L,[1]Sheet1!$I:$I,AJ86,[1]Sheet1!$C:$C,A86)</f>
        <v>#VALUE!</v>
      </c>
      <c r="V86" s="6"/>
      <c r="W86" s="6"/>
      <c r="X86" s="7" t="e">
        <f t="shared" si="15"/>
        <v>#VALUE!</v>
      </c>
      <c r="Y86" s="6"/>
      <c r="AJ86" s="5" t="str">
        <f t="shared" si="16"/>
        <v>NM 1065 - Partnership</v>
      </c>
      <c r="AK86" s="5" t="str">
        <f t="shared" si="17"/>
        <v>NM-Tax Services-ANN-1065 - Partnership_Basic</v>
      </c>
      <c r="AL86" s="5" t="str">
        <f t="shared" si="18"/>
        <v>BitFavor_1065_8858_NM 1065 - Partnership</v>
      </c>
      <c r="AM86" s="5" t="str">
        <f t="shared" si="19"/>
        <v>BitFavor_1065_8858_NM-Tax Services-ANN-1065 - Partnership_Basic</v>
      </c>
    </row>
    <row r="87" spans="1:39" x14ac:dyDescent="0.25">
      <c r="A87" s="2" t="s">
        <v>1077</v>
      </c>
      <c r="B87" s="2" t="s">
        <v>1078</v>
      </c>
      <c r="C87" s="2" t="s">
        <v>1197</v>
      </c>
      <c r="D87" s="8">
        <v>43831</v>
      </c>
      <c r="E87" s="5" t="str">
        <f t="shared" si="20"/>
        <v>BitFavors LLC_01-01-20</v>
      </c>
      <c r="F87" s="2" t="s">
        <v>1199</v>
      </c>
      <c r="G87" s="2" t="s">
        <v>1241</v>
      </c>
      <c r="H87" s="2" t="s">
        <v>1220</v>
      </c>
      <c r="I87" s="2" t="s">
        <v>1223</v>
      </c>
      <c r="J87" s="2" t="s">
        <v>1234</v>
      </c>
      <c r="M87" s="5" t="str">
        <f t="shared" si="11"/>
        <v>Basic</v>
      </c>
      <c r="N87" s="5" t="str">
        <f t="shared" si="12"/>
        <v>Tax-Staff-Basic</v>
      </c>
      <c r="O87" s="5" t="str">
        <f t="shared" si="13"/>
        <v>Tax-Reviewer-Basic</v>
      </c>
      <c r="P87" s="5" t="str">
        <f t="shared" si="14"/>
        <v>Tax-Signer-Basic</v>
      </c>
      <c r="Q87" s="6">
        <v>1.4675000000000016</v>
      </c>
      <c r="R87" s="6">
        <v>0.29350000000000032</v>
      </c>
      <c r="S87" s="6">
        <v>0.14675000000000016</v>
      </c>
      <c r="T87" s="7">
        <f t="shared" si="21"/>
        <v>1.9077500000000021</v>
      </c>
      <c r="U87" s="6" t="e">
        <f>SUMIFS([1]Sheet1!$L:$L,[1]Sheet1!$I:$I,AJ87,[1]Sheet1!$C:$C,A87)</f>
        <v>#VALUE!</v>
      </c>
      <c r="V87" s="6"/>
      <c r="W87" s="6"/>
      <c r="X87" s="7" t="e">
        <f t="shared" si="15"/>
        <v>#VALUE!</v>
      </c>
      <c r="Y87" s="6"/>
      <c r="AJ87" s="5" t="str">
        <f t="shared" si="16"/>
        <v>MO 1065 - Partnership</v>
      </c>
      <c r="AK87" s="5" t="str">
        <f t="shared" si="17"/>
        <v>MO-Tax Services-ANN-1065 - Partnership_Basic</v>
      </c>
      <c r="AL87" s="5" t="str">
        <f t="shared" si="18"/>
        <v>BitFavor_1065_8858_MO 1065 - Partnership</v>
      </c>
      <c r="AM87" s="5" t="str">
        <f t="shared" si="19"/>
        <v>BitFavor_1065_8858_MO-Tax Services-ANN-1065 - Partnership_Basic</v>
      </c>
    </row>
    <row r="88" spans="1:39" x14ac:dyDescent="0.25">
      <c r="A88" s="2" t="s">
        <v>1113</v>
      </c>
      <c r="B88" s="2" t="s">
        <v>1114</v>
      </c>
      <c r="C88" s="2" t="s">
        <v>1197</v>
      </c>
      <c r="D88" s="8">
        <v>43831</v>
      </c>
      <c r="E88" s="5" t="str">
        <f t="shared" si="20"/>
        <v>Blair, Ian B_01-01-20</v>
      </c>
      <c r="F88" s="2" t="s">
        <v>1203</v>
      </c>
      <c r="G88" s="2" t="s">
        <v>1241</v>
      </c>
      <c r="H88" s="2" t="s">
        <v>1220</v>
      </c>
      <c r="I88" s="2" t="s">
        <v>1222</v>
      </c>
      <c r="J88" s="2" t="s">
        <v>1234</v>
      </c>
      <c r="M88" s="5" t="str">
        <f t="shared" si="11"/>
        <v>Adv</v>
      </c>
      <c r="N88" s="5" t="str">
        <f t="shared" si="12"/>
        <v>Tax-Staff-Adv</v>
      </c>
      <c r="O88" s="5" t="str">
        <f t="shared" si="13"/>
        <v>Tax-Reviewer-Adv</v>
      </c>
      <c r="P88" s="5" t="str">
        <f t="shared" si="14"/>
        <v>Tax-Signer-Adv</v>
      </c>
      <c r="Q88" s="6">
        <v>4.5832500000000005</v>
      </c>
      <c r="R88" s="6">
        <v>0.91665000000000019</v>
      </c>
      <c r="S88" s="6">
        <v>0.45832500000000009</v>
      </c>
      <c r="T88" s="7">
        <f t="shared" si="21"/>
        <v>5.9582250000000005</v>
      </c>
      <c r="U88" s="6" t="e">
        <f>SUMIFS([1]Sheet1!$L:$L,[1]Sheet1!$I:$I,AJ88,[1]Sheet1!$C:$C,A88)</f>
        <v>#VALUE!</v>
      </c>
      <c r="V88" s="6"/>
      <c r="W88" s="6"/>
      <c r="X88" s="7" t="e">
        <f t="shared" si="15"/>
        <v>#VALUE!</v>
      </c>
      <c r="Y88" s="6"/>
      <c r="AJ88" s="5" t="str">
        <f t="shared" si="16"/>
        <v>MO 1040 - Personal</v>
      </c>
      <c r="AK88" s="5" t="str">
        <f t="shared" si="17"/>
        <v>MO-Tax Services-ANN-1040 - Personal_Adv</v>
      </c>
      <c r="AL88" s="5" t="str">
        <f t="shared" si="18"/>
        <v>Blair,_3261_MO 1040 - Personal</v>
      </c>
      <c r="AM88" s="5" t="str">
        <f t="shared" si="19"/>
        <v>Blair,_3261_MO-Tax Services-ANN-1040 - Personal_Adv</v>
      </c>
    </row>
    <row r="89" spans="1:39" x14ac:dyDescent="0.25">
      <c r="A89" s="2" t="s">
        <v>461</v>
      </c>
      <c r="B89" s="2" t="s">
        <v>462</v>
      </c>
      <c r="C89" s="2" t="s">
        <v>1196</v>
      </c>
      <c r="D89" s="8">
        <v>43831</v>
      </c>
      <c r="E89" s="5" t="str">
        <f t="shared" si="20"/>
        <v>Blanchard, Taylor_01-01-20</v>
      </c>
      <c r="F89" s="2" t="s">
        <v>1203</v>
      </c>
      <c r="G89" s="2" t="s">
        <v>1241</v>
      </c>
      <c r="H89" s="2" t="s">
        <v>1220</v>
      </c>
      <c r="I89" s="2" t="s">
        <v>1223</v>
      </c>
      <c r="J89" s="2" t="s">
        <v>1234</v>
      </c>
      <c r="M89" s="5" t="str">
        <f t="shared" si="11"/>
        <v>Basic</v>
      </c>
      <c r="N89" s="5" t="str">
        <f t="shared" si="12"/>
        <v>Tax-Staff-Basic</v>
      </c>
      <c r="O89" s="5" t="str">
        <f t="shared" si="13"/>
        <v>Tax-Reviewer-Basic</v>
      </c>
      <c r="P89" s="5" t="str">
        <f t="shared" si="14"/>
        <v>Tax-Signer-Basic</v>
      </c>
      <c r="Q89" s="6">
        <v>1.4675000000000016</v>
      </c>
      <c r="R89" s="6">
        <v>0.29350000000000032</v>
      </c>
      <c r="S89" s="6">
        <v>0.14675000000000016</v>
      </c>
      <c r="T89" s="7">
        <f t="shared" si="21"/>
        <v>1.9077500000000021</v>
      </c>
      <c r="U89" s="6" t="e">
        <f>SUMIFS([1]Sheet1!$L:$L,[1]Sheet1!$I:$I,AJ89,[1]Sheet1!$C:$C,A89)</f>
        <v>#VALUE!</v>
      </c>
      <c r="V89" s="6"/>
      <c r="W89" s="6"/>
      <c r="X89" s="7" t="e">
        <f t="shared" si="15"/>
        <v>#VALUE!</v>
      </c>
      <c r="Y89" s="6"/>
      <c r="AJ89" s="5" t="str">
        <f t="shared" si="16"/>
        <v>NM 1040 - Personal</v>
      </c>
      <c r="AK89" s="5" t="str">
        <f t="shared" si="17"/>
        <v>NM-Tax Services-ANN-1040 - Personal_Basic</v>
      </c>
      <c r="AL89" s="5" t="str">
        <f t="shared" si="18"/>
        <v>Blanch_7405_NM 1040 - Personal</v>
      </c>
      <c r="AM89" s="5" t="str">
        <f t="shared" si="19"/>
        <v>Blanch_7405_NM-Tax Services-ANN-1040 - Personal_Basic</v>
      </c>
    </row>
    <row r="90" spans="1:39" x14ac:dyDescent="0.25">
      <c r="A90" s="2" t="s">
        <v>23</v>
      </c>
      <c r="B90" s="2" t="s">
        <v>24</v>
      </c>
      <c r="C90" s="2" t="s">
        <v>1197</v>
      </c>
      <c r="D90" s="8">
        <v>43831</v>
      </c>
      <c r="E90" s="5" t="str">
        <f t="shared" si="20"/>
        <v>Bliss Pet Resort, LLC_01-01-20</v>
      </c>
      <c r="F90" s="2" t="s">
        <v>1204</v>
      </c>
      <c r="G90" s="2" t="s">
        <v>1241</v>
      </c>
      <c r="H90" s="2" t="s">
        <v>1220</v>
      </c>
      <c r="I90" s="2" t="s">
        <v>1221</v>
      </c>
      <c r="J90" s="2" t="s">
        <v>1234</v>
      </c>
      <c r="M90" s="5" t="str">
        <f t="shared" si="11"/>
        <v>Mid</v>
      </c>
      <c r="N90" s="5" t="str">
        <f t="shared" si="12"/>
        <v>Tax-Staff-Mid</v>
      </c>
      <c r="O90" s="5" t="str">
        <f t="shared" si="13"/>
        <v>Tax-Reviewer-Mid</v>
      </c>
      <c r="P90" s="5" t="str">
        <f t="shared" si="14"/>
        <v>Tax-Signer-Mid</v>
      </c>
      <c r="Q90" s="6">
        <v>2.7401969696969677</v>
      </c>
      <c r="R90" s="6">
        <v>0.5480393939393936</v>
      </c>
      <c r="S90" s="6">
        <v>0.2740196969696968</v>
      </c>
      <c r="T90" s="7">
        <f t="shared" si="21"/>
        <v>3.562256060606058</v>
      </c>
      <c r="U90" s="6" t="e">
        <f>SUMIFS([1]Sheet1!$L:$L,[1]Sheet1!$I:$I,AJ90,[1]Sheet1!$C:$C,A90)</f>
        <v>#VALUE!</v>
      </c>
      <c r="V90" s="6"/>
      <c r="W90" s="6"/>
      <c r="X90" s="7" t="e">
        <f t="shared" si="15"/>
        <v>#VALUE!</v>
      </c>
      <c r="Y90" s="6"/>
      <c r="AJ90" s="5" t="str">
        <f t="shared" si="16"/>
        <v>MO 1120S - S Corporation</v>
      </c>
      <c r="AK90" s="5" t="str">
        <f t="shared" si="17"/>
        <v>MO-Tax Services-ANN-1120S - S Corporation_Mid</v>
      </c>
      <c r="AL90" s="5" t="str">
        <f t="shared" si="18"/>
        <v>Bliss Pe_1120S_46-1539381_MO 1120S - S Corporation</v>
      </c>
      <c r="AM90" s="5" t="str">
        <f t="shared" si="19"/>
        <v>Bliss Pe_1120S_46-1539381_MO-Tax Services-ANN-1120S - S Corporation_Mid</v>
      </c>
    </row>
    <row r="91" spans="1:39" x14ac:dyDescent="0.25">
      <c r="A91" s="2" t="s">
        <v>23</v>
      </c>
      <c r="B91" s="2" t="s">
        <v>24</v>
      </c>
      <c r="C91" s="2" t="s">
        <v>1197</v>
      </c>
      <c r="D91" s="8">
        <v>43831</v>
      </c>
      <c r="E91" s="5" t="str">
        <f t="shared" si="20"/>
        <v>Bliss Pet Resort, LLC_01-01-20</v>
      </c>
      <c r="F91" s="2" t="s">
        <v>1200</v>
      </c>
      <c r="G91" s="2" t="s">
        <v>1241</v>
      </c>
      <c r="H91" s="2" t="s">
        <v>1220</v>
      </c>
      <c r="I91" s="2" t="s">
        <v>1223</v>
      </c>
      <c r="J91" s="2" t="s">
        <v>1234</v>
      </c>
      <c r="M91" s="5" t="str">
        <f t="shared" si="11"/>
        <v>Basic</v>
      </c>
      <c r="N91" s="5" t="str">
        <f t="shared" si="12"/>
        <v>Tax-Staff-Basic</v>
      </c>
      <c r="O91" s="5" t="str">
        <f t="shared" si="13"/>
        <v>Tax-Reviewer-Basic</v>
      </c>
      <c r="P91" s="5" t="str">
        <f t="shared" si="14"/>
        <v>Tax-Signer-Basic</v>
      </c>
      <c r="Q91" s="6">
        <v>0.5</v>
      </c>
      <c r="R91" s="6">
        <v>0.1</v>
      </c>
      <c r="S91" s="6">
        <v>0.05</v>
      </c>
      <c r="T91" s="7">
        <f t="shared" si="21"/>
        <v>0.65</v>
      </c>
      <c r="U91" s="6" t="e">
        <f>SUMIFS([1]Sheet1!$L:$L,[1]Sheet1!$I:$I,AJ91,[1]Sheet1!$C:$C,A91)</f>
        <v>#VALUE!</v>
      </c>
      <c r="V91" s="6"/>
      <c r="W91" s="6"/>
      <c r="X91" s="7" t="e">
        <f t="shared" si="15"/>
        <v>#VALUE!</v>
      </c>
      <c r="Y91" s="6"/>
      <c r="AJ91" s="5" t="str">
        <f t="shared" si="16"/>
        <v>MO Texas Franchise Tax Return</v>
      </c>
      <c r="AK91" s="5" t="str">
        <f t="shared" si="17"/>
        <v>MO-Tax Services-ANN-Texas Franchise Tax Return_Basic</v>
      </c>
      <c r="AL91" s="5" t="str">
        <f t="shared" si="18"/>
        <v>Bliss Pe_1120S_46-1539381_MO Texas Franchise Tax Return</v>
      </c>
      <c r="AM91" s="5" t="str">
        <f t="shared" si="19"/>
        <v>Bliss Pe_1120S_46-1539381_MO-Tax Services-ANN-Texas Franchise Tax Return_Basic</v>
      </c>
    </row>
    <row r="92" spans="1:39" x14ac:dyDescent="0.25">
      <c r="A92" s="2" t="s">
        <v>339</v>
      </c>
      <c r="B92" s="2" t="s">
        <v>340</v>
      </c>
      <c r="C92" s="2" t="s">
        <v>1196</v>
      </c>
      <c r="D92" s="8">
        <v>43831</v>
      </c>
      <c r="E92" s="5" t="str">
        <f t="shared" si="20"/>
        <v>Blubeta Holdings, LLC_01-01-20</v>
      </c>
      <c r="F92" s="2" t="s">
        <v>1199</v>
      </c>
      <c r="G92" s="2" t="s">
        <v>1241</v>
      </c>
      <c r="H92" s="2" t="s">
        <v>1220</v>
      </c>
      <c r="I92" s="2" t="s">
        <v>1223</v>
      </c>
      <c r="J92" s="2" t="s">
        <v>1234</v>
      </c>
      <c r="M92" s="5" t="str">
        <f t="shared" si="11"/>
        <v>Basic</v>
      </c>
      <c r="N92" s="5" t="str">
        <f t="shared" si="12"/>
        <v>Tax-Staff-Basic</v>
      </c>
      <c r="O92" s="5" t="str">
        <f t="shared" si="13"/>
        <v>Tax-Reviewer-Basic</v>
      </c>
      <c r="P92" s="5" t="str">
        <f t="shared" si="14"/>
        <v>Tax-Signer-Basic</v>
      </c>
      <c r="Q92" s="6">
        <v>1.4675000000000016</v>
      </c>
      <c r="R92" s="6">
        <v>0.29350000000000032</v>
      </c>
      <c r="S92" s="6">
        <v>0.14675000000000016</v>
      </c>
      <c r="T92" s="7">
        <f t="shared" si="21"/>
        <v>1.9077500000000021</v>
      </c>
      <c r="U92" s="6" t="e">
        <f>SUMIFS([1]Sheet1!$L:$L,[1]Sheet1!$I:$I,AJ92,[1]Sheet1!$C:$C,A92)</f>
        <v>#VALUE!</v>
      </c>
      <c r="V92" s="6"/>
      <c r="W92" s="6"/>
      <c r="X92" s="7" t="e">
        <f t="shared" si="15"/>
        <v>#VALUE!</v>
      </c>
      <c r="Y92" s="6"/>
      <c r="AJ92" s="5" t="str">
        <f t="shared" si="16"/>
        <v>NM 1065 - Partnership</v>
      </c>
      <c r="AK92" s="5" t="str">
        <f t="shared" si="17"/>
        <v>NM-Tax Services-ANN-1065 - Partnership_Basic</v>
      </c>
      <c r="AL92" s="5" t="str">
        <f t="shared" si="18"/>
        <v>Blubeta _1065_81-2869574_NM 1065 - Partnership</v>
      </c>
      <c r="AM92" s="5" t="str">
        <f t="shared" si="19"/>
        <v>Blubeta _1065_81-2869574_NM-Tax Services-ANN-1065 - Partnership_Basic</v>
      </c>
    </row>
    <row r="93" spans="1:39" x14ac:dyDescent="0.25">
      <c r="A93" s="2" t="s">
        <v>191</v>
      </c>
      <c r="B93" s="2" t="s">
        <v>192</v>
      </c>
      <c r="C93" s="2" t="s">
        <v>1196</v>
      </c>
      <c r="D93" s="8">
        <v>43831</v>
      </c>
      <c r="E93" s="5" t="str">
        <f t="shared" si="20"/>
        <v>Blubeta Group Inc_01-01-20</v>
      </c>
      <c r="F93" s="2" t="s">
        <v>1206</v>
      </c>
      <c r="G93" s="2" t="s">
        <v>1241</v>
      </c>
      <c r="H93" s="2" t="s">
        <v>1220</v>
      </c>
      <c r="I93" s="2" t="s">
        <v>1221</v>
      </c>
      <c r="J93" s="2" t="s">
        <v>1234</v>
      </c>
      <c r="M93" s="5" t="str">
        <f t="shared" si="11"/>
        <v>Mid</v>
      </c>
      <c r="N93" s="5" t="str">
        <f t="shared" si="12"/>
        <v>Tax-Staff-Mid</v>
      </c>
      <c r="O93" s="5" t="str">
        <f t="shared" si="13"/>
        <v>Tax-Reviewer-Mid</v>
      </c>
      <c r="P93" s="5" t="str">
        <f t="shared" si="14"/>
        <v>Tax-Signer-Mid</v>
      </c>
      <c r="Q93" s="6">
        <v>2.7401969696969677</v>
      </c>
      <c r="R93" s="6">
        <v>0.5480393939393936</v>
      </c>
      <c r="S93" s="6">
        <v>0.2740196969696968</v>
      </c>
      <c r="T93" s="7">
        <f t="shared" si="21"/>
        <v>3.562256060606058</v>
      </c>
      <c r="U93" s="6" t="e">
        <f>SUMIFS([1]Sheet1!$L:$L,[1]Sheet1!$I:$I,AJ93,[1]Sheet1!$C:$C,A93)</f>
        <v>#VALUE!</v>
      </c>
      <c r="V93" s="6"/>
      <c r="W93" s="6"/>
      <c r="X93" s="7" t="e">
        <f t="shared" si="15"/>
        <v>#VALUE!</v>
      </c>
      <c r="Y93" s="6"/>
      <c r="AJ93" s="5" t="str">
        <f t="shared" si="16"/>
        <v>NM 1120 - C Corporation</v>
      </c>
      <c r="AK93" s="5" t="str">
        <f t="shared" si="17"/>
        <v>NM-Tax Services-ANN-1120 - C Corporation_Mid</v>
      </c>
      <c r="AL93" s="5" t="str">
        <f t="shared" si="18"/>
        <v>Blubeta _1120C_82-5101732_NM 1120 - C Corporation</v>
      </c>
      <c r="AM93" s="5" t="str">
        <f t="shared" si="19"/>
        <v>Blubeta _1120C_82-5101732_NM-Tax Services-ANN-1120 - C Corporation_Mid</v>
      </c>
    </row>
    <row r="94" spans="1:39" x14ac:dyDescent="0.25">
      <c r="A94" s="2" t="s">
        <v>303</v>
      </c>
      <c r="B94" s="2" t="s">
        <v>304</v>
      </c>
      <c r="C94" s="2" t="s">
        <v>1197</v>
      </c>
      <c r="D94" s="8">
        <v>43831</v>
      </c>
      <c r="E94" s="5" t="str">
        <f t="shared" si="20"/>
        <v>Blue Diamond Consulting Group_01-01-20</v>
      </c>
      <c r="F94" s="2" t="s">
        <v>1204</v>
      </c>
      <c r="G94" s="2" t="s">
        <v>1241</v>
      </c>
      <c r="H94" s="2" t="s">
        <v>1220</v>
      </c>
      <c r="I94" s="2" t="s">
        <v>1223</v>
      </c>
      <c r="J94" s="2" t="s">
        <v>1234</v>
      </c>
      <c r="M94" s="5" t="str">
        <f t="shared" si="11"/>
        <v>Basic</v>
      </c>
      <c r="N94" s="5" t="str">
        <f t="shared" si="12"/>
        <v>Tax-Staff-Basic</v>
      </c>
      <c r="O94" s="5" t="str">
        <f t="shared" si="13"/>
        <v>Tax-Reviewer-Basic</v>
      </c>
      <c r="P94" s="5" t="str">
        <f t="shared" si="14"/>
        <v>Tax-Signer-Basic</v>
      </c>
      <c r="Q94" s="6">
        <v>1.4675000000000016</v>
      </c>
      <c r="R94" s="6">
        <v>0.29350000000000032</v>
      </c>
      <c r="S94" s="6">
        <v>0.14675000000000016</v>
      </c>
      <c r="T94" s="7">
        <f t="shared" si="21"/>
        <v>1.9077500000000021</v>
      </c>
      <c r="U94" s="6" t="e">
        <f>SUMIFS([1]Sheet1!$L:$L,[1]Sheet1!$I:$I,AJ94,[1]Sheet1!$C:$C,A94)</f>
        <v>#VALUE!</v>
      </c>
      <c r="V94" s="6"/>
      <c r="W94" s="6"/>
      <c r="X94" s="7" t="e">
        <f t="shared" si="15"/>
        <v>#VALUE!</v>
      </c>
      <c r="Y94" s="6"/>
      <c r="AJ94" s="5" t="str">
        <f t="shared" si="16"/>
        <v>MO 1120S - S Corporation</v>
      </c>
      <c r="AK94" s="5" t="str">
        <f t="shared" si="17"/>
        <v>MO-Tax Services-ANN-1120S - S Corporation_Basic</v>
      </c>
      <c r="AL94" s="5" t="str">
        <f t="shared" si="18"/>
        <v>Blue Dia_1120S_81-1496063_MO 1120S - S Corporation</v>
      </c>
      <c r="AM94" s="5" t="str">
        <f t="shared" si="19"/>
        <v>Blue Dia_1120S_81-1496063_MO-Tax Services-ANN-1120S - S Corporation_Basic</v>
      </c>
    </row>
    <row r="95" spans="1:39" x14ac:dyDescent="0.25">
      <c r="A95" s="2" t="s">
        <v>303</v>
      </c>
      <c r="B95" s="2" t="s">
        <v>304</v>
      </c>
      <c r="C95" s="2" t="s">
        <v>1197</v>
      </c>
      <c r="D95" s="8">
        <v>43831</v>
      </c>
      <c r="E95" s="5" t="str">
        <f t="shared" si="20"/>
        <v>Blue Diamond Consulting Group_01-01-20</v>
      </c>
      <c r="F95" s="2" t="s">
        <v>1200</v>
      </c>
      <c r="G95" s="2" t="s">
        <v>1241</v>
      </c>
      <c r="H95" s="2" t="s">
        <v>1220</v>
      </c>
      <c r="I95" s="2" t="s">
        <v>1223</v>
      </c>
      <c r="J95" s="2" t="s">
        <v>1234</v>
      </c>
      <c r="M95" s="5" t="str">
        <f t="shared" si="11"/>
        <v>Basic</v>
      </c>
      <c r="N95" s="5" t="str">
        <f t="shared" si="12"/>
        <v>Tax-Staff-Basic</v>
      </c>
      <c r="O95" s="5" t="str">
        <f t="shared" si="13"/>
        <v>Tax-Reviewer-Basic</v>
      </c>
      <c r="P95" s="5" t="str">
        <f t="shared" si="14"/>
        <v>Tax-Signer-Basic</v>
      </c>
      <c r="Q95" s="6">
        <v>0.5</v>
      </c>
      <c r="R95" s="6">
        <v>0.1</v>
      </c>
      <c r="S95" s="6">
        <v>0.05</v>
      </c>
      <c r="T95" s="7">
        <f t="shared" si="21"/>
        <v>0.65</v>
      </c>
      <c r="U95" s="6" t="e">
        <f>SUMIFS([1]Sheet1!$L:$L,[1]Sheet1!$I:$I,AJ95,[1]Sheet1!$C:$C,A95)</f>
        <v>#VALUE!</v>
      </c>
      <c r="V95" s="6"/>
      <c r="W95" s="6"/>
      <c r="X95" s="7" t="e">
        <f t="shared" si="15"/>
        <v>#VALUE!</v>
      </c>
      <c r="Y95" s="6"/>
      <c r="AJ95" s="5" t="str">
        <f t="shared" si="16"/>
        <v>MO Texas Franchise Tax Return</v>
      </c>
      <c r="AK95" s="5" t="str">
        <f t="shared" si="17"/>
        <v>MO-Tax Services-ANN-Texas Franchise Tax Return_Basic</v>
      </c>
      <c r="AL95" s="5" t="str">
        <f t="shared" si="18"/>
        <v>Blue Dia_1120S_81-1496063_MO Texas Franchise Tax Return</v>
      </c>
      <c r="AM95" s="5" t="str">
        <f t="shared" si="19"/>
        <v>Blue Dia_1120S_81-1496063_MO-Tax Services-ANN-Texas Franchise Tax Return_Basic</v>
      </c>
    </row>
    <row r="96" spans="1:39" x14ac:dyDescent="0.25">
      <c r="A96" s="2" t="s">
        <v>942</v>
      </c>
      <c r="B96" s="2" t="s">
        <v>943</v>
      </c>
      <c r="C96" s="2" t="s">
        <v>1196</v>
      </c>
      <c r="D96" s="8">
        <v>43831</v>
      </c>
      <c r="E96" s="5" t="str">
        <f t="shared" si="20"/>
        <v>Bogue, Nathan A_01-01-20</v>
      </c>
      <c r="F96" s="2" t="s">
        <v>1203</v>
      </c>
      <c r="G96" s="2" t="s">
        <v>1241</v>
      </c>
      <c r="H96" s="2" t="s">
        <v>1220</v>
      </c>
      <c r="I96" s="2" t="s">
        <v>1221</v>
      </c>
      <c r="J96" s="2" t="s">
        <v>1234</v>
      </c>
      <c r="M96" s="5" t="str">
        <f t="shared" si="11"/>
        <v>Mid</v>
      </c>
      <c r="N96" s="5" t="str">
        <f t="shared" si="12"/>
        <v>Tax-Staff-Mid</v>
      </c>
      <c r="O96" s="5" t="str">
        <f t="shared" si="13"/>
        <v>Tax-Reviewer-Mid</v>
      </c>
      <c r="P96" s="5" t="str">
        <f t="shared" si="14"/>
        <v>Tax-Signer-Mid</v>
      </c>
      <c r="Q96" s="6">
        <v>2.7401969696969677</v>
      </c>
      <c r="R96" s="6">
        <v>0.5480393939393936</v>
      </c>
      <c r="S96" s="6">
        <v>0.2740196969696968</v>
      </c>
      <c r="T96" s="7">
        <f t="shared" si="21"/>
        <v>3.562256060606058</v>
      </c>
      <c r="U96" s="6" t="e">
        <f>SUMIFS([1]Sheet1!$L:$L,[1]Sheet1!$I:$I,AJ96,[1]Sheet1!$C:$C,A96)</f>
        <v>#VALUE!</v>
      </c>
      <c r="V96" s="6"/>
      <c r="W96" s="6"/>
      <c r="X96" s="7" t="e">
        <f t="shared" si="15"/>
        <v>#VALUE!</v>
      </c>
      <c r="Y96" s="6"/>
      <c r="AJ96" s="5" t="str">
        <f t="shared" si="16"/>
        <v>NM 1040 - Personal</v>
      </c>
      <c r="AK96" s="5" t="str">
        <f t="shared" si="17"/>
        <v>NM-Tax Services-ANN-1040 - Personal_Mid</v>
      </c>
      <c r="AL96" s="5" t="str">
        <f t="shared" si="18"/>
        <v>Bogue,_9368_NM 1040 - Personal</v>
      </c>
      <c r="AM96" s="5" t="str">
        <f t="shared" si="19"/>
        <v>Bogue,_9368_NM-Tax Services-ANN-1040 - Personal_Mid</v>
      </c>
    </row>
    <row r="97" spans="1:39" x14ac:dyDescent="0.25">
      <c r="A97" s="2" t="s">
        <v>463</v>
      </c>
      <c r="B97" s="2" t="s">
        <v>464</v>
      </c>
      <c r="C97" s="2" t="s">
        <v>1196</v>
      </c>
      <c r="D97" s="8">
        <v>43831</v>
      </c>
      <c r="E97" s="5" t="str">
        <f t="shared" si="20"/>
        <v>Bollapragada, Rajesh &amp; Gayatri_01-01-20</v>
      </c>
      <c r="F97" s="2" t="s">
        <v>1203</v>
      </c>
      <c r="G97" s="2" t="s">
        <v>1241</v>
      </c>
      <c r="H97" s="2" t="s">
        <v>1220</v>
      </c>
      <c r="I97" s="2" t="s">
        <v>1222</v>
      </c>
      <c r="J97" s="2" t="s">
        <v>1234</v>
      </c>
      <c r="M97" s="5" t="str">
        <f t="shared" si="11"/>
        <v>Adv</v>
      </c>
      <c r="N97" s="5" t="str">
        <f t="shared" si="12"/>
        <v>Tax-Staff-Adv</v>
      </c>
      <c r="O97" s="5" t="str">
        <f t="shared" si="13"/>
        <v>Tax-Reviewer-Adv</v>
      </c>
      <c r="P97" s="5" t="str">
        <f t="shared" si="14"/>
        <v>Tax-Signer-Adv</v>
      </c>
      <c r="Q97" s="6">
        <v>4.5832500000000005</v>
      </c>
      <c r="R97" s="6">
        <v>0.91665000000000019</v>
      </c>
      <c r="S97" s="6">
        <v>0.45832500000000009</v>
      </c>
      <c r="T97" s="7">
        <f t="shared" si="21"/>
        <v>5.9582250000000005</v>
      </c>
      <c r="U97" s="6" t="e">
        <f>SUMIFS([1]Sheet1!$L:$L,[1]Sheet1!$I:$I,AJ97,[1]Sheet1!$C:$C,A97)</f>
        <v>#VALUE!</v>
      </c>
      <c r="V97" s="6"/>
      <c r="W97" s="6"/>
      <c r="X97" s="7" t="e">
        <f t="shared" si="15"/>
        <v>#VALUE!</v>
      </c>
      <c r="Y97" s="6"/>
      <c r="AJ97" s="5" t="str">
        <f t="shared" si="16"/>
        <v>NM 1040 - Personal</v>
      </c>
      <c r="AK97" s="5" t="str">
        <f t="shared" si="17"/>
        <v>NM-Tax Services-ANN-1040 - Personal_Adv</v>
      </c>
      <c r="AL97" s="5" t="str">
        <f t="shared" si="18"/>
        <v>Bollap_3215_NM 1040 - Personal</v>
      </c>
      <c r="AM97" s="5" t="str">
        <f t="shared" si="19"/>
        <v>Bollap_3215_NM-Tax Services-ANN-1040 - Personal_Adv</v>
      </c>
    </row>
    <row r="98" spans="1:39" x14ac:dyDescent="0.25">
      <c r="A98" s="2" t="s">
        <v>1065</v>
      </c>
      <c r="B98" s="2" t="s">
        <v>1066</v>
      </c>
      <c r="C98" s="2" t="s">
        <v>1196</v>
      </c>
      <c r="D98" s="8">
        <v>43831</v>
      </c>
      <c r="E98" s="5" t="str">
        <f t="shared" si="20"/>
        <v>Bose, Tim_01-01-20</v>
      </c>
      <c r="F98" s="2" t="s">
        <v>1203</v>
      </c>
      <c r="G98" s="2" t="s">
        <v>1241</v>
      </c>
      <c r="H98" s="2" t="s">
        <v>1220</v>
      </c>
      <c r="I98" s="2" t="s">
        <v>1223</v>
      </c>
      <c r="J98" s="2" t="s">
        <v>1234</v>
      </c>
      <c r="M98" s="5" t="str">
        <f t="shared" si="11"/>
        <v>Basic</v>
      </c>
      <c r="N98" s="5" t="str">
        <f t="shared" si="12"/>
        <v>Tax-Staff-Basic</v>
      </c>
      <c r="O98" s="5" t="str">
        <f t="shared" si="13"/>
        <v>Tax-Reviewer-Basic</v>
      </c>
      <c r="P98" s="5" t="str">
        <f t="shared" si="14"/>
        <v>Tax-Signer-Basic</v>
      </c>
      <c r="Q98" s="6">
        <v>1.4675000000000016</v>
      </c>
      <c r="R98" s="6">
        <v>0.29350000000000032</v>
      </c>
      <c r="S98" s="6">
        <v>0.14675000000000016</v>
      </c>
      <c r="T98" s="7">
        <f t="shared" si="21"/>
        <v>1.9077500000000021</v>
      </c>
      <c r="U98" s="6" t="e">
        <f>SUMIFS([1]Sheet1!$L:$L,[1]Sheet1!$I:$I,AJ98,[1]Sheet1!$C:$C,A98)</f>
        <v>#VALUE!</v>
      </c>
      <c r="V98" s="6"/>
      <c r="W98" s="6"/>
      <c r="X98" s="7" t="e">
        <f t="shared" si="15"/>
        <v>#VALUE!</v>
      </c>
      <c r="Y98" s="6"/>
      <c r="AJ98" s="5" t="str">
        <f t="shared" si="16"/>
        <v>NM 1040 - Personal</v>
      </c>
      <c r="AK98" s="5" t="str">
        <f t="shared" si="17"/>
        <v>NM-Tax Services-ANN-1040 - Personal_Basic</v>
      </c>
      <c r="AL98" s="5" t="str">
        <f t="shared" si="18"/>
        <v>Bose, _1234_NM 1040 - Personal</v>
      </c>
      <c r="AM98" s="5" t="str">
        <f t="shared" si="19"/>
        <v>Bose, _1234_NM-Tax Services-ANN-1040 - Personal_Basic</v>
      </c>
    </row>
    <row r="99" spans="1:39" x14ac:dyDescent="0.25">
      <c r="A99" s="2" t="s">
        <v>465</v>
      </c>
      <c r="B99" s="2" t="s">
        <v>466</v>
      </c>
      <c r="C99" s="2" t="s">
        <v>1196</v>
      </c>
      <c r="D99" s="8">
        <v>43831</v>
      </c>
      <c r="E99" s="5" t="str">
        <f t="shared" si="20"/>
        <v>Bragaglia, Allison_01-01-20</v>
      </c>
      <c r="F99" s="2" t="s">
        <v>1203</v>
      </c>
      <c r="G99" s="2" t="s">
        <v>1241</v>
      </c>
      <c r="H99" s="2" t="s">
        <v>1220</v>
      </c>
      <c r="I99" s="2" t="s">
        <v>1222</v>
      </c>
      <c r="J99" s="2" t="s">
        <v>1234</v>
      </c>
      <c r="M99" s="5" t="str">
        <f t="shared" si="11"/>
        <v>Adv</v>
      </c>
      <c r="N99" s="5" t="str">
        <f t="shared" si="12"/>
        <v>Tax-Staff-Adv</v>
      </c>
      <c r="O99" s="5" t="str">
        <f t="shared" si="13"/>
        <v>Tax-Reviewer-Adv</v>
      </c>
      <c r="P99" s="5" t="str">
        <f t="shared" si="14"/>
        <v>Tax-Signer-Adv</v>
      </c>
      <c r="Q99" s="6">
        <v>4.5832500000000005</v>
      </c>
      <c r="R99" s="6">
        <v>0.91665000000000019</v>
      </c>
      <c r="S99" s="6">
        <v>0.45832500000000009</v>
      </c>
      <c r="T99" s="7">
        <f t="shared" si="21"/>
        <v>5.9582250000000005</v>
      </c>
      <c r="U99" s="6" t="e">
        <f>SUMIFS([1]Sheet1!$L:$L,[1]Sheet1!$I:$I,AJ99,[1]Sheet1!$C:$C,A99)</f>
        <v>#VALUE!</v>
      </c>
      <c r="V99" s="6"/>
      <c r="W99" s="6"/>
      <c r="X99" s="7" t="e">
        <f t="shared" si="15"/>
        <v>#VALUE!</v>
      </c>
      <c r="Y99" s="6"/>
      <c r="AJ99" s="5" t="str">
        <f t="shared" si="16"/>
        <v>NM 1040 - Personal</v>
      </c>
      <c r="AK99" s="5" t="str">
        <f t="shared" si="17"/>
        <v>NM-Tax Services-ANN-1040 - Personal_Adv</v>
      </c>
      <c r="AL99" s="5" t="str">
        <f t="shared" si="18"/>
        <v>Bragag_6642_NM 1040 - Personal</v>
      </c>
      <c r="AM99" s="5" t="str">
        <f t="shared" si="19"/>
        <v>Bragag_6642_NM-Tax Services-ANN-1040 - Personal_Adv</v>
      </c>
    </row>
    <row r="100" spans="1:39" x14ac:dyDescent="0.25">
      <c r="A100" s="2" t="s">
        <v>25</v>
      </c>
      <c r="B100" s="2" t="s">
        <v>26</v>
      </c>
      <c r="C100" s="2" t="s">
        <v>1197</v>
      </c>
      <c r="D100" s="8">
        <v>43831</v>
      </c>
      <c r="E100" s="5" t="str">
        <f t="shared" si="20"/>
        <v>Branded Floors, Inc._01-01-20</v>
      </c>
      <c r="F100" s="2" t="s">
        <v>1206</v>
      </c>
      <c r="G100" s="2" t="s">
        <v>1241</v>
      </c>
      <c r="H100" s="2" t="s">
        <v>1220</v>
      </c>
      <c r="I100" s="2" t="s">
        <v>1223</v>
      </c>
      <c r="J100" s="2" t="s">
        <v>1234</v>
      </c>
      <c r="M100" s="5" t="str">
        <f t="shared" si="11"/>
        <v>Basic</v>
      </c>
      <c r="N100" s="5" t="str">
        <f t="shared" si="12"/>
        <v>Tax-Staff-Basic</v>
      </c>
      <c r="O100" s="5" t="str">
        <f t="shared" si="13"/>
        <v>Tax-Reviewer-Basic</v>
      </c>
      <c r="P100" s="5" t="str">
        <f t="shared" si="14"/>
        <v>Tax-Signer-Basic</v>
      </c>
      <c r="Q100" s="6">
        <v>1.4675000000000016</v>
      </c>
      <c r="R100" s="6">
        <v>0.29350000000000032</v>
      </c>
      <c r="S100" s="6">
        <v>0.14675000000000016</v>
      </c>
      <c r="T100" s="7">
        <f t="shared" si="21"/>
        <v>1.9077500000000021</v>
      </c>
      <c r="U100" s="6" t="e">
        <f>SUMIFS([1]Sheet1!$L:$L,[1]Sheet1!$I:$I,AJ100,[1]Sheet1!$C:$C,A100)</f>
        <v>#VALUE!</v>
      </c>
      <c r="V100" s="6"/>
      <c r="W100" s="6"/>
      <c r="X100" s="7" t="e">
        <f t="shared" si="15"/>
        <v>#VALUE!</v>
      </c>
      <c r="Y100" s="6"/>
      <c r="AJ100" s="5" t="str">
        <f t="shared" si="16"/>
        <v>MO 1120 - C Corporation</v>
      </c>
      <c r="AK100" s="5" t="str">
        <f t="shared" si="17"/>
        <v>MO-Tax Services-ANN-1120 - C Corporation_Basic</v>
      </c>
      <c r="AL100" s="5" t="str">
        <f t="shared" si="18"/>
        <v>Branded _1120C_45-2711219_MO 1120 - C Corporation</v>
      </c>
      <c r="AM100" s="5" t="str">
        <f t="shared" si="19"/>
        <v>Branded _1120C_45-2711219_MO-Tax Services-ANN-1120 - C Corporation_Basic</v>
      </c>
    </row>
    <row r="101" spans="1:39" x14ac:dyDescent="0.25">
      <c r="A101" s="2" t="s">
        <v>25</v>
      </c>
      <c r="B101" s="2" t="s">
        <v>26</v>
      </c>
      <c r="C101" s="2" t="s">
        <v>1197</v>
      </c>
      <c r="D101" s="8">
        <v>43831</v>
      </c>
      <c r="E101" s="5" t="str">
        <f t="shared" si="20"/>
        <v>Branded Floors, Inc._01-01-20</v>
      </c>
      <c r="F101" s="2" t="s">
        <v>1201</v>
      </c>
      <c r="G101" s="2" t="s">
        <v>1201</v>
      </c>
      <c r="H101" s="2" t="s">
        <v>1197</v>
      </c>
      <c r="I101" s="2" t="s">
        <v>1223</v>
      </c>
      <c r="J101" s="2" t="s">
        <v>1235</v>
      </c>
      <c r="M101" s="5" t="str">
        <f t="shared" si="11"/>
        <v>Basic</v>
      </c>
      <c r="N101" s="5" t="str">
        <f t="shared" si="12"/>
        <v>Accountant-Staff-Basic</v>
      </c>
      <c r="O101" s="5" t="str">
        <f t="shared" si="13"/>
        <v>Accountant-Reviewer-Basic</v>
      </c>
      <c r="P101" s="5" t="str">
        <f t="shared" si="14"/>
        <v>Accountant-Signer-Basic</v>
      </c>
      <c r="Q101" s="6">
        <v>1.47</v>
      </c>
      <c r="R101" s="6">
        <v>0.29399999999999998</v>
      </c>
      <c r="S101" s="6">
        <v>0.14699999999999999</v>
      </c>
      <c r="T101" s="7">
        <f t="shared" si="21"/>
        <v>1.911</v>
      </c>
      <c r="U101" s="6" t="e">
        <f>SUMIFS([1]Sheet1!$L:$L,[1]Sheet1!$I:$I,AJ101,[1]Sheet1!$C:$C,A101)</f>
        <v>#VALUE!</v>
      </c>
      <c r="V101" s="6"/>
      <c r="W101" s="6"/>
      <c r="X101" s="7" t="e">
        <f t="shared" si="15"/>
        <v>#VALUE!</v>
      </c>
      <c r="Y101" s="6"/>
      <c r="AJ101" s="5" t="str">
        <f t="shared" si="16"/>
        <v>MO Accounting Services</v>
      </c>
      <c r="AK101" s="5" t="str">
        <f t="shared" si="17"/>
        <v>MO-Accounting Services-MO-Accounting Services_Basic</v>
      </c>
      <c r="AL101" s="5" t="str">
        <f t="shared" si="18"/>
        <v>Branded _1120C_45-2711219_MO Accounting Services</v>
      </c>
      <c r="AM101" s="5" t="str">
        <f t="shared" si="19"/>
        <v>Branded _1120C_45-2711219_MO-Accounting Services-MO-Accounting Services_Basic</v>
      </c>
    </row>
    <row r="102" spans="1:39" x14ac:dyDescent="0.25">
      <c r="A102" s="2" t="s">
        <v>1020</v>
      </c>
      <c r="B102" s="2" t="s">
        <v>1021</v>
      </c>
      <c r="C102" s="2" t="s">
        <v>1196</v>
      </c>
      <c r="D102" s="8">
        <v>43831</v>
      </c>
      <c r="E102" s="5" t="str">
        <f t="shared" si="20"/>
        <v>Brock, Adam_01-01-20</v>
      </c>
      <c r="F102" s="2" t="s">
        <v>1203</v>
      </c>
      <c r="G102" s="2" t="s">
        <v>1241</v>
      </c>
      <c r="H102" s="2" t="s">
        <v>1220</v>
      </c>
      <c r="I102" s="2" t="s">
        <v>1221</v>
      </c>
      <c r="J102" s="2" t="s">
        <v>1234</v>
      </c>
      <c r="M102" s="5" t="str">
        <f t="shared" si="11"/>
        <v>Mid</v>
      </c>
      <c r="N102" s="5" t="str">
        <f t="shared" si="12"/>
        <v>Tax-Staff-Mid</v>
      </c>
      <c r="O102" s="5" t="str">
        <f t="shared" si="13"/>
        <v>Tax-Reviewer-Mid</v>
      </c>
      <c r="P102" s="5" t="str">
        <f t="shared" si="14"/>
        <v>Tax-Signer-Mid</v>
      </c>
      <c r="Q102" s="6">
        <v>2.7401969696969677</v>
      </c>
      <c r="R102" s="6">
        <v>0.5480393939393936</v>
      </c>
      <c r="S102" s="6">
        <v>0.2740196969696968</v>
      </c>
      <c r="T102" s="7">
        <f t="shared" si="21"/>
        <v>3.562256060606058</v>
      </c>
      <c r="U102" s="6" t="e">
        <f>SUMIFS([1]Sheet1!$L:$L,[1]Sheet1!$I:$I,AJ102,[1]Sheet1!$C:$C,A102)</f>
        <v>#VALUE!</v>
      </c>
      <c r="V102" s="6"/>
      <c r="W102" s="6"/>
      <c r="X102" s="7" t="e">
        <f t="shared" si="15"/>
        <v>#VALUE!</v>
      </c>
      <c r="Y102" s="6"/>
      <c r="AJ102" s="5" t="str">
        <f t="shared" si="16"/>
        <v>NM 1040 - Personal</v>
      </c>
      <c r="AK102" s="5" t="str">
        <f t="shared" si="17"/>
        <v>NM-Tax Services-ANN-1040 - Personal_Mid</v>
      </c>
      <c r="AL102" s="5" t="str">
        <f t="shared" si="18"/>
        <v>Brock,_1251_NM 1040 - Personal</v>
      </c>
      <c r="AM102" s="5" t="str">
        <f t="shared" si="19"/>
        <v>Brock,_1251_NM-Tax Services-ANN-1040 - Personal_Mid</v>
      </c>
    </row>
    <row r="103" spans="1:39" x14ac:dyDescent="0.25">
      <c r="A103" s="2" t="s">
        <v>467</v>
      </c>
      <c r="B103" s="2" t="s">
        <v>468</v>
      </c>
      <c r="C103" s="2" t="s">
        <v>1196</v>
      </c>
      <c r="D103" s="8">
        <v>43831</v>
      </c>
      <c r="E103" s="5" t="str">
        <f t="shared" si="20"/>
        <v>Brooks, Bryana_01-01-20</v>
      </c>
      <c r="F103" s="2" t="s">
        <v>1203</v>
      </c>
      <c r="G103" s="2" t="s">
        <v>1241</v>
      </c>
      <c r="H103" s="2" t="s">
        <v>1220</v>
      </c>
      <c r="I103" s="2" t="s">
        <v>1223</v>
      </c>
      <c r="J103" s="2" t="s">
        <v>1234</v>
      </c>
      <c r="M103" s="5" t="str">
        <f t="shared" si="11"/>
        <v>Basic</v>
      </c>
      <c r="N103" s="5" t="str">
        <f t="shared" si="12"/>
        <v>Tax-Staff-Basic</v>
      </c>
      <c r="O103" s="5" t="str">
        <f t="shared" si="13"/>
        <v>Tax-Reviewer-Basic</v>
      </c>
      <c r="P103" s="5" t="str">
        <f t="shared" si="14"/>
        <v>Tax-Signer-Basic</v>
      </c>
      <c r="Q103" s="6">
        <v>1.4675000000000016</v>
      </c>
      <c r="R103" s="6">
        <v>0.29350000000000032</v>
      </c>
      <c r="S103" s="6">
        <v>0.14675000000000016</v>
      </c>
      <c r="T103" s="7">
        <f t="shared" si="21"/>
        <v>1.9077500000000021</v>
      </c>
      <c r="U103" s="6" t="e">
        <f>SUMIFS([1]Sheet1!$L:$L,[1]Sheet1!$I:$I,AJ103,[1]Sheet1!$C:$C,A103)</f>
        <v>#VALUE!</v>
      </c>
      <c r="V103" s="6"/>
      <c r="W103" s="6"/>
      <c r="X103" s="7" t="e">
        <f t="shared" si="15"/>
        <v>#VALUE!</v>
      </c>
      <c r="Y103" s="6"/>
      <c r="AJ103" s="5" t="str">
        <f t="shared" si="16"/>
        <v>NM 1040 - Personal</v>
      </c>
      <c r="AK103" s="5" t="str">
        <f t="shared" si="17"/>
        <v>NM-Tax Services-ANN-1040 - Personal_Basic</v>
      </c>
      <c r="AL103" s="5" t="str">
        <f t="shared" si="18"/>
        <v>Brooks_0321_NM 1040 - Personal</v>
      </c>
      <c r="AM103" s="5" t="str">
        <f t="shared" si="19"/>
        <v>Brooks_0321_NM-Tax Services-ANN-1040 - Personal_Basic</v>
      </c>
    </row>
    <row r="104" spans="1:39" x14ac:dyDescent="0.25">
      <c r="A104" s="2" t="s">
        <v>924</v>
      </c>
      <c r="B104" s="2" t="s">
        <v>925</v>
      </c>
      <c r="C104" s="2" t="s">
        <v>1196</v>
      </c>
      <c r="D104" s="8">
        <v>43831</v>
      </c>
      <c r="E104" s="5" t="str">
        <f t="shared" si="20"/>
        <v>Brothers, Jack S._01-01-20</v>
      </c>
      <c r="F104" s="2" t="s">
        <v>1203</v>
      </c>
      <c r="G104" s="2" t="s">
        <v>1241</v>
      </c>
      <c r="H104" s="2" t="s">
        <v>1220</v>
      </c>
      <c r="I104" s="2" t="s">
        <v>1223</v>
      </c>
      <c r="J104" s="2" t="s">
        <v>1234</v>
      </c>
      <c r="M104" s="5" t="str">
        <f t="shared" si="11"/>
        <v>Basic</v>
      </c>
      <c r="N104" s="5" t="str">
        <f t="shared" si="12"/>
        <v>Tax-Staff-Basic</v>
      </c>
      <c r="O104" s="5" t="str">
        <f t="shared" si="13"/>
        <v>Tax-Reviewer-Basic</v>
      </c>
      <c r="P104" s="5" t="str">
        <f t="shared" si="14"/>
        <v>Tax-Signer-Basic</v>
      </c>
      <c r="Q104" s="6">
        <v>1.4675000000000016</v>
      </c>
      <c r="R104" s="6">
        <v>0.29350000000000032</v>
      </c>
      <c r="S104" s="6">
        <v>0.14675000000000016</v>
      </c>
      <c r="T104" s="7">
        <f t="shared" si="21"/>
        <v>1.9077500000000021</v>
      </c>
      <c r="U104" s="6" t="e">
        <f>SUMIFS([1]Sheet1!$L:$L,[1]Sheet1!$I:$I,AJ104,[1]Sheet1!$C:$C,A104)</f>
        <v>#VALUE!</v>
      </c>
      <c r="V104" s="6"/>
      <c r="W104" s="6"/>
      <c r="X104" s="7" t="e">
        <f t="shared" si="15"/>
        <v>#VALUE!</v>
      </c>
      <c r="Y104" s="6"/>
      <c r="AJ104" s="5" t="str">
        <f t="shared" si="16"/>
        <v>NM 1040 - Personal</v>
      </c>
      <c r="AK104" s="5" t="str">
        <f t="shared" si="17"/>
        <v>NM-Tax Services-ANN-1040 - Personal_Basic</v>
      </c>
      <c r="AL104" s="5" t="str">
        <f t="shared" si="18"/>
        <v>Brothe_7662_NM 1040 - Personal</v>
      </c>
      <c r="AM104" s="5" t="str">
        <f t="shared" si="19"/>
        <v>Brothe_7662_NM-Tax Services-ANN-1040 - Personal_Basic</v>
      </c>
    </row>
    <row r="105" spans="1:39" x14ac:dyDescent="0.25">
      <c r="A105" s="2" t="s">
        <v>469</v>
      </c>
      <c r="B105" s="2" t="s">
        <v>470</v>
      </c>
      <c r="C105" s="2" t="s">
        <v>1196</v>
      </c>
      <c r="D105" s="8">
        <v>43831</v>
      </c>
      <c r="E105" s="5" t="str">
        <f t="shared" si="20"/>
        <v>Brumley, Philip_01-01-20</v>
      </c>
      <c r="F105" s="2" t="s">
        <v>1203</v>
      </c>
      <c r="G105" s="2" t="s">
        <v>1241</v>
      </c>
      <c r="H105" s="2" t="s">
        <v>1220</v>
      </c>
      <c r="I105" s="2" t="s">
        <v>1223</v>
      </c>
      <c r="J105" s="2" t="s">
        <v>1234</v>
      </c>
      <c r="M105" s="5" t="str">
        <f t="shared" si="11"/>
        <v>Basic</v>
      </c>
      <c r="N105" s="5" t="str">
        <f t="shared" si="12"/>
        <v>Tax-Staff-Basic</v>
      </c>
      <c r="O105" s="5" t="str">
        <f t="shared" si="13"/>
        <v>Tax-Reviewer-Basic</v>
      </c>
      <c r="P105" s="5" t="str">
        <f t="shared" si="14"/>
        <v>Tax-Signer-Basic</v>
      </c>
      <c r="Q105" s="6">
        <v>1.4675000000000016</v>
      </c>
      <c r="R105" s="6">
        <v>0.29350000000000032</v>
      </c>
      <c r="S105" s="6">
        <v>0.14675000000000016</v>
      </c>
      <c r="T105" s="7">
        <f t="shared" si="21"/>
        <v>1.9077500000000021</v>
      </c>
      <c r="U105" s="6" t="e">
        <f>SUMIFS([1]Sheet1!$L:$L,[1]Sheet1!$I:$I,AJ105,[1]Sheet1!$C:$C,A105)</f>
        <v>#VALUE!</v>
      </c>
      <c r="V105" s="6"/>
      <c r="W105" s="6"/>
      <c r="X105" s="7" t="e">
        <f t="shared" si="15"/>
        <v>#VALUE!</v>
      </c>
      <c r="Y105" s="6"/>
      <c r="AJ105" s="5" t="str">
        <f t="shared" si="16"/>
        <v>NM 1040 - Personal</v>
      </c>
      <c r="AK105" s="5" t="str">
        <f t="shared" si="17"/>
        <v>NM-Tax Services-ANN-1040 - Personal_Basic</v>
      </c>
      <c r="AL105" s="5" t="str">
        <f t="shared" si="18"/>
        <v>Brumle_8427_NM 1040 - Personal</v>
      </c>
      <c r="AM105" s="5" t="str">
        <f t="shared" si="19"/>
        <v>Brumle_8427_NM-Tax Services-ANN-1040 - Personal_Basic</v>
      </c>
    </row>
    <row r="106" spans="1:39" x14ac:dyDescent="0.25">
      <c r="A106" s="2" t="s">
        <v>471</v>
      </c>
      <c r="B106" s="2" t="s">
        <v>472</v>
      </c>
      <c r="C106" s="2" t="s">
        <v>1196</v>
      </c>
      <c r="D106" s="8">
        <v>43831</v>
      </c>
      <c r="E106" s="5" t="str">
        <f t="shared" si="20"/>
        <v>Bruneman, Steven_01-01-20</v>
      </c>
      <c r="F106" s="2" t="s">
        <v>1203</v>
      </c>
      <c r="G106" s="2" t="s">
        <v>1241</v>
      </c>
      <c r="H106" s="2" t="s">
        <v>1220</v>
      </c>
      <c r="I106" s="2" t="s">
        <v>1221</v>
      </c>
      <c r="J106" s="2" t="s">
        <v>1234</v>
      </c>
      <c r="M106" s="5" t="str">
        <f t="shared" si="11"/>
        <v>Mid</v>
      </c>
      <c r="N106" s="5" t="str">
        <f t="shared" si="12"/>
        <v>Tax-Staff-Mid</v>
      </c>
      <c r="O106" s="5" t="str">
        <f t="shared" si="13"/>
        <v>Tax-Reviewer-Mid</v>
      </c>
      <c r="P106" s="5" t="str">
        <f t="shared" si="14"/>
        <v>Tax-Signer-Mid</v>
      </c>
      <c r="Q106" s="6">
        <v>2.7401969696969677</v>
      </c>
      <c r="R106" s="6">
        <v>0.5480393939393936</v>
      </c>
      <c r="S106" s="6">
        <v>0.2740196969696968</v>
      </c>
      <c r="T106" s="7">
        <f t="shared" si="21"/>
        <v>3.562256060606058</v>
      </c>
      <c r="U106" s="6" t="e">
        <f>SUMIFS([1]Sheet1!$L:$L,[1]Sheet1!$I:$I,AJ106,[1]Sheet1!$C:$C,A106)</f>
        <v>#VALUE!</v>
      </c>
      <c r="V106" s="6"/>
      <c r="W106" s="6"/>
      <c r="X106" s="7" t="e">
        <f t="shared" si="15"/>
        <v>#VALUE!</v>
      </c>
      <c r="Y106" s="6"/>
      <c r="AJ106" s="5" t="str">
        <f t="shared" si="16"/>
        <v>NM 1040 - Personal</v>
      </c>
      <c r="AK106" s="5" t="str">
        <f t="shared" si="17"/>
        <v>NM-Tax Services-ANN-1040 - Personal_Mid</v>
      </c>
      <c r="AL106" s="5" t="str">
        <f t="shared" si="18"/>
        <v>Brunem_1992_NM 1040 - Personal</v>
      </c>
      <c r="AM106" s="5" t="str">
        <f t="shared" si="19"/>
        <v>Brunem_1992_NM-Tax Services-ANN-1040 - Personal_Mid</v>
      </c>
    </row>
    <row r="107" spans="1:39" x14ac:dyDescent="0.25">
      <c r="A107" s="2" t="s">
        <v>1159</v>
      </c>
      <c r="B107" s="2" t="s">
        <v>1160</v>
      </c>
      <c r="C107" s="2" t="s">
        <v>1196</v>
      </c>
      <c r="D107" s="8">
        <v>43831</v>
      </c>
      <c r="E107" s="5" t="str">
        <f t="shared" si="20"/>
        <v>Bryan, Timitha_01-01-20</v>
      </c>
      <c r="F107" s="2" t="s">
        <v>1203</v>
      </c>
      <c r="G107" s="2" t="s">
        <v>1241</v>
      </c>
      <c r="H107" s="2" t="s">
        <v>1220</v>
      </c>
      <c r="I107" s="2" t="s">
        <v>1223</v>
      </c>
      <c r="J107" s="2" t="s">
        <v>1234</v>
      </c>
      <c r="M107" s="5" t="str">
        <f t="shared" si="11"/>
        <v>Basic</v>
      </c>
      <c r="N107" s="5" t="str">
        <f t="shared" si="12"/>
        <v>Tax-Staff-Basic</v>
      </c>
      <c r="O107" s="5" t="str">
        <f t="shared" si="13"/>
        <v>Tax-Reviewer-Basic</v>
      </c>
      <c r="P107" s="5" t="str">
        <f t="shared" si="14"/>
        <v>Tax-Signer-Basic</v>
      </c>
      <c r="Q107" s="6">
        <v>1.4675000000000016</v>
      </c>
      <c r="R107" s="6">
        <v>0.29350000000000032</v>
      </c>
      <c r="S107" s="6">
        <v>0.14675000000000016</v>
      </c>
      <c r="T107" s="7">
        <f t="shared" si="21"/>
        <v>1.9077500000000021</v>
      </c>
      <c r="U107" s="6" t="e">
        <f>SUMIFS([1]Sheet1!$L:$L,[1]Sheet1!$I:$I,AJ107,[1]Sheet1!$C:$C,A107)</f>
        <v>#VALUE!</v>
      </c>
      <c r="V107" s="6"/>
      <c r="W107" s="6"/>
      <c r="X107" s="7" t="e">
        <f t="shared" si="15"/>
        <v>#VALUE!</v>
      </c>
      <c r="Y107" s="6"/>
      <c r="AJ107" s="5" t="str">
        <f t="shared" si="16"/>
        <v>NM 1040 - Personal</v>
      </c>
      <c r="AK107" s="5" t="str">
        <f t="shared" si="17"/>
        <v>NM-Tax Services-ANN-1040 - Personal_Basic</v>
      </c>
      <c r="AL107" s="5" t="str">
        <f t="shared" si="18"/>
        <v>Bryan,_6541_NM 1040 - Personal</v>
      </c>
      <c r="AM107" s="5" t="str">
        <f t="shared" si="19"/>
        <v>Bryan,_6541_NM-Tax Services-ANN-1040 - Personal_Basic</v>
      </c>
    </row>
    <row r="108" spans="1:39" x14ac:dyDescent="0.25">
      <c r="A108" s="2" t="s">
        <v>27</v>
      </c>
      <c r="B108" s="2" t="s">
        <v>28</v>
      </c>
      <c r="C108" s="2" t="s">
        <v>1197</v>
      </c>
      <c r="D108" s="8">
        <v>43831</v>
      </c>
      <c r="E108" s="5" t="str">
        <f t="shared" si="20"/>
        <v>Bubba Sully's Pocket Change_01-01-20</v>
      </c>
      <c r="F108" s="2" t="s">
        <v>1204</v>
      </c>
      <c r="G108" s="2" t="s">
        <v>1241</v>
      </c>
      <c r="H108" s="2" t="s">
        <v>1220</v>
      </c>
      <c r="I108" s="2" t="s">
        <v>1223</v>
      </c>
      <c r="J108" s="2" t="s">
        <v>1234</v>
      </c>
      <c r="M108" s="5" t="str">
        <f t="shared" si="11"/>
        <v>Basic</v>
      </c>
      <c r="N108" s="5" t="str">
        <f t="shared" si="12"/>
        <v>Tax-Staff-Basic</v>
      </c>
      <c r="O108" s="5" t="str">
        <f t="shared" si="13"/>
        <v>Tax-Reviewer-Basic</v>
      </c>
      <c r="P108" s="5" t="str">
        <f t="shared" si="14"/>
        <v>Tax-Signer-Basic</v>
      </c>
      <c r="Q108" s="6">
        <v>1.4675000000000016</v>
      </c>
      <c r="R108" s="6">
        <v>0.29350000000000032</v>
      </c>
      <c r="S108" s="6">
        <v>0.14675000000000016</v>
      </c>
      <c r="T108" s="7">
        <f t="shared" si="21"/>
        <v>1.9077500000000021</v>
      </c>
      <c r="U108" s="6" t="e">
        <f>SUMIFS([1]Sheet1!$L:$L,[1]Sheet1!$I:$I,AJ108,[1]Sheet1!$C:$C,A108)</f>
        <v>#VALUE!</v>
      </c>
      <c r="V108" s="6"/>
      <c r="W108" s="6"/>
      <c r="X108" s="7" t="e">
        <f t="shared" si="15"/>
        <v>#VALUE!</v>
      </c>
      <c r="Y108" s="6"/>
      <c r="AJ108" s="5" t="str">
        <f t="shared" si="16"/>
        <v>MO 1120S - S Corporation</v>
      </c>
      <c r="AK108" s="5" t="str">
        <f t="shared" si="17"/>
        <v>MO-Tax Services-ANN-1120S - S Corporation_Basic</v>
      </c>
      <c r="AL108" s="5" t="str">
        <f t="shared" si="18"/>
        <v>Bubba Su_1120S_47-2382923_MO 1120S - S Corporation</v>
      </c>
      <c r="AM108" s="5" t="str">
        <f t="shared" si="19"/>
        <v>Bubba Su_1120S_47-2382923_MO-Tax Services-ANN-1120S - S Corporation_Basic</v>
      </c>
    </row>
    <row r="109" spans="1:39" x14ac:dyDescent="0.25">
      <c r="A109" s="2" t="s">
        <v>27</v>
      </c>
      <c r="B109" s="2" t="s">
        <v>28</v>
      </c>
      <c r="C109" s="2" t="s">
        <v>1197</v>
      </c>
      <c r="D109" s="8">
        <v>43831</v>
      </c>
      <c r="E109" s="5" t="str">
        <f t="shared" si="20"/>
        <v>Bubba Sully's Pocket Change_01-01-20</v>
      </c>
      <c r="F109" s="2" t="s">
        <v>1200</v>
      </c>
      <c r="G109" s="2" t="s">
        <v>1241</v>
      </c>
      <c r="H109" s="2" t="s">
        <v>1220</v>
      </c>
      <c r="I109" s="2" t="s">
        <v>1223</v>
      </c>
      <c r="J109" s="2" t="s">
        <v>1234</v>
      </c>
      <c r="M109" s="5" t="str">
        <f t="shared" si="11"/>
        <v>Basic</v>
      </c>
      <c r="N109" s="5" t="str">
        <f t="shared" si="12"/>
        <v>Tax-Staff-Basic</v>
      </c>
      <c r="O109" s="5" t="str">
        <f t="shared" si="13"/>
        <v>Tax-Reviewer-Basic</v>
      </c>
      <c r="P109" s="5" t="str">
        <f t="shared" si="14"/>
        <v>Tax-Signer-Basic</v>
      </c>
      <c r="Q109" s="6">
        <v>0.5</v>
      </c>
      <c r="R109" s="6">
        <v>0.1</v>
      </c>
      <c r="S109" s="6">
        <v>0.05</v>
      </c>
      <c r="T109" s="7">
        <f t="shared" si="21"/>
        <v>0.65</v>
      </c>
      <c r="U109" s="6" t="e">
        <f>SUMIFS([1]Sheet1!$L:$L,[1]Sheet1!$I:$I,AJ109,[1]Sheet1!$C:$C,A109)</f>
        <v>#VALUE!</v>
      </c>
      <c r="V109" s="6"/>
      <c r="W109" s="6"/>
      <c r="X109" s="7" t="e">
        <f t="shared" si="15"/>
        <v>#VALUE!</v>
      </c>
      <c r="Y109" s="6"/>
      <c r="AJ109" s="5" t="str">
        <f t="shared" si="16"/>
        <v>MO Texas Franchise Tax Return</v>
      </c>
      <c r="AK109" s="5" t="str">
        <f t="shared" si="17"/>
        <v>MO-Tax Services-ANN-Texas Franchise Tax Return_Basic</v>
      </c>
      <c r="AL109" s="5" t="str">
        <f t="shared" si="18"/>
        <v>Bubba Su_1120S_47-2382923_MO Texas Franchise Tax Return</v>
      </c>
      <c r="AM109" s="5" t="str">
        <f t="shared" si="19"/>
        <v>Bubba Su_1120S_47-2382923_MO-Tax Services-ANN-Texas Franchise Tax Return_Basic</v>
      </c>
    </row>
    <row r="110" spans="1:39" x14ac:dyDescent="0.25">
      <c r="A110" s="2" t="s">
        <v>171</v>
      </c>
      <c r="B110" s="2" t="s">
        <v>172</v>
      </c>
      <c r="C110" s="2" t="s">
        <v>1197</v>
      </c>
      <c r="D110" s="8">
        <v>43831</v>
      </c>
      <c r="E110" s="5" t="str">
        <f t="shared" si="20"/>
        <v>Burke, Kevin &amp; Keri-Ann_01-01-20</v>
      </c>
      <c r="F110" s="2" t="s">
        <v>1201</v>
      </c>
      <c r="G110" s="2" t="s">
        <v>1201</v>
      </c>
      <c r="H110" s="2" t="s">
        <v>1197</v>
      </c>
      <c r="I110" s="2" t="s">
        <v>1223</v>
      </c>
      <c r="J110" s="2" t="s">
        <v>1235</v>
      </c>
      <c r="M110" s="5" t="str">
        <f t="shared" si="11"/>
        <v>Basic</v>
      </c>
      <c r="N110" s="5" t="str">
        <f t="shared" si="12"/>
        <v>Accountant-Staff-Basic</v>
      </c>
      <c r="O110" s="5" t="str">
        <f t="shared" si="13"/>
        <v>Accountant-Reviewer-Basic</v>
      </c>
      <c r="P110" s="5" t="str">
        <f t="shared" si="14"/>
        <v>Accountant-Signer-Basic</v>
      </c>
      <c r="Q110" s="6">
        <v>1.47</v>
      </c>
      <c r="R110" s="6">
        <v>0.29399999999999998</v>
      </c>
      <c r="S110" s="6">
        <v>0.14699999999999999</v>
      </c>
      <c r="T110" s="7">
        <f t="shared" si="21"/>
        <v>1.911</v>
      </c>
      <c r="U110" s="6" t="e">
        <f>SUMIFS([1]Sheet1!$L:$L,[1]Sheet1!$I:$I,AJ110,[1]Sheet1!$C:$C,A110)</f>
        <v>#VALUE!</v>
      </c>
      <c r="V110" s="6"/>
      <c r="W110" s="6"/>
      <c r="X110" s="7" t="e">
        <f t="shared" si="15"/>
        <v>#VALUE!</v>
      </c>
      <c r="Y110" s="6"/>
      <c r="AJ110" s="5" t="str">
        <f t="shared" si="16"/>
        <v>MO Accounting Services</v>
      </c>
      <c r="AK110" s="5" t="str">
        <f t="shared" si="17"/>
        <v>MO-Accounting Services-MO-Accounting Services_Basic</v>
      </c>
      <c r="AL110" s="5" t="str">
        <f t="shared" si="18"/>
        <v>Burke,_1198_MO Accounting Services</v>
      </c>
      <c r="AM110" s="5" t="str">
        <f t="shared" si="19"/>
        <v>Burke,_1198_MO-Accounting Services-MO-Accounting Services_Basic</v>
      </c>
    </row>
    <row r="111" spans="1:39" x14ac:dyDescent="0.25">
      <c r="A111" s="2" t="s">
        <v>473</v>
      </c>
      <c r="B111" s="2" t="s">
        <v>474</v>
      </c>
      <c r="C111" s="2" t="s">
        <v>1196</v>
      </c>
      <c r="D111" s="8">
        <v>43831</v>
      </c>
      <c r="E111" s="5" t="str">
        <f t="shared" si="20"/>
        <v>Burns, Susan J._01-01-20</v>
      </c>
      <c r="F111" s="2" t="s">
        <v>1203</v>
      </c>
      <c r="G111" s="2" t="s">
        <v>1241</v>
      </c>
      <c r="H111" s="2" t="s">
        <v>1220</v>
      </c>
      <c r="I111" s="2" t="s">
        <v>1223</v>
      </c>
      <c r="J111" s="2" t="s">
        <v>1234</v>
      </c>
      <c r="M111" s="5" t="str">
        <f t="shared" si="11"/>
        <v>Basic</v>
      </c>
      <c r="N111" s="5" t="str">
        <f t="shared" si="12"/>
        <v>Tax-Staff-Basic</v>
      </c>
      <c r="O111" s="5" t="str">
        <f t="shared" si="13"/>
        <v>Tax-Reviewer-Basic</v>
      </c>
      <c r="P111" s="5" t="str">
        <f t="shared" si="14"/>
        <v>Tax-Signer-Basic</v>
      </c>
      <c r="Q111" s="6">
        <v>1.4675000000000016</v>
      </c>
      <c r="R111" s="6">
        <v>0.29350000000000032</v>
      </c>
      <c r="S111" s="6">
        <v>0.14675000000000016</v>
      </c>
      <c r="T111" s="7">
        <f t="shared" si="21"/>
        <v>1.9077500000000021</v>
      </c>
      <c r="U111" s="6" t="e">
        <f>SUMIFS([1]Sheet1!$L:$L,[1]Sheet1!$I:$I,AJ111,[1]Sheet1!$C:$C,A111)</f>
        <v>#VALUE!</v>
      </c>
      <c r="V111" s="6"/>
      <c r="W111" s="6"/>
      <c r="X111" s="7" t="e">
        <f t="shared" si="15"/>
        <v>#VALUE!</v>
      </c>
      <c r="Y111" s="6"/>
      <c r="AJ111" s="5" t="str">
        <f t="shared" si="16"/>
        <v>NM 1040 - Personal</v>
      </c>
      <c r="AK111" s="5" t="str">
        <f t="shared" si="17"/>
        <v>NM-Tax Services-ANN-1040 - Personal_Basic</v>
      </c>
      <c r="AL111" s="5" t="str">
        <f t="shared" si="18"/>
        <v>Burns,_5938_NM 1040 - Personal</v>
      </c>
      <c r="AM111" s="5" t="str">
        <f t="shared" si="19"/>
        <v>Burns,_5938_NM-Tax Services-ANN-1040 - Personal_Basic</v>
      </c>
    </row>
    <row r="112" spans="1:39" x14ac:dyDescent="0.25">
      <c r="A112" s="2" t="s">
        <v>1014</v>
      </c>
      <c r="B112" s="2" t="s">
        <v>1015</v>
      </c>
      <c r="C112" s="2" t="s">
        <v>1196</v>
      </c>
      <c r="D112" s="8">
        <v>43831</v>
      </c>
      <c r="E112" s="5" t="str">
        <f t="shared" si="20"/>
        <v>Cairn Business Consulting, LLC_01-01-20</v>
      </c>
      <c r="F112" s="2" t="s">
        <v>1200</v>
      </c>
      <c r="G112" s="2" t="s">
        <v>1241</v>
      </c>
      <c r="H112" s="2" t="s">
        <v>1220</v>
      </c>
      <c r="I112" s="2" t="s">
        <v>1223</v>
      </c>
      <c r="J112" s="2" t="s">
        <v>1234</v>
      </c>
      <c r="M112" s="5" t="str">
        <f t="shared" si="11"/>
        <v>Basic</v>
      </c>
      <c r="N112" s="5" t="str">
        <f t="shared" si="12"/>
        <v>Tax-Staff-Basic</v>
      </c>
      <c r="O112" s="5" t="str">
        <f t="shared" si="13"/>
        <v>Tax-Reviewer-Basic</v>
      </c>
      <c r="P112" s="5" t="str">
        <f t="shared" si="14"/>
        <v>Tax-Signer-Basic</v>
      </c>
      <c r="Q112" s="6">
        <v>0.5</v>
      </c>
      <c r="R112" s="6">
        <v>0.1</v>
      </c>
      <c r="S112" s="6">
        <v>0.05</v>
      </c>
      <c r="T112" s="7">
        <f t="shared" si="21"/>
        <v>0.65</v>
      </c>
      <c r="U112" s="6" t="e">
        <f>SUMIFS([1]Sheet1!$L:$L,[1]Sheet1!$I:$I,AJ112,[1]Sheet1!$C:$C,A112)</f>
        <v>#VALUE!</v>
      </c>
      <c r="V112" s="6"/>
      <c r="W112" s="6"/>
      <c r="X112" s="7" t="e">
        <f t="shared" si="15"/>
        <v>#VALUE!</v>
      </c>
      <c r="Y112" s="6"/>
      <c r="AJ112" s="5" t="str">
        <f t="shared" si="16"/>
        <v>NM Texas Franchise Tax Return</v>
      </c>
      <c r="AK112" s="5" t="str">
        <f t="shared" si="17"/>
        <v>NM-Tax Services-ANN-Texas Franchise Tax Return_Basic</v>
      </c>
      <c r="AL112" s="5" t="str">
        <f t="shared" si="18"/>
        <v>Cairn Bu_TX-FTR_1_NM Texas Franchise Tax Return</v>
      </c>
      <c r="AM112" s="5" t="str">
        <f t="shared" si="19"/>
        <v>Cairn Bu_TX-FTR_1_NM-Tax Services-ANN-Texas Franchise Tax Return_Basic</v>
      </c>
    </row>
    <row r="113" spans="1:39" x14ac:dyDescent="0.25">
      <c r="A113" s="2" t="s">
        <v>970</v>
      </c>
      <c r="B113" s="2" t="s">
        <v>971</v>
      </c>
      <c r="C113" s="2" t="s">
        <v>1197</v>
      </c>
      <c r="D113" s="8">
        <v>43831</v>
      </c>
      <c r="E113" s="5" t="str">
        <f t="shared" si="20"/>
        <v>Callaway, Stephen K &amp; Sharayah R_01-01-20</v>
      </c>
      <c r="F113" s="2" t="s">
        <v>1203</v>
      </c>
      <c r="G113" s="2" t="s">
        <v>1241</v>
      </c>
      <c r="H113" s="2" t="s">
        <v>1220</v>
      </c>
      <c r="I113" s="2" t="s">
        <v>1221</v>
      </c>
      <c r="J113" s="2" t="s">
        <v>1234</v>
      </c>
      <c r="M113" s="5" t="str">
        <f t="shared" si="11"/>
        <v>Mid</v>
      </c>
      <c r="N113" s="5" t="str">
        <f t="shared" si="12"/>
        <v>Tax-Staff-Mid</v>
      </c>
      <c r="O113" s="5" t="str">
        <f t="shared" si="13"/>
        <v>Tax-Reviewer-Mid</v>
      </c>
      <c r="P113" s="5" t="str">
        <f t="shared" si="14"/>
        <v>Tax-Signer-Mid</v>
      </c>
      <c r="Q113" s="6">
        <v>2.7401969696969677</v>
      </c>
      <c r="R113" s="6">
        <v>0.5480393939393936</v>
      </c>
      <c r="S113" s="6">
        <v>0.2740196969696968</v>
      </c>
      <c r="T113" s="7">
        <f t="shared" si="21"/>
        <v>3.562256060606058</v>
      </c>
      <c r="U113" s="6" t="e">
        <f>SUMIFS([1]Sheet1!$L:$L,[1]Sheet1!$I:$I,AJ113,[1]Sheet1!$C:$C,A113)</f>
        <v>#VALUE!</v>
      </c>
      <c r="V113" s="6"/>
      <c r="W113" s="6"/>
      <c r="X113" s="7" t="e">
        <f t="shared" si="15"/>
        <v>#VALUE!</v>
      </c>
      <c r="Y113" s="6"/>
      <c r="AJ113" s="5" t="str">
        <f t="shared" si="16"/>
        <v>MO 1040 - Personal</v>
      </c>
      <c r="AK113" s="5" t="str">
        <f t="shared" si="17"/>
        <v>MO-Tax Services-ANN-1040 - Personal_Mid</v>
      </c>
      <c r="AL113" s="5" t="str">
        <f t="shared" si="18"/>
        <v>Callaw_9857_MO 1040 - Personal</v>
      </c>
      <c r="AM113" s="5" t="str">
        <f t="shared" si="19"/>
        <v>Callaw_9857_MO-Tax Services-ANN-1040 - Personal_Mid</v>
      </c>
    </row>
    <row r="114" spans="1:39" x14ac:dyDescent="0.25">
      <c r="A114" s="2" t="s">
        <v>477</v>
      </c>
      <c r="B114" s="2" t="s">
        <v>478</v>
      </c>
      <c r="C114" s="2" t="s">
        <v>1196</v>
      </c>
      <c r="D114" s="8">
        <v>43831</v>
      </c>
      <c r="E114" s="5" t="str">
        <f t="shared" si="20"/>
        <v>Camm, Phil_01-01-20</v>
      </c>
      <c r="F114" s="2" t="s">
        <v>1203</v>
      </c>
      <c r="G114" s="2" t="s">
        <v>1241</v>
      </c>
      <c r="H114" s="2" t="s">
        <v>1220</v>
      </c>
      <c r="I114" s="2" t="s">
        <v>1221</v>
      </c>
      <c r="J114" s="2" t="s">
        <v>1234</v>
      </c>
      <c r="M114" s="5" t="str">
        <f t="shared" si="11"/>
        <v>Mid</v>
      </c>
      <c r="N114" s="5" t="str">
        <f t="shared" si="12"/>
        <v>Tax-Staff-Mid</v>
      </c>
      <c r="O114" s="5" t="str">
        <f t="shared" si="13"/>
        <v>Tax-Reviewer-Mid</v>
      </c>
      <c r="P114" s="5" t="str">
        <f t="shared" si="14"/>
        <v>Tax-Signer-Mid</v>
      </c>
      <c r="Q114" s="6">
        <v>2.7401969696969677</v>
      </c>
      <c r="R114" s="6">
        <v>0.5480393939393936</v>
      </c>
      <c r="S114" s="6">
        <v>0.2740196969696968</v>
      </c>
      <c r="T114" s="7">
        <f t="shared" si="21"/>
        <v>3.562256060606058</v>
      </c>
      <c r="U114" s="6" t="e">
        <f>SUMIFS([1]Sheet1!$L:$L,[1]Sheet1!$I:$I,AJ114,[1]Sheet1!$C:$C,A114)</f>
        <v>#VALUE!</v>
      </c>
      <c r="V114" s="6"/>
      <c r="W114" s="6"/>
      <c r="X114" s="7" t="e">
        <f t="shared" si="15"/>
        <v>#VALUE!</v>
      </c>
      <c r="Y114" s="6"/>
      <c r="AJ114" s="5" t="str">
        <f t="shared" si="16"/>
        <v>NM 1040 - Personal</v>
      </c>
      <c r="AK114" s="5" t="str">
        <f t="shared" si="17"/>
        <v>NM-Tax Services-ANN-1040 - Personal_Mid</v>
      </c>
      <c r="AL114" s="5" t="str">
        <f t="shared" si="18"/>
        <v>Camm, _1650_NM 1040 - Personal</v>
      </c>
      <c r="AM114" s="5" t="str">
        <f t="shared" si="19"/>
        <v>Camm, _1650_NM-Tax Services-ANN-1040 - Personal_Mid</v>
      </c>
    </row>
    <row r="115" spans="1:39" x14ac:dyDescent="0.25">
      <c r="A115" s="2" t="s">
        <v>918</v>
      </c>
      <c r="B115" s="2" t="s">
        <v>919</v>
      </c>
      <c r="C115" s="2" t="s">
        <v>1196</v>
      </c>
      <c r="D115" s="8">
        <v>43831</v>
      </c>
      <c r="E115" s="5" t="str">
        <f t="shared" si="20"/>
        <v>Cantrell, Aaron_01-01-20</v>
      </c>
      <c r="F115" s="2" t="s">
        <v>1203</v>
      </c>
      <c r="G115" s="2" t="s">
        <v>1241</v>
      </c>
      <c r="H115" s="2" t="s">
        <v>1220</v>
      </c>
      <c r="I115" s="2" t="s">
        <v>1223</v>
      </c>
      <c r="J115" s="2" t="s">
        <v>1234</v>
      </c>
      <c r="M115" s="5" t="str">
        <f t="shared" si="11"/>
        <v>Basic</v>
      </c>
      <c r="N115" s="5" t="str">
        <f t="shared" si="12"/>
        <v>Tax-Staff-Basic</v>
      </c>
      <c r="O115" s="5" t="str">
        <f t="shared" si="13"/>
        <v>Tax-Reviewer-Basic</v>
      </c>
      <c r="P115" s="5" t="str">
        <f t="shared" si="14"/>
        <v>Tax-Signer-Basic</v>
      </c>
      <c r="Q115" s="6">
        <v>1.4675000000000016</v>
      </c>
      <c r="R115" s="6">
        <v>0.29350000000000032</v>
      </c>
      <c r="S115" s="6">
        <v>0.14675000000000016</v>
      </c>
      <c r="T115" s="7">
        <f t="shared" si="21"/>
        <v>1.9077500000000021</v>
      </c>
      <c r="U115" s="6" t="e">
        <f>SUMIFS([1]Sheet1!$L:$L,[1]Sheet1!$I:$I,AJ115,[1]Sheet1!$C:$C,A115)</f>
        <v>#VALUE!</v>
      </c>
      <c r="V115" s="6"/>
      <c r="W115" s="6"/>
      <c r="X115" s="7" t="e">
        <f t="shared" si="15"/>
        <v>#VALUE!</v>
      </c>
      <c r="Y115" s="6"/>
      <c r="AJ115" s="5" t="str">
        <f t="shared" si="16"/>
        <v>NM 1040 - Personal</v>
      </c>
      <c r="AK115" s="5" t="str">
        <f t="shared" si="17"/>
        <v>NM-Tax Services-ANN-1040 - Personal_Basic</v>
      </c>
      <c r="AL115" s="5" t="str">
        <f t="shared" si="18"/>
        <v>Cantre_2871_NM 1040 - Personal</v>
      </c>
      <c r="AM115" s="5" t="str">
        <f t="shared" si="19"/>
        <v>Cantre_2871_NM-Tax Services-ANN-1040 - Personal_Basic</v>
      </c>
    </row>
    <row r="116" spans="1:39" x14ac:dyDescent="0.25">
      <c r="A116" s="2" t="s">
        <v>29</v>
      </c>
      <c r="B116" s="2" t="s">
        <v>30</v>
      </c>
      <c r="C116" s="2" t="s">
        <v>1197</v>
      </c>
      <c r="D116" s="8">
        <v>43831</v>
      </c>
      <c r="E116" s="5" t="str">
        <f t="shared" si="20"/>
        <v>Card Wave Inc._01-01-20</v>
      </c>
      <c r="F116" s="2" t="s">
        <v>1206</v>
      </c>
      <c r="G116" s="2" t="s">
        <v>1241</v>
      </c>
      <c r="H116" s="2" t="s">
        <v>1220</v>
      </c>
      <c r="I116" s="2" t="s">
        <v>1221</v>
      </c>
      <c r="J116" s="2" t="s">
        <v>1234</v>
      </c>
      <c r="M116" s="5" t="str">
        <f t="shared" si="11"/>
        <v>Mid</v>
      </c>
      <c r="N116" s="5" t="str">
        <f t="shared" si="12"/>
        <v>Tax-Staff-Mid</v>
      </c>
      <c r="O116" s="5" t="str">
        <f t="shared" si="13"/>
        <v>Tax-Reviewer-Mid</v>
      </c>
      <c r="P116" s="5" t="str">
        <f t="shared" si="14"/>
        <v>Tax-Signer-Mid</v>
      </c>
      <c r="Q116" s="6">
        <v>2.7401969696969677</v>
      </c>
      <c r="R116" s="6">
        <v>0.5480393939393936</v>
      </c>
      <c r="S116" s="6">
        <v>0.2740196969696968</v>
      </c>
      <c r="T116" s="7">
        <f t="shared" si="21"/>
        <v>3.562256060606058</v>
      </c>
      <c r="U116" s="6" t="e">
        <f>SUMIFS([1]Sheet1!$L:$L,[1]Sheet1!$I:$I,AJ116,[1]Sheet1!$C:$C,A116)</f>
        <v>#VALUE!</v>
      </c>
      <c r="V116" s="6"/>
      <c r="W116" s="6"/>
      <c r="X116" s="7" t="e">
        <f t="shared" si="15"/>
        <v>#VALUE!</v>
      </c>
      <c r="Y116" s="6"/>
      <c r="AJ116" s="5" t="str">
        <f t="shared" si="16"/>
        <v>MO 1120 - C Corporation</v>
      </c>
      <c r="AK116" s="5" t="str">
        <f t="shared" si="17"/>
        <v>MO-Tax Services-ANN-1120 - C Corporation_Mid</v>
      </c>
      <c r="AL116" s="5" t="str">
        <f t="shared" si="18"/>
        <v>Card Wav_1120C_30-0891115_MO 1120 - C Corporation</v>
      </c>
      <c r="AM116" s="5" t="str">
        <f t="shared" si="19"/>
        <v>Card Wav_1120C_30-0891115_MO-Tax Services-ANN-1120 - C Corporation_Mid</v>
      </c>
    </row>
    <row r="117" spans="1:39" x14ac:dyDescent="0.25">
      <c r="A117" s="2" t="s">
        <v>29</v>
      </c>
      <c r="B117" s="2" t="s">
        <v>30</v>
      </c>
      <c r="C117" s="2" t="s">
        <v>1197</v>
      </c>
      <c r="D117" s="8">
        <v>43831</v>
      </c>
      <c r="E117" s="5" t="str">
        <f t="shared" si="20"/>
        <v>Card Wave Inc._01-01-20</v>
      </c>
      <c r="F117" s="2" t="s">
        <v>1201</v>
      </c>
      <c r="G117" s="2" t="s">
        <v>1201</v>
      </c>
      <c r="H117" s="2" t="s">
        <v>1197</v>
      </c>
      <c r="I117" s="2" t="s">
        <v>1222</v>
      </c>
      <c r="J117" s="2" t="s">
        <v>1235</v>
      </c>
      <c r="M117" s="5" t="str">
        <f t="shared" si="11"/>
        <v>Adv</v>
      </c>
      <c r="N117" s="5" t="str">
        <f t="shared" si="12"/>
        <v>Accountant-Staff-Adv</v>
      </c>
      <c r="O117" s="5" t="str">
        <f t="shared" si="13"/>
        <v>Accountant-Reviewer-Adv</v>
      </c>
      <c r="P117" s="5" t="str">
        <f t="shared" si="14"/>
        <v>Accountant-Signer-Adv</v>
      </c>
      <c r="Q117" s="6">
        <v>1.47</v>
      </c>
      <c r="R117" s="6">
        <v>0.29399999999999998</v>
      </c>
      <c r="S117" s="6">
        <v>0.14699999999999999</v>
      </c>
      <c r="T117" s="7">
        <f t="shared" si="21"/>
        <v>1.911</v>
      </c>
      <c r="U117" s="6" t="e">
        <f>SUMIFS([1]Sheet1!$L:$L,[1]Sheet1!$I:$I,AJ117,[1]Sheet1!$C:$C,A117)</f>
        <v>#VALUE!</v>
      </c>
      <c r="V117" s="6"/>
      <c r="W117" s="6"/>
      <c r="X117" s="7" t="e">
        <f t="shared" si="15"/>
        <v>#VALUE!</v>
      </c>
      <c r="Y117" s="6"/>
      <c r="AJ117" s="5" t="str">
        <f t="shared" si="16"/>
        <v>MO Accounting Services</v>
      </c>
      <c r="AK117" s="5" t="str">
        <f t="shared" si="17"/>
        <v>MO-Accounting Services-MO-Accounting Services_Adv</v>
      </c>
      <c r="AL117" s="5" t="str">
        <f t="shared" si="18"/>
        <v>Card Wav_1120C_30-0891115_MO Accounting Services</v>
      </c>
      <c r="AM117" s="5" t="str">
        <f t="shared" si="19"/>
        <v>Card Wav_1120C_30-0891115_MO-Accounting Services-MO-Accounting Services_Adv</v>
      </c>
    </row>
    <row r="118" spans="1:39" x14ac:dyDescent="0.25">
      <c r="A118" s="2" t="s">
        <v>29</v>
      </c>
      <c r="B118" s="2" t="s">
        <v>30</v>
      </c>
      <c r="C118" s="2" t="s">
        <v>1197</v>
      </c>
      <c r="D118" s="8">
        <v>43831</v>
      </c>
      <c r="E118" s="5" t="str">
        <f t="shared" si="20"/>
        <v>Card Wave Inc._01-01-20</v>
      </c>
      <c r="F118" s="2" t="s">
        <v>1200</v>
      </c>
      <c r="G118" s="2" t="s">
        <v>1241</v>
      </c>
      <c r="H118" s="2" t="s">
        <v>1220</v>
      </c>
      <c r="I118" s="2" t="s">
        <v>1222</v>
      </c>
      <c r="J118" s="2" t="s">
        <v>1234</v>
      </c>
      <c r="M118" s="5" t="str">
        <f t="shared" si="11"/>
        <v>Adv</v>
      </c>
      <c r="N118" s="5" t="str">
        <f t="shared" si="12"/>
        <v>Tax-Staff-Adv</v>
      </c>
      <c r="O118" s="5" t="str">
        <f t="shared" si="13"/>
        <v>Tax-Reviewer-Adv</v>
      </c>
      <c r="P118" s="5" t="str">
        <f t="shared" si="14"/>
        <v>Tax-Signer-Adv</v>
      </c>
      <c r="Q118" s="6">
        <v>1.5</v>
      </c>
      <c r="R118" s="6">
        <v>0.30000000000000004</v>
      </c>
      <c r="S118" s="6">
        <v>0.15000000000000002</v>
      </c>
      <c r="T118" s="7">
        <f t="shared" si="21"/>
        <v>1.9500000000000002</v>
      </c>
      <c r="U118" s="6" t="e">
        <f>SUMIFS([1]Sheet1!$L:$L,[1]Sheet1!$I:$I,AJ118,[1]Sheet1!$C:$C,A118)</f>
        <v>#VALUE!</v>
      </c>
      <c r="V118" s="6"/>
      <c r="W118" s="6"/>
      <c r="X118" s="7" t="e">
        <f t="shared" si="15"/>
        <v>#VALUE!</v>
      </c>
      <c r="Y118" s="6"/>
      <c r="AJ118" s="5" t="str">
        <f t="shared" si="16"/>
        <v>MO Texas Franchise Tax Return</v>
      </c>
      <c r="AK118" s="5" t="str">
        <f t="shared" si="17"/>
        <v>MO-Tax Services-ANN-Texas Franchise Tax Return_Adv</v>
      </c>
      <c r="AL118" s="5" t="str">
        <f t="shared" si="18"/>
        <v>Card Wav_1120C_30-0891115_MO Texas Franchise Tax Return</v>
      </c>
      <c r="AM118" s="5" t="str">
        <f t="shared" si="19"/>
        <v>Card Wav_1120C_30-0891115_MO-Tax Services-ANN-Texas Franchise Tax Return_Adv</v>
      </c>
    </row>
    <row r="119" spans="1:39" x14ac:dyDescent="0.25">
      <c r="A119" s="2" t="s">
        <v>341</v>
      </c>
      <c r="B119" s="2" t="s">
        <v>342</v>
      </c>
      <c r="C119" s="2" t="s">
        <v>1196</v>
      </c>
      <c r="D119" s="8">
        <v>43831</v>
      </c>
      <c r="E119" s="5" t="str">
        <f t="shared" si="20"/>
        <v>Cardinal Indemnity Group, LLC_01-01-20</v>
      </c>
      <c r="F119" s="2" t="s">
        <v>1199</v>
      </c>
      <c r="G119" s="2" t="s">
        <v>1241</v>
      </c>
      <c r="H119" s="2" t="s">
        <v>1220</v>
      </c>
      <c r="I119" s="2" t="s">
        <v>1223</v>
      </c>
      <c r="J119" s="2" t="s">
        <v>1234</v>
      </c>
      <c r="M119" s="5" t="str">
        <f t="shared" si="11"/>
        <v>Basic</v>
      </c>
      <c r="N119" s="5" t="str">
        <f t="shared" si="12"/>
        <v>Tax-Staff-Basic</v>
      </c>
      <c r="O119" s="5" t="str">
        <f t="shared" si="13"/>
        <v>Tax-Reviewer-Basic</v>
      </c>
      <c r="P119" s="5" t="str">
        <f t="shared" si="14"/>
        <v>Tax-Signer-Basic</v>
      </c>
      <c r="Q119" s="6">
        <v>1.4675000000000016</v>
      </c>
      <c r="R119" s="6">
        <v>0.29350000000000032</v>
      </c>
      <c r="S119" s="6">
        <v>0.14675000000000016</v>
      </c>
      <c r="T119" s="7">
        <f t="shared" si="21"/>
        <v>1.9077500000000021</v>
      </c>
      <c r="U119" s="6" t="e">
        <f>SUMIFS([1]Sheet1!$L:$L,[1]Sheet1!$I:$I,AJ119,[1]Sheet1!$C:$C,A119)</f>
        <v>#VALUE!</v>
      </c>
      <c r="V119" s="6"/>
      <c r="W119" s="6"/>
      <c r="X119" s="7" t="e">
        <f t="shared" si="15"/>
        <v>#VALUE!</v>
      </c>
      <c r="Y119" s="6"/>
      <c r="AJ119" s="5" t="str">
        <f t="shared" si="16"/>
        <v>NM 1065 - Partnership</v>
      </c>
      <c r="AK119" s="5" t="str">
        <f t="shared" si="17"/>
        <v>NM-Tax Services-ANN-1065 - Partnership_Basic</v>
      </c>
      <c r="AL119" s="5" t="str">
        <f t="shared" si="18"/>
        <v>Cardinal_1065_81-4626892_NM 1065 - Partnership</v>
      </c>
      <c r="AM119" s="5" t="str">
        <f t="shared" si="19"/>
        <v>Cardinal_1065_81-4626892_NM-Tax Services-ANN-1065 - Partnership_Basic</v>
      </c>
    </row>
    <row r="120" spans="1:39" x14ac:dyDescent="0.25">
      <c r="A120" s="2" t="s">
        <v>479</v>
      </c>
      <c r="B120" s="2" t="s">
        <v>480</v>
      </c>
      <c r="C120" s="2" t="s">
        <v>1196</v>
      </c>
      <c r="D120" s="8">
        <v>43831</v>
      </c>
      <c r="E120" s="5" t="str">
        <f t="shared" si="20"/>
        <v>Carel Jr., Edward J._01-01-20</v>
      </c>
      <c r="F120" s="2" t="s">
        <v>1203</v>
      </c>
      <c r="G120" s="2" t="s">
        <v>1241</v>
      </c>
      <c r="H120" s="2" t="s">
        <v>1220</v>
      </c>
      <c r="I120" s="2" t="s">
        <v>1223</v>
      </c>
      <c r="J120" s="2" t="s">
        <v>1234</v>
      </c>
      <c r="M120" s="5" t="str">
        <f t="shared" si="11"/>
        <v>Basic</v>
      </c>
      <c r="N120" s="5" t="str">
        <f t="shared" si="12"/>
        <v>Tax-Staff-Basic</v>
      </c>
      <c r="O120" s="5" t="str">
        <f t="shared" si="13"/>
        <v>Tax-Reviewer-Basic</v>
      </c>
      <c r="P120" s="5" t="str">
        <f t="shared" si="14"/>
        <v>Tax-Signer-Basic</v>
      </c>
      <c r="Q120" s="6">
        <v>1.4675000000000016</v>
      </c>
      <c r="R120" s="6">
        <v>0.29350000000000032</v>
      </c>
      <c r="S120" s="6">
        <v>0.14675000000000016</v>
      </c>
      <c r="T120" s="7">
        <f t="shared" si="21"/>
        <v>1.9077500000000021</v>
      </c>
      <c r="U120" s="6" t="e">
        <f>SUMIFS([1]Sheet1!$L:$L,[1]Sheet1!$I:$I,AJ120,[1]Sheet1!$C:$C,A120)</f>
        <v>#VALUE!</v>
      </c>
      <c r="V120" s="6"/>
      <c r="W120" s="6"/>
      <c r="X120" s="7" t="e">
        <f t="shared" si="15"/>
        <v>#VALUE!</v>
      </c>
      <c r="Y120" s="6"/>
      <c r="AJ120" s="5" t="str">
        <f t="shared" si="16"/>
        <v>NM 1040 - Personal</v>
      </c>
      <c r="AK120" s="5" t="str">
        <f t="shared" si="17"/>
        <v>NM-Tax Services-ANN-1040 - Personal_Basic</v>
      </c>
      <c r="AL120" s="5" t="str">
        <f t="shared" si="18"/>
        <v>Carel _5278_NM 1040 - Personal</v>
      </c>
      <c r="AM120" s="5" t="str">
        <f t="shared" si="19"/>
        <v>Carel _5278_NM-Tax Services-ANN-1040 - Personal_Basic</v>
      </c>
    </row>
    <row r="121" spans="1:39" x14ac:dyDescent="0.25">
      <c r="A121" s="2" t="s">
        <v>481</v>
      </c>
      <c r="B121" s="2" t="s">
        <v>482</v>
      </c>
      <c r="C121" s="2" t="s">
        <v>1196</v>
      </c>
      <c r="D121" s="8">
        <v>43831</v>
      </c>
      <c r="E121" s="5" t="str">
        <f t="shared" si="20"/>
        <v>Casada, Christopher &amp; Marla_01-01-20</v>
      </c>
      <c r="F121" s="2" t="s">
        <v>1203</v>
      </c>
      <c r="G121" s="2" t="s">
        <v>1241</v>
      </c>
      <c r="H121" s="2" t="s">
        <v>1220</v>
      </c>
      <c r="I121" s="2" t="s">
        <v>1223</v>
      </c>
      <c r="J121" s="2" t="s">
        <v>1234</v>
      </c>
      <c r="M121" s="5" t="str">
        <f t="shared" si="11"/>
        <v>Basic</v>
      </c>
      <c r="N121" s="5" t="str">
        <f t="shared" si="12"/>
        <v>Tax-Staff-Basic</v>
      </c>
      <c r="O121" s="5" t="str">
        <f t="shared" si="13"/>
        <v>Tax-Reviewer-Basic</v>
      </c>
      <c r="P121" s="5" t="str">
        <f t="shared" si="14"/>
        <v>Tax-Signer-Basic</v>
      </c>
      <c r="Q121" s="6">
        <v>1.4675000000000016</v>
      </c>
      <c r="R121" s="6">
        <v>0.29350000000000032</v>
      </c>
      <c r="S121" s="6">
        <v>0.14675000000000016</v>
      </c>
      <c r="T121" s="7">
        <f t="shared" si="21"/>
        <v>1.9077500000000021</v>
      </c>
      <c r="U121" s="6" t="e">
        <f>SUMIFS([1]Sheet1!$L:$L,[1]Sheet1!$I:$I,AJ121,[1]Sheet1!$C:$C,A121)</f>
        <v>#VALUE!</v>
      </c>
      <c r="V121" s="6"/>
      <c r="W121" s="6"/>
      <c r="X121" s="7" t="e">
        <f t="shared" si="15"/>
        <v>#VALUE!</v>
      </c>
      <c r="Y121" s="6"/>
      <c r="AJ121" s="5" t="str">
        <f t="shared" si="16"/>
        <v>NM 1040 - Personal</v>
      </c>
      <c r="AK121" s="5" t="str">
        <f t="shared" si="17"/>
        <v>NM-Tax Services-ANN-1040 - Personal_Basic</v>
      </c>
      <c r="AL121" s="5" t="str">
        <f t="shared" si="18"/>
        <v>Casada_5354_NM 1040 - Personal</v>
      </c>
      <c r="AM121" s="5" t="str">
        <f t="shared" si="19"/>
        <v>Casada_5354_NM-Tax Services-ANN-1040 - Personal_Basic</v>
      </c>
    </row>
    <row r="122" spans="1:39" x14ac:dyDescent="0.25">
      <c r="A122" s="2" t="s">
        <v>483</v>
      </c>
      <c r="B122" s="2" t="s">
        <v>484</v>
      </c>
      <c r="C122" s="2" t="s">
        <v>1196</v>
      </c>
      <c r="D122" s="8">
        <v>43831</v>
      </c>
      <c r="E122" s="5" t="str">
        <f t="shared" si="20"/>
        <v>Castilleja, Salvador &amp; Esther_01-01-20</v>
      </c>
      <c r="F122" s="2" t="s">
        <v>1203</v>
      </c>
      <c r="G122" s="2" t="s">
        <v>1241</v>
      </c>
      <c r="H122" s="2" t="s">
        <v>1220</v>
      </c>
      <c r="I122" s="2" t="s">
        <v>1221</v>
      </c>
      <c r="J122" s="2" t="s">
        <v>1234</v>
      </c>
      <c r="M122" s="5" t="str">
        <f t="shared" si="11"/>
        <v>Mid</v>
      </c>
      <c r="N122" s="5" t="str">
        <f t="shared" si="12"/>
        <v>Tax-Staff-Mid</v>
      </c>
      <c r="O122" s="5" t="str">
        <f t="shared" si="13"/>
        <v>Tax-Reviewer-Mid</v>
      </c>
      <c r="P122" s="5" t="str">
        <f t="shared" si="14"/>
        <v>Tax-Signer-Mid</v>
      </c>
      <c r="Q122" s="6">
        <v>2.7401969696969677</v>
      </c>
      <c r="R122" s="6">
        <v>0.5480393939393936</v>
      </c>
      <c r="S122" s="6">
        <v>0.2740196969696968</v>
      </c>
      <c r="T122" s="7">
        <f t="shared" si="21"/>
        <v>3.562256060606058</v>
      </c>
      <c r="U122" s="6" t="e">
        <f>SUMIFS([1]Sheet1!$L:$L,[1]Sheet1!$I:$I,AJ122,[1]Sheet1!$C:$C,A122)</f>
        <v>#VALUE!</v>
      </c>
      <c r="V122" s="6"/>
      <c r="W122" s="6"/>
      <c r="X122" s="7" t="e">
        <f t="shared" si="15"/>
        <v>#VALUE!</v>
      </c>
      <c r="Y122" s="6"/>
      <c r="AJ122" s="5" t="str">
        <f t="shared" si="16"/>
        <v>NM 1040 - Personal</v>
      </c>
      <c r="AK122" s="5" t="str">
        <f t="shared" si="17"/>
        <v>NM-Tax Services-ANN-1040 - Personal_Mid</v>
      </c>
      <c r="AL122" s="5" t="str">
        <f t="shared" si="18"/>
        <v>Castil_7260_NM 1040 - Personal</v>
      </c>
      <c r="AM122" s="5" t="str">
        <f t="shared" si="19"/>
        <v>Castil_7260_NM-Tax Services-ANN-1040 - Personal_Mid</v>
      </c>
    </row>
    <row r="123" spans="1:39" x14ac:dyDescent="0.25">
      <c r="A123" s="2" t="s">
        <v>245</v>
      </c>
      <c r="B123" s="2" t="s">
        <v>246</v>
      </c>
      <c r="C123" s="2" t="s">
        <v>1196</v>
      </c>
      <c r="D123" s="8">
        <v>43831</v>
      </c>
      <c r="E123" s="5" t="str">
        <f t="shared" si="20"/>
        <v>CBS Floors, LLC_01-01-20</v>
      </c>
      <c r="F123" s="2" t="s">
        <v>1204</v>
      </c>
      <c r="G123" s="2" t="s">
        <v>1241</v>
      </c>
      <c r="H123" s="2" t="s">
        <v>1220</v>
      </c>
      <c r="I123" s="2" t="s">
        <v>1223</v>
      </c>
      <c r="J123" s="2" t="s">
        <v>1234</v>
      </c>
      <c r="M123" s="5" t="str">
        <f t="shared" si="11"/>
        <v>Basic</v>
      </c>
      <c r="N123" s="5" t="str">
        <f t="shared" si="12"/>
        <v>Tax-Staff-Basic</v>
      </c>
      <c r="O123" s="5" t="str">
        <f t="shared" si="13"/>
        <v>Tax-Reviewer-Basic</v>
      </c>
      <c r="P123" s="5" t="str">
        <f t="shared" si="14"/>
        <v>Tax-Signer-Basic</v>
      </c>
      <c r="Q123" s="6">
        <v>1.4675000000000016</v>
      </c>
      <c r="R123" s="6">
        <v>0.29350000000000032</v>
      </c>
      <c r="S123" s="6">
        <v>0.14675000000000016</v>
      </c>
      <c r="T123" s="7">
        <f t="shared" si="21"/>
        <v>1.9077500000000021</v>
      </c>
      <c r="U123" s="6" t="e">
        <f>SUMIFS([1]Sheet1!$L:$L,[1]Sheet1!$I:$I,AJ123,[1]Sheet1!$C:$C,A123)</f>
        <v>#VALUE!</v>
      </c>
      <c r="V123" s="6"/>
      <c r="W123" s="6"/>
      <c r="X123" s="7" t="e">
        <f t="shared" si="15"/>
        <v>#VALUE!</v>
      </c>
      <c r="Y123" s="6"/>
      <c r="AJ123" s="5" t="str">
        <f t="shared" si="16"/>
        <v>NM 1120S - S Corporation</v>
      </c>
      <c r="AK123" s="5" t="str">
        <f t="shared" si="17"/>
        <v>NM-Tax Services-ANN-1120S - S Corporation_Basic</v>
      </c>
      <c r="AL123" s="5" t="str">
        <f t="shared" si="18"/>
        <v>CBS Floo_1120S_47-1516291_NM 1120S - S Corporation</v>
      </c>
      <c r="AM123" s="5" t="str">
        <f t="shared" si="19"/>
        <v>CBS Floo_1120S_47-1516291_NM-Tax Services-ANN-1120S - S Corporation_Basic</v>
      </c>
    </row>
    <row r="124" spans="1:39" x14ac:dyDescent="0.25">
      <c r="A124" s="2" t="s">
        <v>31</v>
      </c>
      <c r="B124" s="2" t="s">
        <v>32</v>
      </c>
      <c r="C124" s="2" t="s">
        <v>1197</v>
      </c>
      <c r="D124" s="8">
        <v>43831</v>
      </c>
      <c r="E124" s="5" t="str">
        <f t="shared" si="20"/>
        <v>CDJ Flooring, LLC_01-01-20</v>
      </c>
      <c r="F124" s="2" t="s">
        <v>1201</v>
      </c>
      <c r="G124" s="2" t="s">
        <v>1201</v>
      </c>
      <c r="H124" s="2" t="s">
        <v>1197</v>
      </c>
      <c r="I124" s="2" t="s">
        <v>1223</v>
      </c>
      <c r="J124" s="2" t="s">
        <v>1235</v>
      </c>
      <c r="M124" s="5" t="str">
        <f t="shared" si="11"/>
        <v>Basic</v>
      </c>
      <c r="N124" s="5" t="str">
        <f t="shared" si="12"/>
        <v>Accountant-Staff-Basic</v>
      </c>
      <c r="O124" s="5" t="str">
        <f t="shared" si="13"/>
        <v>Accountant-Reviewer-Basic</v>
      </c>
      <c r="P124" s="5" t="str">
        <f t="shared" si="14"/>
        <v>Accountant-Signer-Basic</v>
      </c>
      <c r="Q124" s="6">
        <v>1.47</v>
      </c>
      <c r="R124" s="6">
        <v>0.29399999999999998</v>
      </c>
      <c r="S124" s="6">
        <v>0.14699999999999999</v>
      </c>
      <c r="T124" s="7">
        <f t="shared" si="21"/>
        <v>1.911</v>
      </c>
      <c r="U124" s="6" t="e">
        <f>SUMIFS([1]Sheet1!$L:$L,[1]Sheet1!$I:$I,AJ124,[1]Sheet1!$C:$C,A124)</f>
        <v>#VALUE!</v>
      </c>
      <c r="V124" s="6"/>
      <c r="W124" s="6"/>
      <c r="X124" s="7" t="e">
        <f t="shared" si="15"/>
        <v>#VALUE!</v>
      </c>
      <c r="Y124" s="6"/>
      <c r="AJ124" s="5" t="str">
        <f t="shared" si="16"/>
        <v>MO Accounting Services</v>
      </c>
      <c r="AK124" s="5" t="str">
        <f t="shared" si="17"/>
        <v>MO-Accounting Services-MO-Accounting Services_Basic</v>
      </c>
      <c r="AL124" s="5" t="str">
        <f t="shared" si="18"/>
        <v>CDJ Floo_1040_26-4630607_MO Accounting Services</v>
      </c>
      <c r="AM124" s="5" t="str">
        <f t="shared" si="19"/>
        <v>CDJ Floo_1040_26-4630607_MO-Accounting Services-MO-Accounting Services_Basic</v>
      </c>
    </row>
    <row r="125" spans="1:39" x14ac:dyDescent="0.25">
      <c r="A125" s="2" t="s">
        <v>31</v>
      </c>
      <c r="B125" s="2" t="s">
        <v>32</v>
      </c>
      <c r="C125" s="2" t="s">
        <v>1197</v>
      </c>
      <c r="D125" s="8">
        <v>43831</v>
      </c>
      <c r="E125" s="5" t="str">
        <f t="shared" si="20"/>
        <v>CDJ Flooring, LLC_01-01-20</v>
      </c>
      <c r="F125" s="2" t="s">
        <v>1202</v>
      </c>
      <c r="G125" s="2" t="s">
        <v>1201</v>
      </c>
      <c r="H125" s="2" t="s">
        <v>1197</v>
      </c>
      <c r="I125" s="2" t="s">
        <v>1223</v>
      </c>
      <c r="J125" s="2" t="s">
        <v>1235</v>
      </c>
      <c r="M125" s="5" t="str">
        <f t="shared" si="11"/>
        <v>Basic</v>
      </c>
      <c r="N125" s="5" t="str">
        <f t="shared" si="12"/>
        <v>Accountant-Staff-Basic</v>
      </c>
      <c r="O125" s="5" t="str">
        <f t="shared" si="13"/>
        <v>Accountant-Reviewer-Basic</v>
      </c>
      <c r="P125" s="5" t="str">
        <f t="shared" si="14"/>
        <v>Accountant-Signer-Basic</v>
      </c>
      <c r="Q125" s="6">
        <v>0.5</v>
      </c>
      <c r="R125" s="6">
        <v>0.1</v>
      </c>
      <c r="S125" s="6">
        <v>0.05</v>
      </c>
      <c r="T125" s="7">
        <f t="shared" si="21"/>
        <v>0.65</v>
      </c>
      <c r="U125" s="6" t="e">
        <f>SUMIFS([1]Sheet1!$L:$L,[1]Sheet1!$I:$I,AJ125,[1]Sheet1!$C:$C,A125)</f>
        <v>#VALUE!</v>
      </c>
      <c r="V125" s="6"/>
      <c r="W125" s="6"/>
      <c r="X125" s="7" t="e">
        <f t="shared" si="15"/>
        <v>#VALUE!</v>
      </c>
      <c r="Y125" s="6"/>
      <c r="AJ125" s="5" t="str">
        <f t="shared" si="16"/>
        <v>MO Sales Tax Services</v>
      </c>
      <c r="AK125" s="5" t="str">
        <f t="shared" si="17"/>
        <v>MO-Accounting Services-MO-Sales Tax Services_Basic</v>
      </c>
      <c r="AL125" s="5" t="str">
        <f t="shared" si="18"/>
        <v>CDJ Floo_1040_26-4630607_MO Sales Tax Services</v>
      </c>
      <c r="AM125" s="5" t="str">
        <f t="shared" si="19"/>
        <v>CDJ Floo_1040_26-4630607_MO-Accounting Services-MO-Sales Tax Services_Basic</v>
      </c>
    </row>
    <row r="126" spans="1:39" x14ac:dyDescent="0.25">
      <c r="A126" s="2" t="s">
        <v>33</v>
      </c>
      <c r="B126" s="2" t="s">
        <v>34</v>
      </c>
      <c r="C126" s="2" t="s">
        <v>1197</v>
      </c>
      <c r="D126" s="8">
        <v>43831</v>
      </c>
      <c r="E126" s="5" t="str">
        <f t="shared" si="20"/>
        <v>CE Educational Travel LLC_01-01-20</v>
      </c>
      <c r="F126" s="2" t="s">
        <v>1206</v>
      </c>
      <c r="G126" s="2" t="s">
        <v>1241</v>
      </c>
      <c r="H126" s="2" t="s">
        <v>1220</v>
      </c>
      <c r="I126" s="2" t="s">
        <v>1223</v>
      </c>
      <c r="J126" s="2" t="s">
        <v>1234</v>
      </c>
      <c r="M126" s="5" t="str">
        <f t="shared" si="11"/>
        <v>Basic</v>
      </c>
      <c r="N126" s="5" t="str">
        <f t="shared" si="12"/>
        <v>Tax-Staff-Basic</v>
      </c>
      <c r="O126" s="5" t="str">
        <f t="shared" si="13"/>
        <v>Tax-Reviewer-Basic</v>
      </c>
      <c r="P126" s="5" t="str">
        <f t="shared" si="14"/>
        <v>Tax-Signer-Basic</v>
      </c>
      <c r="Q126" s="6">
        <v>1.4675000000000016</v>
      </c>
      <c r="R126" s="6">
        <v>0.29350000000000032</v>
      </c>
      <c r="S126" s="6">
        <v>0.14675000000000016</v>
      </c>
      <c r="T126" s="7">
        <f t="shared" si="21"/>
        <v>1.9077500000000021</v>
      </c>
      <c r="U126" s="6" t="e">
        <f>SUMIFS([1]Sheet1!$L:$L,[1]Sheet1!$I:$I,AJ126,[1]Sheet1!$C:$C,A126)</f>
        <v>#VALUE!</v>
      </c>
      <c r="V126" s="6"/>
      <c r="W126" s="6"/>
      <c r="X126" s="7" t="e">
        <f t="shared" si="15"/>
        <v>#VALUE!</v>
      </c>
      <c r="Y126" s="6"/>
      <c r="AJ126" s="5" t="str">
        <f t="shared" si="16"/>
        <v>MO 1120 - C Corporation</v>
      </c>
      <c r="AK126" s="5" t="str">
        <f t="shared" si="17"/>
        <v>MO-Tax Services-ANN-1120 - C Corporation_Basic</v>
      </c>
      <c r="AL126" s="5" t="str">
        <f t="shared" si="18"/>
        <v>CE Educa_1120C_27-3901735_MO 1120 - C Corporation</v>
      </c>
      <c r="AM126" s="5" t="str">
        <f t="shared" si="19"/>
        <v>CE Educa_1120C_27-3901735_MO-Tax Services-ANN-1120 - C Corporation_Basic</v>
      </c>
    </row>
    <row r="127" spans="1:39" x14ac:dyDescent="0.25">
      <c r="A127" s="2" t="s">
        <v>33</v>
      </c>
      <c r="B127" s="2" t="s">
        <v>34</v>
      </c>
      <c r="C127" s="2" t="s">
        <v>1197</v>
      </c>
      <c r="D127" s="8">
        <v>43831</v>
      </c>
      <c r="E127" s="5" t="str">
        <f t="shared" si="20"/>
        <v>CE Educational Travel LLC_01-01-20</v>
      </c>
      <c r="F127" s="2" t="s">
        <v>1201</v>
      </c>
      <c r="G127" s="2" t="s">
        <v>1201</v>
      </c>
      <c r="H127" s="2" t="s">
        <v>1197</v>
      </c>
      <c r="I127" s="2" t="s">
        <v>1223</v>
      </c>
      <c r="J127" s="2" t="s">
        <v>1235</v>
      </c>
      <c r="M127" s="5" t="str">
        <f t="shared" si="11"/>
        <v>Basic</v>
      </c>
      <c r="N127" s="5" t="str">
        <f t="shared" si="12"/>
        <v>Accountant-Staff-Basic</v>
      </c>
      <c r="O127" s="5" t="str">
        <f t="shared" si="13"/>
        <v>Accountant-Reviewer-Basic</v>
      </c>
      <c r="P127" s="5" t="str">
        <f t="shared" si="14"/>
        <v>Accountant-Signer-Basic</v>
      </c>
      <c r="Q127" s="6">
        <v>1.47</v>
      </c>
      <c r="R127" s="6">
        <v>0.29399999999999998</v>
      </c>
      <c r="S127" s="6">
        <v>0.14699999999999999</v>
      </c>
      <c r="T127" s="7">
        <f t="shared" si="21"/>
        <v>1.911</v>
      </c>
      <c r="U127" s="6" t="e">
        <f>SUMIFS([1]Sheet1!$L:$L,[1]Sheet1!$I:$I,AJ127,[1]Sheet1!$C:$C,A127)</f>
        <v>#VALUE!</v>
      </c>
      <c r="V127" s="6"/>
      <c r="W127" s="6"/>
      <c r="X127" s="7" t="e">
        <f t="shared" si="15"/>
        <v>#VALUE!</v>
      </c>
      <c r="Y127" s="6"/>
      <c r="AJ127" s="5" t="str">
        <f t="shared" si="16"/>
        <v>MO Accounting Services</v>
      </c>
      <c r="AK127" s="5" t="str">
        <f t="shared" si="17"/>
        <v>MO-Accounting Services-MO-Accounting Services_Basic</v>
      </c>
      <c r="AL127" s="5" t="str">
        <f t="shared" si="18"/>
        <v>CE Educa_1120C_27-3901735_MO Accounting Services</v>
      </c>
      <c r="AM127" s="5" t="str">
        <f t="shared" si="19"/>
        <v>CE Educa_1120C_27-3901735_MO-Accounting Services-MO-Accounting Services_Basic</v>
      </c>
    </row>
    <row r="128" spans="1:39" x14ac:dyDescent="0.25">
      <c r="A128" s="2" t="s">
        <v>33</v>
      </c>
      <c r="B128" s="2" t="s">
        <v>34</v>
      </c>
      <c r="C128" s="2" t="s">
        <v>1197</v>
      </c>
      <c r="D128" s="8">
        <v>43831</v>
      </c>
      <c r="E128" s="5" t="str">
        <f t="shared" si="20"/>
        <v>CE Educational Travel LLC_01-01-20</v>
      </c>
      <c r="F128" s="2" t="s">
        <v>1200</v>
      </c>
      <c r="G128" s="2" t="s">
        <v>1241</v>
      </c>
      <c r="H128" s="2" t="s">
        <v>1220</v>
      </c>
      <c r="I128" s="2" t="s">
        <v>1221</v>
      </c>
      <c r="J128" s="2" t="s">
        <v>1234</v>
      </c>
      <c r="M128" s="5" t="str">
        <f t="shared" si="11"/>
        <v>Mid</v>
      </c>
      <c r="N128" s="5" t="str">
        <f t="shared" si="12"/>
        <v>Tax-Staff-Mid</v>
      </c>
      <c r="O128" s="5" t="str">
        <f t="shared" si="13"/>
        <v>Tax-Reviewer-Mid</v>
      </c>
      <c r="P128" s="5" t="str">
        <f t="shared" si="14"/>
        <v>Tax-Signer-Mid</v>
      </c>
      <c r="Q128" s="6">
        <v>0.75</v>
      </c>
      <c r="R128" s="6">
        <v>0.15000000000000002</v>
      </c>
      <c r="S128" s="6">
        <v>7.5000000000000011E-2</v>
      </c>
      <c r="T128" s="7">
        <f t="shared" si="21"/>
        <v>0.97500000000000009</v>
      </c>
      <c r="U128" s="6" t="e">
        <f>SUMIFS([1]Sheet1!$L:$L,[1]Sheet1!$I:$I,AJ128,[1]Sheet1!$C:$C,A128)</f>
        <v>#VALUE!</v>
      </c>
      <c r="V128" s="6"/>
      <c r="W128" s="6"/>
      <c r="X128" s="7" t="e">
        <f t="shared" si="15"/>
        <v>#VALUE!</v>
      </c>
      <c r="Y128" s="6"/>
      <c r="AJ128" s="5" t="str">
        <f t="shared" si="16"/>
        <v>MO Texas Franchise Tax Return</v>
      </c>
      <c r="AK128" s="5" t="str">
        <f t="shared" si="17"/>
        <v>MO-Tax Services-ANN-Texas Franchise Tax Return_Mid</v>
      </c>
      <c r="AL128" s="5" t="str">
        <f t="shared" si="18"/>
        <v>CE Educa_1120C_27-3901735_MO Texas Franchise Tax Return</v>
      </c>
      <c r="AM128" s="5" t="str">
        <f t="shared" si="19"/>
        <v>CE Educa_1120C_27-3901735_MO-Tax Services-ANN-Texas Franchise Tax Return_Mid</v>
      </c>
    </row>
    <row r="129" spans="1:39" x14ac:dyDescent="0.25">
      <c r="A129" s="2" t="s">
        <v>35</v>
      </c>
      <c r="B129" s="2" t="s">
        <v>36</v>
      </c>
      <c r="C129" s="2" t="s">
        <v>1197</v>
      </c>
      <c r="D129" s="8">
        <v>43831</v>
      </c>
      <c r="E129" s="5" t="str">
        <f t="shared" si="20"/>
        <v>Center Stage AV_01-01-20</v>
      </c>
      <c r="F129" s="2" t="s">
        <v>1201</v>
      </c>
      <c r="G129" s="2" t="s">
        <v>1201</v>
      </c>
      <c r="H129" s="2" t="s">
        <v>1197</v>
      </c>
      <c r="I129" s="2" t="s">
        <v>1223</v>
      </c>
      <c r="J129" s="2" t="s">
        <v>1235</v>
      </c>
      <c r="M129" s="5" t="str">
        <f t="shared" si="11"/>
        <v>Basic</v>
      </c>
      <c r="N129" s="5" t="str">
        <f t="shared" si="12"/>
        <v>Accountant-Staff-Basic</v>
      </c>
      <c r="O129" s="5" t="str">
        <f t="shared" si="13"/>
        <v>Accountant-Reviewer-Basic</v>
      </c>
      <c r="P129" s="5" t="str">
        <f t="shared" si="14"/>
        <v>Accountant-Signer-Basic</v>
      </c>
      <c r="Q129" s="6">
        <v>1.47</v>
      </c>
      <c r="R129" s="6">
        <v>0.29399999999999998</v>
      </c>
      <c r="S129" s="6">
        <v>0.14699999999999999</v>
      </c>
      <c r="T129" s="7">
        <f t="shared" si="21"/>
        <v>1.911</v>
      </c>
      <c r="U129" s="6" t="e">
        <f>SUMIFS([1]Sheet1!$L:$L,[1]Sheet1!$I:$I,AJ129,[1]Sheet1!$C:$C,A129)</f>
        <v>#VALUE!</v>
      </c>
      <c r="V129" s="6"/>
      <c r="W129" s="6"/>
      <c r="X129" s="7" t="e">
        <f t="shared" si="15"/>
        <v>#VALUE!</v>
      </c>
      <c r="Y129" s="6"/>
      <c r="AJ129" s="5" t="str">
        <f t="shared" si="16"/>
        <v>MO Accounting Services</v>
      </c>
      <c r="AK129" s="5" t="str">
        <f t="shared" si="17"/>
        <v>MO-Accounting Services-MO-Accounting Services_Basic</v>
      </c>
      <c r="AL129" s="5" t="str">
        <f t="shared" si="18"/>
        <v>Center S_1040_1_MO Accounting Services</v>
      </c>
      <c r="AM129" s="5" t="str">
        <f t="shared" si="19"/>
        <v>Center S_1040_1_MO-Accounting Services-MO-Accounting Services_Basic</v>
      </c>
    </row>
    <row r="130" spans="1:39" x14ac:dyDescent="0.25">
      <c r="A130" s="2" t="s">
        <v>948</v>
      </c>
      <c r="B130" s="2" t="s">
        <v>949</v>
      </c>
      <c r="C130" s="2" t="s">
        <v>1196</v>
      </c>
      <c r="D130" s="8">
        <v>43831</v>
      </c>
      <c r="E130" s="5" t="str">
        <f t="shared" si="20"/>
        <v>Centineo, Chris_01-01-20</v>
      </c>
      <c r="F130" s="2" t="s">
        <v>1203</v>
      </c>
      <c r="G130" s="2" t="s">
        <v>1241</v>
      </c>
      <c r="H130" s="2" t="s">
        <v>1220</v>
      </c>
      <c r="I130" s="2" t="s">
        <v>1223</v>
      </c>
      <c r="J130" s="2" t="s">
        <v>1234</v>
      </c>
      <c r="M130" s="5" t="str">
        <f t="shared" ref="M130:M193" si="22">I130</f>
        <v>Basic</v>
      </c>
      <c r="N130" s="5" t="str">
        <f t="shared" ref="N130:N193" si="23">$J130&amp;"-"&amp;"Staff"&amp;"-"&amp;$M130</f>
        <v>Tax-Staff-Basic</v>
      </c>
      <c r="O130" s="5" t="str">
        <f t="shared" ref="O130:O193" si="24">$J130&amp;"-"&amp;"Reviewer"&amp;"-"&amp;$M130</f>
        <v>Tax-Reviewer-Basic</v>
      </c>
      <c r="P130" s="5" t="str">
        <f t="shared" ref="P130:P193" si="25">$J130&amp;"-"&amp;"Signer"&amp;"-"&amp;$M130</f>
        <v>Tax-Signer-Basic</v>
      </c>
      <c r="Q130" s="6">
        <v>1.4675000000000016</v>
      </c>
      <c r="R130" s="6">
        <v>0.29350000000000032</v>
      </c>
      <c r="S130" s="6">
        <v>0.14675000000000016</v>
      </c>
      <c r="T130" s="7">
        <f t="shared" si="21"/>
        <v>1.9077500000000021</v>
      </c>
      <c r="U130" s="6" t="e">
        <f>SUMIFS([1]Sheet1!$L:$L,[1]Sheet1!$I:$I,AJ130,[1]Sheet1!$C:$C,A130)</f>
        <v>#VALUE!</v>
      </c>
      <c r="V130" s="6"/>
      <c r="W130" s="6"/>
      <c r="X130" s="7" t="e">
        <f t="shared" ref="X130:X193" si="26">SUM(U130:W130)</f>
        <v>#VALUE!</v>
      </c>
      <c r="Y130" s="6"/>
      <c r="AJ130" s="5" t="str">
        <f t="shared" ref="AJ130:AJ193" si="27">C130&amp;" "&amp;F130</f>
        <v>NM 1040 - Personal</v>
      </c>
      <c r="AK130" s="5" t="str">
        <f t="shared" ref="AK130:AK193" si="28">C130&amp;"-"&amp;G130&amp;"-"&amp;H130&amp;"-"&amp;F130&amp;"_"&amp;I130</f>
        <v>NM-Tax Services-ANN-1040 - Personal_Basic</v>
      </c>
      <c r="AL130" s="5" t="str">
        <f t="shared" ref="AL130:AL193" si="29">A130&amp;"_"&amp;AJ130</f>
        <v>Centin_6533_NM 1040 - Personal</v>
      </c>
      <c r="AM130" s="5" t="str">
        <f t="shared" ref="AM130:AM193" si="30">A130&amp;"_"&amp;AK130</f>
        <v>Centin_6533_NM-Tax Services-ANN-1040 - Personal_Basic</v>
      </c>
    </row>
    <row r="131" spans="1:39" x14ac:dyDescent="0.25">
      <c r="A131" s="2" t="s">
        <v>485</v>
      </c>
      <c r="B131" s="2" t="s">
        <v>486</v>
      </c>
      <c r="C131" s="2" t="s">
        <v>1196</v>
      </c>
      <c r="D131" s="8">
        <v>43831</v>
      </c>
      <c r="E131" s="5" t="str">
        <f t="shared" ref="E131:E194" si="31">B131&amp;"_"&amp;TEXT(D131,"DD-MM-YY")</f>
        <v>Cervantes, Michael B_01-01-20</v>
      </c>
      <c r="F131" s="2" t="s">
        <v>1203</v>
      </c>
      <c r="G131" s="2" t="s">
        <v>1241</v>
      </c>
      <c r="H131" s="2" t="s">
        <v>1220</v>
      </c>
      <c r="I131" s="2" t="s">
        <v>1223</v>
      </c>
      <c r="J131" s="2" t="s">
        <v>1234</v>
      </c>
      <c r="M131" s="5" t="str">
        <f t="shared" si="22"/>
        <v>Basic</v>
      </c>
      <c r="N131" s="5" t="str">
        <f t="shared" si="23"/>
        <v>Tax-Staff-Basic</v>
      </c>
      <c r="O131" s="5" t="str">
        <f t="shared" si="24"/>
        <v>Tax-Reviewer-Basic</v>
      </c>
      <c r="P131" s="5" t="str">
        <f t="shared" si="25"/>
        <v>Tax-Signer-Basic</v>
      </c>
      <c r="Q131" s="6">
        <v>1.4675000000000016</v>
      </c>
      <c r="R131" s="6">
        <v>0.29350000000000032</v>
      </c>
      <c r="S131" s="6">
        <v>0.14675000000000016</v>
      </c>
      <c r="T131" s="7">
        <f t="shared" ref="T131:T194" si="32">SUM(Q131:S131)</f>
        <v>1.9077500000000021</v>
      </c>
      <c r="U131" s="6" t="e">
        <f>SUMIFS([1]Sheet1!$L:$L,[1]Sheet1!$I:$I,AJ131,[1]Sheet1!$C:$C,A131)</f>
        <v>#VALUE!</v>
      </c>
      <c r="V131" s="6"/>
      <c r="W131" s="6"/>
      <c r="X131" s="7" t="e">
        <f t="shared" si="26"/>
        <v>#VALUE!</v>
      </c>
      <c r="Y131" s="6"/>
      <c r="AJ131" s="5" t="str">
        <f t="shared" si="27"/>
        <v>NM 1040 - Personal</v>
      </c>
      <c r="AK131" s="5" t="str">
        <f t="shared" si="28"/>
        <v>NM-Tax Services-ANN-1040 - Personal_Basic</v>
      </c>
      <c r="AL131" s="5" t="str">
        <f t="shared" si="29"/>
        <v>Cervan_1922_NM 1040 - Personal</v>
      </c>
      <c r="AM131" s="5" t="str">
        <f t="shared" si="30"/>
        <v>Cervan_1922_NM-Tax Services-ANN-1040 - Personal_Basic</v>
      </c>
    </row>
    <row r="132" spans="1:39" x14ac:dyDescent="0.25">
      <c r="A132" s="2" t="s">
        <v>343</v>
      </c>
      <c r="B132" s="2" t="s">
        <v>344</v>
      </c>
      <c r="C132" s="2" t="s">
        <v>1196</v>
      </c>
      <c r="D132" s="8">
        <v>43831</v>
      </c>
      <c r="E132" s="5" t="str">
        <f t="shared" si="31"/>
        <v>Chaco Resources Partners LP_01-01-20</v>
      </c>
      <c r="F132" s="2" t="s">
        <v>1199</v>
      </c>
      <c r="G132" s="2" t="s">
        <v>1241</v>
      </c>
      <c r="H132" s="2" t="s">
        <v>1220</v>
      </c>
      <c r="I132" s="2" t="s">
        <v>1222</v>
      </c>
      <c r="J132" s="2" t="s">
        <v>1234</v>
      </c>
      <c r="M132" s="5" t="str">
        <f t="shared" si="22"/>
        <v>Adv</v>
      </c>
      <c r="N132" s="5" t="str">
        <f t="shared" si="23"/>
        <v>Tax-Staff-Adv</v>
      </c>
      <c r="O132" s="5" t="str">
        <f t="shared" si="24"/>
        <v>Tax-Reviewer-Adv</v>
      </c>
      <c r="P132" s="5" t="str">
        <f t="shared" si="25"/>
        <v>Tax-Signer-Adv</v>
      </c>
      <c r="Q132" s="6">
        <v>4.5832500000000005</v>
      </c>
      <c r="R132" s="6">
        <v>0.91665000000000019</v>
      </c>
      <c r="S132" s="6">
        <v>0.45832500000000009</v>
      </c>
      <c r="T132" s="7">
        <f t="shared" si="32"/>
        <v>5.9582250000000005</v>
      </c>
      <c r="U132" s="6" t="e">
        <f>SUMIFS([1]Sheet1!$L:$L,[1]Sheet1!$I:$I,AJ132,[1]Sheet1!$C:$C,A132)</f>
        <v>#VALUE!</v>
      </c>
      <c r="V132" s="6"/>
      <c r="W132" s="6"/>
      <c r="X132" s="7" t="e">
        <f t="shared" si="26"/>
        <v>#VALUE!</v>
      </c>
      <c r="Y132" s="6"/>
      <c r="AJ132" s="5" t="str">
        <f t="shared" si="27"/>
        <v>NM 1065 - Partnership</v>
      </c>
      <c r="AK132" s="5" t="str">
        <f t="shared" si="28"/>
        <v>NM-Tax Services-ANN-1065 - Partnership_Adv</v>
      </c>
      <c r="AL132" s="5" t="str">
        <f t="shared" si="29"/>
        <v>Chaco Re_1065_75-3099951_NM 1065 - Partnership</v>
      </c>
      <c r="AM132" s="5" t="str">
        <f t="shared" si="30"/>
        <v>Chaco Re_1065_75-3099951_NM-Tax Services-ANN-1065 - Partnership_Adv</v>
      </c>
    </row>
    <row r="133" spans="1:39" x14ac:dyDescent="0.25">
      <c r="A133" s="2" t="s">
        <v>193</v>
      </c>
      <c r="B133" s="2" t="s">
        <v>194</v>
      </c>
      <c r="C133" s="2" t="s">
        <v>1196</v>
      </c>
      <c r="D133" s="8">
        <v>43831</v>
      </c>
      <c r="E133" s="5" t="str">
        <f t="shared" si="31"/>
        <v>Chaco Resources Inc_01-01-20</v>
      </c>
      <c r="F133" s="2" t="s">
        <v>1206</v>
      </c>
      <c r="G133" s="2" t="s">
        <v>1241</v>
      </c>
      <c r="H133" s="2" t="s">
        <v>1220</v>
      </c>
      <c r="I133" s="2" t="s">
        <v>1221</v>
      </c>
      <c r="J133" s="2" t="s">
        <v>1234</v>
      </c>
      <c r="M133" s="5" t="str">
        <f t="shared" si="22"/>
        <v>Mid</v>
      </c>
      <c r="N133" s="5" t="str">
        <f t="shared" si="23"/>
        <v>Tax-Staff-Mid</v>
      </c>
      <c r="O133" s="5" t="str">
        <f t="shared" si="24"/>
        <v>Tax-Reviewer-Mid</v>
      </c>
      <c r="P133" s="5" t="str">
        <f t="shared" si="25"/>
        <v>Tax-Signer-Mid</v>
      </c>
      <c r="Q133" s="6">
        <v>2.7401969696969677</v>
      </c>
      <c r="R133" s="6">
        <v>0.5480393939393936</v>
      </c>
      <c r="S133" s="6">
        <v>0.2740196969696968</v>
      </c>
      <c r="T133" s="7">
        <f t="shared" si="32"/>
        <v>3.562256060606058</v>
      </c>
      <c r="U133" s="6" t="e">
        <f>SUMIFS([1]Sheet1!$L:$L,[1]Sheet1!$I:$I,AJ133,[1]Sheet1!$C:$C,A133)</f>
        <v>#VALUE!</v>
      </c>
      <c r="V133" s="6"/>
      <c r="W133" s="6"/>
      <c r="X133" s="7" t="e">
        <f t="shared" si="26"/>
        <v>#VALUE!</v>
      </c>
      <c r="Y133" s="6"/>
      <c r="AJ133" s="5" t="str">
        <f t="shared" si="27"/>
        <v>NM 1120 - C Corporation</v>
      </c>
      <c r="AK133" s="5" t="str">
        <f t="shared" si="28"/>
        <v>NM-Tax Services-ANN-1120 - C Corporation_Mid</v>
      </c>
      <c r="AL133" s="5" t="str">
        <f t="shared" si="29"/>
        <v>Chaco Re_1120C_43-1998850_NM 1120 - C Corporation</v>
      </c>
      <c r="AM133" s="5" t="str">
        <f t="shared" si="30"/>
        <v>Chaco Re_1120C_43-1998850_NM-Tax Services-ANN-1120 - C Corporation_Mid</v>
      </c>
    </row>
    <row r="134" spans="1:39" x14ac:dyDescent="0.25">
      <c r="A134" s="2" t="s">
        <v>1075</v>
      </c>
      <c r="B134" s="2" t="s">
        <v>1076</v>
      </c>
      <c r="C134" s="2" t="s">
        <v>1196</v>
      </c>
      <c r="D134" s="8">
        <v>43831</v>
      </c>
      <c r="E134" s="5" t="str">
        <f t="shared" si="31"/>
        <v>Chaffin, Michael_01-01-20</v>
      </c>
      <c r="F134" s="2" t="s">
        <v>1203</v>
      </c>
      <c r="G134" s="2" t="s">
        <v>1241</v>
      </c>
      <c r="H134" s="2" t="s">
        <v>1220</v>
      </c>
      <c r="I134" s="2" t="s">
        <v>1223</v>
      </c>
      <c r="J134" s="2" t="s">
        <v>1234</v>
      </c>
      <c r="M134" s="5" t="str">
        <f t="shared" si="22"/>
        <v>Basic</v>
      </c>
      <c r="N134" s="5" t="str">
        <f t="shared" si="23"/>
        <v>Tax-Staff-Basic</v>
      </c>
      <c r="O134" s="5" t="str">
        <f t="shared" si="24"/>
        <v>Tax-Reviewer-Basic</v>
      </c>
      <c r="P134" s="5" t="str">
        <f t="shared" si="25"/>
        <v>Tax-Signer-Basic</v>
      </c>
      <c r="Q134" s="6">
        <v>1.4675000000000016</v>
      </c>
      <c r="R134" s="6">
        <v>0.29350000000000032</v>
      </c>
      <c r="S134" s="6">
        <v>0.14675000000000016</v>
      </c>
      <c r="T134" s="7">
        <f t="shared" si="32"/>
        <v>1.9077500000000021</v>
      </c>
      <c r="U134" s="6" t="e">
        <f>SUMIFS([1]Sheet1!$L:$L,[1]Sheet1!$I:$I,AJ134,[1]Sheet1!$C:$C,A134)</f>
        <v>#VALUE!</v>
      </c>
      <c r="V134" s="6"/>
      <c r="W134" s="6"/>
      <c r="X134" s="7" t="e">
        <f t="shared" si="26"/>
        <v>#VALUE!</v>
      </c>
      <c r="Y134" s="6"/>
      <c r="AJ134" s="5" t="str">
        <f t="shared" si="27"/>
        <v>NM 1040 - Personal</v>
      </c>
      <c r="AK134" s="5" t="str">
        <f t="shared" si="28"/>
        <v>NM-Tax Services-ANN-1040 - Personal_Basic</v>
      </c>
      <c r="AL134" s="5" t="str">
        <f t="shared" si="29"/>
        <v>Chaffi_1070_NM 1040 - Personal</v>
      </c>
      <c r="AM134" s="5" t="str">
        <f t="shared" si="30"/>
        <v>Chaffi_1070_NM-Tax Services-ANN-1040 - Personal_Basic</v>
      </c>
    </row>
    <row r="135" spans="1:39" x14ac:dyDescent="0.25">
      <c r="A135" s="2" t="s">
        <v>487</v>
      </c>
      <c r="B135" s="2" t="s">
        <v>488</v>
      </c>
      <c r="C135" s="2" t="s">
        <v>1196</v>
      </c>
      <c r="D135" s="8">
        <v>43831</v>
      </c>
      <c r="E135" s="5" t="str">
        <f t="shared" si="31"/>
        <v>Chandler, Marc_01-01-20</v>
      </c>
      <c r="F135" s="2" t="s">
        <v>1203</v>
      </c>
      <c r="G135" s="2" t="s">
        <v>1241</v>
      </c>
      <c r="H135" s="2" t="s">
        <v>1220</v>
      </c>
      <c r="I135" s="2" t="s">
        <v>1223</v>
      </c>
      <c r="J135" s="2" t="s">
        <v>1234</v>
      </c>
      <c r="M135" s="5" t="str">
        <f t="shared" si="22"/>
        <v>Basic</v>
      </c>
      <c r="N135" s="5" t="str">
        <f t="shared" si="23"/>
        <v>Tax-Staff-Basic</v>
      </c>
      <c r="O135" s="5" t="str">
        <f t="shared" si="24"/>
        <v>Tax-Reviewer-Basic</v>
      </c>
      <c r="P135" s="5" t="str">
        <f t="shared" si="25"/>
        <v>Tax-Signer-Basic</v>
      </c>
      <c r="Q135" s="6">
        <v>1.4675000000000016</v>
      </c>
      <c r="R135" s="6">
        <v>0.29350000000000032</v>
      </c>
      <c r="S135" s="6">
        <v>0.14675000000000016</v>
      </c>
      <c r="T135" s="7">
        <f t="shared" si="32"/>
        <v>1.9077500000000021</v>
      </c>
      <c r="U135" s="6" t="e">
        <f>SUMIFS([1]Sheet1!$L:$L,[1]Sheet1!$I:$I,AJ135,[1]Sheet1!$C:$C,A135)</f>
        <v>#VALUE!</v>
      </c>
      <c r="V135" s="6"/>
      <c r="W135" s="6"/>
      <c r="X135" s="7" t="e">
        <f t="shared" si="26"/>
        <v>#VALUE!</v>
      </c>
      <c r="Y135" s="6"/>
      <c r="AJ135" s="5" t="str">
        <f t="shared" si="27"/>
        <v>NM 1040 - Personal</v>
      </c>
      <c r="AK135" s="5" t="str">
        <f t="shared" si="28"/>
        <v>NM-Tax Services-ANN-1040 - Personal_Basic</v>
      </c>
      <c r="AL135" s="5" t="str">
        <f t="shared" si="29"/>
        <v>Chandl_7526_NM 1040 - Personal</v>
      </c>
      <c r="AM135" s="5" t="str">
        <f t="shared" si="30"/>
        <v>Chandl_7526_NM-Tax Services-ANN-1040 - Personal_Basic</v>
      </c>
    </row>
    <row r="136" spans="1:39" x14ac:dyDescent="0.25">
      <c r="A136" s="2" t="s">
        <v>1179</v>
      </c>
      <c r="B136" s="2" t="s">
        <v>1180</v>
      </c>
      <c r="C136" s="2" t="s">
        <v>1196</v>
      </c>
      <c r="D136" s="8">
        <v>43831</v>
      </c>
      <c r="E136" s="5" t="str">
        <f t="shared" si="31"/>
        <v>Charney Storage, LLC_01-01-20</v>
      </c>
      <c r="F136" s="2" t="s">
        <v>1199</v>
      </c>
      <c r="G136" s="2" t="s">
        <v>1241</v>
      </c>
      <c r="H136" s="2" t="s">
        <v>1220</v>
      </c>
      <c r="I136" s="2" t="s">
        <v>1223</v>
      </c>
      <c r="J136" s="2" t="s">
        <v>1234</v>
      </c>
      <c r="M136" s="5" t="str">
        <f t="shared" si="22"/>
        <v>Basic</v>
      </c>
      <c r="N136" s="5" t="str">
        <f t="shared" si="23"/>
        <v>Tax-Staff-Basic</v>
      </c>
      <c r="O136" s="5" t="str">
        <f t="shared" si="24"/>
        <v>Tax-Reviewer-Basic</v>
      </c>
      <c r="P136" s="5" t="str">
        <f t="shared" si="25"/>
        <v>Tax-Signer-Basic</v>
      </c>
      <c r="Q136" s="6">
        <v>1.4675000000000016</v>
      </c>
      <c r="R136" s="6">
        <v>0.29350000000000032</v>
      </c>
      <c r="S136" s="6">
        <v>0.14675000000000016</v>
      </c>
      <c r="T136" s="7">
        <f t="shared" si="32"/>
        <v>1.9077500000000021</v>
      </c>
      <c r="U136" s="6" t="e">
        <f>SUMIFS([1]Sheet1!$L:$L,[1]Sheet1!$I:$I,AJ136,[1]Sheet1!$C:$C,A136)</f>
        <v>#VALUE!</v>
      </c>
      <c r="V136" s="6"/>
      <c r="W136" s="6"/>
      <c r="X136" s="7" t="e">
        <f t="shared" si="26"/>
        <v>#VALUE!</v>
      </c>
      <c r="Y136" s="6"/>
      <c r="AJ136" s="5" t="str">
        <f t="shared" si="27"/>
        <v>NM 1065 - Partnership</v>
      </c>
      <c r="AK136" s="5" t="str">
        <f t="shared" si="28"/>
        <v>NM-Tax Services-ANN-1065 - Partnership_Basic</v>
      </c>
      <c r="AL136" s="5" t="str">
        <f t="shared" si="29"/>
        <v>Charney _1065_83-3071260_NM 1065 - Partnership</v>
      </c>
      <c r="AM136" s="5" t="str">
        <f t="shared" si="30"/>
        <v>Charney _1065_83-3071260_NM-Tax Services-ANN-1065 - Partnership_Basic</v>
      </c>
    </row>
    <row r="137" spans="1:39" x14ac:dyDescent="0.25">
      <c r="A137" s="2" t="s">
        <v>1179</v>
      </c>
      <c r="B137" s="2" t="s">
        <v>1180</v>
      </c>
      <c r="C137" s="2" t="s">
        <v>1196</v>
      </c>
      <c r="D137" s="8">
        <v>43831</v>
      </c>
      <c r="E137" s="5" t="str">
        <f t="shared" si="31"/>
        <v>Charney Storage, LLC_01-01-20</v>
      </c>
      <c r="F137" s="2" t="s">
        <v>1200</v>
      </c>
      <c r="G137" s="2" t="s">
        <v>1241</v>
      </c>
      <c r="H137" s="2" t="s">
        <v>1220</v>
      </c>
      <c r="I137" s="2" t="s">
        <v>1223</v>
      </c>
      <c r="J137" s="2" t="s">
        <v>1234</v>
      </c>
      <c r="M137" s="5" t="str">
        <f t="shared" si="22"/>
        <v>Basic</v>
      </c>
      <c r="N137" s="5" t="str">
        <f t="shared" si="23"/>
        <v>Tax-Staff-Basic</v>
      </c>
      <c r="O137" s="5" t="str">
        <f t="shared" si="24"/>
        <v>Tax-Reviewer-Basic</v>
      </c>
      <c r="P137" s="5" t="str">
        <f t="shared" si="25"/>
        <v>Tax-Signer-Basic</v>
      </c>
      <c r="Q137" s="6">
        <v>0.5</v>
      </c>
      <c r="R137" s="6">
        <v>0.1</v>
      </c>
      <c r="S137" s="6">
        <v>0.05</v>
      </c>
      <c r="T137" s="7">
        <f t="shared" si="32"/>
        <v>0.65</v>
      </c>
      <c r="U137" s="6" t="e">
        <f>SUMIFS([1]Sheet1!$L:$L,[1]Sheet1!$I:$I,AJ137,[1]Sheet1!$C:$C,A137)</f>
        <v>#VALUE!</v>
      </c>
      <c r="V137" s="6"/>
      <c r="W137" s="6"/>
      <c r="X137" s="7" t="e">
        <f t="shared" si="26"/>
        <v>#VALUE!</v>
      </c>
      <c r="Y137" s="6"/>
      <c r="AJ137" s="5" t="str">
        <f t="shared" si="27"/>
        <v>NM Texas Franchise Tax Return</v>
      </c>
      <c r="AK137" s="5" t="str">
        <f t="shared" si="28"/>
        <v>NM-Tax Services-ANN-Texas Franchise Tax Return_Basic</v>
      </c>
      <c r="AL137" s="5" t="str">
        <f t="shared" si="29"/>
        <v>Charney _1065_83-3071260_NM Texas Franchise Tax Return</v>
      </c>
      <c r="AM137" s="5" t="str">
        <f t="shared" si="30"/>
        <v>Charney _1065_83-3071260_NM-Tax Services-ANN-Texas Franchise Tax Return_Basic</v>
      </c>
    </row>
    <row r="138" spans="1:39" x14ac:dyDescent="0.25">
      <c r="A138" s="2" t="s">
        <v>37</v>
      </c>
      <c r="B138" s="2" t="s">
        <v>38</v>
      </c>
      <c r="C138" s="2" t="s">
        <v>1197</v>
      </c>
      <c r="D138" s="8">
        <v>43831</v>
      </c>
      <c r="E138" s="5" t="str">
        <f t="shared" si="31"/>
        <v>Charney Capital, LLC_01-01-20</v>
      </c>
      <c r="F138" s="2" t="s">
        <v>1204</v>
      </c>
      <c r="G138" s="2" t="s">
        <v>1241</v>
      </c>
      <c r="H138" s="2" t="s">
        <v>1220</v>
      </c>
      <c r="I138" s="2" t="s">
        <v>1221</v>
      </c>
      <c r="J138" s="2" t="s">
        <v>1234</v>
      </c>
      <c r="M138" s="5" t="str">
        <f t="shared" si="22"/>
        <v>Mid</v>
      </c>
      <c r="N138" s="5" t="str">
        <f t="shared" si="23"/>
        <v>Tax-Staff-Mid</v>
      </c>
      <c r="O138" s="5" t="str">
        <f t="shared" si="24"/>
        <v>Tax-Reviewer-Mid</v>
      </c>
      <c r="P138" s="5" t="str">
        <f t="shared" si="25"/>
        <v>Tax-Signer-Mid</v>
      </c>
      <c r="Q138" s="6">
        <v>2.7401969696969677</v>
      </c>
      <c r="R138" s="6">
        <v>0.5480393939393936</v>
      </c>
      <c r="S138" s="6">
        <v>0.2740196969696968</v>
      </c>
      <c r="T138" s="7">
        <f t="shared" si="32"/>
        <v>3.562256060606058</v>
      </c>
      <c r="U138" s="6" t="e">
        <f>SUMIFS([1]Sheet1!$L:$L,[1]Sheet1!$I:$I,AJ138,[1]Sheet1!$C:$C,A138)</f>
        <v>#VALUE!</v>
      </c>
      <c r="V138" s="6"/>
      <c r="W138" s="6"/>
      <c r="X138" s="7" t="e">
        <f t="shared" si="26"/>
        <v>#VALUE!</v>
      </c>
      <c r="Y138" s="6"/>
      <c r="AJ138" s="5" t="str">
        <f t="shared" si="27"/>
        <v>MO 1120S - S Corporation</v>
      </c>
      <c r="AK138" s="5" t="str">
        <f t="shared" si="28"/>
        <v>MO-Tax Services-ANN-1120S - S Corporation_Mid</v>
      </c>
      <c r="AL138" s="5" t="str">
        <f t="shared" si="29"/>
        <v>Charney _1120S_45-5144193_MO 1120S - S Corporation</v>
      </c>
      <c r="AM138" s="5" t="str">
        <f t="shared" si="30"/>
        <v>Charney _1120S_45-5144193_MO-Tax Services-ANN-1120S - S Corporation_Mid</v>
      </c>
    </row>
    <row r="139" spans="1:39" x14ac:dyDescent="0.25">
      <c r="A139" s="2" t="s">
        <v>37</v>
      </c>
      <c r="B139" s="2" t="s">
        <v>38</v>
      </c>
      <c r="C139" s="2" t="s">
        <v>1197</v>
      </c>
      <c r="D139" s="8">
        <v>43831</v>
      </c>
      <c r="E139" s="5" t="str">
        <f t="shared" si="31"/>
        <v>Charney Capital, LLC_01-01-20</v>
      </c>
      <c r="F139" s="2" t="s">
        <v>1201</v>
      </c>
      <c r="G139" s="2" t="s">
        <v>1201</v>
      </c>
      <c r="H139" s="2" t="s">
        <v>1197</v>
      </c>
      <c r="I139" s="2" t="s">
        <v>1223</v>
      </c>
      <c r="J139" s="2" t="s">
        <v>1235</v>
      </c>
      <c r="M139" s="5" t="str">
        <f t="shared" si="22"/>
        <v>Basic</v>
      </c>
      <c r="N139" s="5" t="str">
        <f t="shared" si="23"/>
        <v>Accountant-Staff-Basic</v>
      </c>
      <c r="O139" s="5" t="str">
        <f t="shared" si="24"/>
        <v>Accountant-Reviewer-Basic</v>
      </c>
      <c r="P139" s="5" t="str">
        <f t="shared" si="25"/>
        <v>Accountant-Signer-Basic</v>
      </c>
      <c r="Q139" s="6">
        <v>1.47</v>
      </c>
      <c r="R139" s="6">
        <v>0.29399999999999998</v>
      </c>
      <c r="S139" s="6">
        <v>0.14699999999999999</v>
      </c>
      <c r="T139" s="7">
        <f t="shared" si="32"/>
        <v>1.911</v>
      </c>
      <c r="U139" s="6" t="e">
        <f>SUMIFS([1]Sheet1!$L:$L,[1]Sheet1!$I:$I,AJ139,[1]Sheet1!$C:$C,A139)</f>
        <v>#VALUE!</v>
      </c>
      <c r="V139" s="6"/>
      <c r="W139" s="6"/>
      <c r="X139" s="7" t="e">
        <f t="shared" si="26"/>
        <v>#VALUE!</v>
      </c>
      <c r="Y139" s="6"/>
      <c r="AJ139" s="5" t="str">
        <f t="shared" si="27"/>
        <v>MO Accounting Services</v>
      </c>
      <c r="AK139" s="5" t="str">
        <f t="shared" si="28"/>
        <v>MO-Accounting Services-MO-Accounting Services_Basic</v>
      </c>
      <c r="AL139" s="5" t="str">
        <f t="shared" si="29"/>
        <v>Charney _1120S_45-5144193_MO Accounting Services</v>
      </c>
      <c r="AM139" s="5" t="str">
        <f t="shared" si="30"/>
        <v>Charney _1120S_45-5144193_MO-Accounting Services-MO-Accounting Services_Basic</v>
      </c>
    </row>
    <row r="140" spans="1:39" x14ac:dyDescent="0.25">
      <c r="A140" s="2" t="s">
        <v>37</v>
      </c>
      <c r="B140" s="2" t="s">
        <v>38</v>
      </c>
      <c r="C140" s="2" t="s">
        <v>1197</v>
      </c>
      <c r="D140" s="8">
        <v>43831</v>
      </c>
      <c r="E140" s="5" t="str">
        <f t="shared" si="31"/>
        <v>Charney Capital, LLC_01-01-20</v>
      </c>
      <c r="F140" s="2" t="s">
        <v>1200</v>
      </c>
      <c r="G140" s="2" t="s">
        <v>1241</v>
      </c>
      <c r="H140" s="2" t="s">
        <v>1220</v>
      </c>
      <c r="I140" s="2" t="s">
        <v>1223</v>
      </c>
      <c r="J140" s="2" t="s">
        <v>1234</v>
      </c>
      <c r="M140" s="5" t="str">
        <f t="shared" si="22"/>
        <v>Basic</v>
      </c>
      <c r="N140" s="5" t="str">
        <f t="shared" si="23"/>
        <v>Tax-Staff-Basic</v>
      </c>
      <c r="O140" s="5" t="str">
        <f t="shared" si="24"/>
        <v>Tax-Reviewer-Basic</v>
      </c>
      <c r="P140" s="5" t="str">
        <f t="shared" si="25"/>
        <v>Tax-Signer-Basic</v>
      </c>
      <c r="Q140" s="6">
        <v>0.5</v>
      </c>
      <c r="R140" s="6">
        <v>0.1</v>
      </c>
      <c r="S140" s="6">
        <v>0.05</v>
      </c>
      <c r="T140" s="7">
        <f t="shared" si="32"/>
        <v>0.65</v>
      </c>
      <c r="U140" s="6" t="e">
        <f>SUMIFS([1]Sheet1!$L:$L,[1]Sheet1!$I:$I,AJ140,[1]Sheet1!$C:$C,A140)</f>
        <v>#VALUE!</v>
      </c>
      <c r="V140" s="6"/>
      <c r="W140" s="6"/>
      <c r="X140" s="7" t="e">
        <f t="shared" si="26"/>
        <v>#VALUE!</v>
      </c>
      <c r="Y140" s="6"/>
      <c r="AJ140" s="5" t="str">
        <f t="shared" si="27"/>
        <v>MO Texas Franchise Tax Return</v>
      </c>
      <c r="AK140" s="5" t="str">
        <f t="shared" si="28"/>
        <v>MO-Tax Services-ANN-Texas Franchise Tax Return_Basic</v>
      </c>
      <c r="AL140" s="5" t="str">
        <f t="shared" si="29"/>
        <v>Charney _1120S_45-5144193_MO Texas Franchise Tax Return</v>
      </c>
      <c r="AM140" s="5" t="str">
        <f t="shared" si="30"/>
        <v>Charney _1120S_45-5144193_MO-Tax Services-ANN-Texas Franchise Tax Return_Basic</v>
      </c>
    </row>
    <row r="141" spans="1:39" x14ac:dyDescent="0.25">
      <c r="A141" s="2" t="s">
        <v>489</v>
      </c>
      <c r="B141" s="2" t="s">
        <v>490</v>
      </c>
      <c r="C141" s="2" t="s">
        <v>1196</v>
      </c>
      <c r="D141" s="8">
        <v>43831</v>
      </c>
      <c r="E141" s="5" t="str">
        <f t="shared" si="31"/>
        <v>Chasse, Jonathan &amp; Ashley_01-01-20</v>
      </c>
      <c r="F141" s="2" t="s">
        <v>1203</v>
      </c>
      <c r="G141" s="2" t="s">
        <v>1241</v>
      </c>
      <c r="H141" s="2" t="s">
        <v>1220</v>
      </c>
      <c r="I141" s="2" t="s">
        <v>1221</v>
      </c>
      <c r="J141" s="2" t="s">
        <v>1234</v>
      </c>
      <c r="M141" s="5" t="str">
        <f t="shared" si="22"/>
        <v>Mid</v>
      </c>
      <c r="N141" s="5" t="str">
        <f t="shared" si="23"/>
        <v>Tax-Staff-Mid</v>
      </c>
      <c r="O141" s="5" t="str">
        <f t="shared" si="24"/>
        <v>Tax-Reviewer-Mid</v>
      </c>
      <c r="P141" s="5" t="str">
        <f t="shared" si="25"/>
        <v>Tax-Signer-Mid</v>
      </c>
      <c r="Q141" s="6">
        <v>2.7401969696969677</v>
      </c>
      <c r="R141" s="6">
        <v>0.5480393939393936</v>
      </c>
      <c r="S141" s="6">
        <v>0.2740196969696968</v>
      </c>
      <c r="T141" s="7">
        <f t="shared" si="32"/>
        <v>3.562256060606058</v>
      </c>
      <c r="U141" s="6" t="e">
        <f>SUMIFS([1]Sheet1!$L:$L,[1]Sheet1!$I:$I,AJ141,[1]Sheet1!$C:$C,A141)</f>
        <v>#VALUE!</v>
      </c>
      <c r="V141" s="6"/>
      <c r="W141" s="6"/>
      <c r="X141" s="7" t="e">
        <f t="shared" si="26"/>
        <v>#VALUE!</v>
      </c>
      <c r="Y141" s="6"/>
      <c r="AJ141" s="5" t="str">
        <f t="shared" si="27"/>
        <v>NM 1040 - Personal</v>
      </c>
      <c r="AK141" s="5" t="str">
        <f t="shared" si="28"/>
        <v>NM-Tax Services-ANN-1040 - Personal_Mid</v>
      </c>
      <c r="AL141" s="5" t="str">
        <f t="shared" si="29"/>
        <v>Chasse_3115_NM 1040 - Personal</v>
      </c>
      <c r="AM141" s="5" t="str">
        <f t="shared" si="30"/>
        <v>Chasse_3115_NM-Tax Services-ANN-1040 - Personal_Mid</v>
      </c>
    </row>
    <row r="142" spans="1:39" x14ac:dyDescent="0.25">
      <c r="A142" s="2" t="s">
        <v>345</v>
      </c>
      <c r="B142" s="2" t="s">
        <v>346</v>
      </c>
      <c r="C142" s="2" t="s">
        <v>1196</v>
      </c>
      <c r="D142" s="8">
        <v>43831</v>
      </c>
      <c r="E142" s="5" t="str">
        <f t="shared" si="31"/>
        <v>Cheung-Loon, LLC_01-01-20</v>
      </c>
      <c r="F142" s="2" t="s">
        <v>1199</v>
      </c>
      <c r="G142" s="2" t="s">
        <v>1241</v>
      </c>
      <c r="H142" s="2" t="s">
        <v>1220</v>
      </c>
      <c r="I142" s="2" t="s">
        <v>1223</v>
      </c>
      <c r="J142" s="2" t="s">
        <v>1234</v>
      </c>
      <c r="M142" s="5" t="str">
        <f t="shared" si="22"/>
        <v>Basic</v>
      </c>
      <c r="N142" s="5" t="str">
        <f t="shared" si="23"/>
        <v>Tax-Staff-Basic</v>
      </c>
      <c r="O142" s="5" t="str">
        <f t="shared" si="24"/>
        <v>Tax-Reviewer-Basic</v>
      </c>
      <c r="P142" s="5" t="str">
        <f t="shared" si="25"/>
        <v>Tax-Signer-Basic</v>
      </c>
      <c r="Q142" s="6">
        <v>1.4675000000000016</v>
      </c>
      <c r="R142" s="6">
        <v>0.29350000000000032</v>
      </c>
      <c r="S142" s="6">
        <v>0.14675000000000016</v>
      </c>
      <c r="T142" s="7">
        <f t="shared" si="32"/>
        <v>1.9077500000000021</v>
      </c>
      <c r="U142" s="6" t="e">
        <f>SUMIFS([1]Sheet1!$L:$L,[1]Sheet1!$I:$I,AJ142,[1]Sheet1!$C:$C,A142)</f>
        <v>#VALUE!</v>
      </c>
      <c r="V142" s="6"/>
      <c r="W142" s="6"/>
      <c r="X142" s="7" t="e">
        <f t="shared" si="26"/>
        <v>#VALUE!</v>
      </c>
      <c r="Y142" s="6"/>
      <c r="AJ142" s="5" t="str">
        <f t="shared" si="27"/>
        <v>NM 1065 - Partnership</v>
      </c>
      <c r="AK142" s="5" t="str">
        <f t="shared" si="28"/>
        <v>NM-Tax Services-ANN-1065 - Partnership_Basic</v>
      </c>
      <c r="AL142" s="5" t="str">
        <f t="shared" si="29"/>
        <v>Cheung-L_1065_26-3223698_NM 1065 - Partnership</v>
      </c>
      <c r="AM142" s="5" t="str">
        <f t="shared" si="30"/>
        <v>Cheung-L_1065_26-3223698_NM-Tax Services-ANN-1065 - Partnership_Basic</v>
      </c>
    </row>
    <row r="143" spans="1:39" x14ac:dyDescent="0.25">
      <c r="A143" s="2" t="s">
        <v>347</v>
      </c>
      <c r="B143" s="2" t="s">
        <v>348</v>
      </c>
      <c r="C143" s="2" t="s">
        <v>1196</v>
      </c>
      <c r="D143" s="8">
        <v>43831</v>
      </c>
      <c r="E143" s="5" t="str">
        <f t="shared" si="31"/>
        <v>Church Street Professional_01-01-20</v>
      </c>
      <c r="F143" s="2" t="s">
        <v>1199</v>
      </c>
      <c r="G143" s="2" t="s">
        <v>1241</v>
      </c>
      <c r="H143" s="2" t="s">
        <v>1220</v>
      </c>
      <c r="I143" s="2" t="s">
        <v>1221</v>
      </c>
      <c r="J143" s="2" t="s">
        <v>1234</v>
      </c>
      <c r="M143" s="5" t="str">
        <f t="shared" si="22"/>
        <v>Mid</v>
      </c>
      <c r="N143" s="5" t="str">
        <f t="shared" si="23"/>
        <v>Tax-Staff-Mid</v>
      </c>
      <c r="O143" s="5" t="str">
        <f t="shared" si="24"/>
        <v>Tax-Reviewer-Mid</v>
      </c>
      <c r="P143" s="5" t="str">
        <f t="shared" si="25"/>
        <v>Tax-Signer-Mid</v>
      </c>
      <c r="Q143" s="6">
        <v>2.7401969696969677</v>
      </c>
      <c r="R143" s="6">
        <v>0.5480393939393936</v>
      </c>
      <c r="S143" s="6">
        <v>0.2740196969696968</v>
      </c>
      <c r="T143" s="7">
        <f t="shared" si="32"/>
        <v>3.562256060606058</v>
      </c>
      <c r="U143" s="6" t="e">
        <f>SUMIFS([1]Sheet1!$L:$L,[1]Sheet1!$I:$I,AJ143,[1]Sheet1!$C:$C,A143)</f>
        <v>#VALUE!</v>
      </c>
      <c r="V143" s="6"/>
      <c r="W143" s="6"/>
      <c r="X143" s="7" t="e">
        <f t="shared" si="26"/>
        <v>#VALUE!</v>
      </c>
      <c r="Y143" s="6"/>
      <c r="AJ143" s="5" t="str">
        <f t="shared" si="27"/>
        <v>NM 1065 - Partnership</v>
      </c>
      <c r="AK143" s="5" t="str">
        <f t="shared" si="28"/>
        <v>NM-Tax Services-ANN-1065 - Partnership_Mid</v>
      </c>
      <c r="AL143" s="5" t="str">
        <f t="shared" si="29"/>
        <v>Church S_1065_82-1767231_NM 1065 - Partnership</v>
      </c>
      <c r="AM143" s="5" t="str">
        <f t="shared" si="30"/>
        <v>Church S_1065_82-1767231_NM-Tax Services-ANN-1065 - Partnership_Mid</v>
      </c>
    </row>
    <row r="144" spans="1:39" x14ac:dyDescent="0.25">
      <c r="A144" s="2" t="s">
        <v>491</v>
      </c>
      <c r="B144" s="2" t="s">
        <v>492</v>
      </c>
      <c r="C144" s="2" t="s">
        <v>1196</v>
      </c>
      <c r="D144" s="8">
        <v>43831</v>
      </c>
      <c r="E144" s="5" t="str">
        <f t="shared" si="31"/>
        <v>Clark, Charles_01-01-20</v>
      </c>
      <c r="F144" s="2" t="s">
        <v>1203</v>
      </c>
      <c r="G144" s="2" t="s">
        <v>1241</v>
      </c>
      <c r="H144" s="2" t="s">
        <v>1220</v>
      </c>
      <c r="I144" s="2" t="s">
        <v>1223</v>
      </c>
      <c r="J144" s="2" t="s">
        <v>1234</v>
      </c>
      <c r="M144" s="5" t="str">
        <f t="shared" si="22"/>
        <v>Basic</v>
      </c>
      <c r="N144" s="5" t="str">
        <f t="shared" si="23"/>
        <v>Tax-Staff-Basic</v>
      </c>
      <c r="O144" s="5" t="str">
        <f t="shared" si="24"/>
        <v>Tax-Reviewer-Basic</v>
      </c>
      <c r="P144" s="5" t="str">
        <f t="shared" si="25"/>
        <v>Tax-Signer-Basic</v>
      </c>
      <c r="Q144" s="6">
        <v>1.4675000000000016</v>
      </c>
      <c r="R144" s="6">
        <v>0.29350000000000032</v>
      </c>
      <c r="S144" s="6">
        <v>0.14675000000000016</v>
      </c>
      <c r="T144" s="7">
        <f t="shared" si="32"/>
        <v>1.9077500000000021</v>
      </c>
      <c r="U144" s="6" t="e">
        <f>SUMIFS([1]Sheet1!$L:$L,[1]Sheet1!$I:$I,AJ144,[1]Sheet1!$C:$C,A144)</f>
        <v>#VALUE!</v>
      </c>
      <c r="V144" s="6"/>
      <c r="W144" s="6"/>
      <c r="X144" s="7" t="e">
        <f t="shared" si="26"/>
        <v>#VALUE!</v>
      </c>
      <c r="Y144" s="6"/>
      <c r="AJ144" s="5" t="str">
        <f t="shared" si="27"/>
        <v>NM 1040 - Personal</v>
      </c>
      <c r="AK144" s="5" t="str">
        <f t="shared" si="28"/>
        <v>NM-Tax Services-ANN-1040 - Personal_Basic</v>
      </c>
      <c r="AL144" s="5" t="str">
        <f t="shared" si="29"/>
        <v>Clark,_2476_NM 1040 - Personal</v>
      </c>
      <c r="AM144" s="5" t="str">
        <f t="shared" si="30"/>
        <v>Clark,_2476_NM-Tax Services-ANN-1040 - Personal_Basic</v>
      </c>
    </row>
    <row r="145" spans="1:39" x14ac:dyDescent="0.25">
      <c r="A145" s="2" t="s">
        <v>349</v>
      </c>
      <c r="B145" s="2" t="s">
        <v>350</v>
      </c>
      <c r="C145" s="2" t="s">
        <v>1196</v>
      </c>
      <c r="D145" s="8">
        <v>43831</v>
      </c>
      <c r="E145" s="5" t="str">
        <f t="shared" si="31"/>
        <v>Classified Nutrition, LLC_01-01-20</v>
      </c>
      <c r="F145" s="2" t="s">
        <v>1199</v>
      </c>
      <c r="G145" s="2" t="s">
        <v>1241</v>
      </c>
      <c r="H145" s="2" t="s">
        <v>1220</v>
      </c>
      <c r="I145" s="2" t="s">
        <v>1221</v>
      </c>
      <c r="J145" s="2" t="s">
        <v>1234</v>
      </c>
      <c r="M145" s="5" t="str">
        <f t="shared" si="22"/>
        <v>Mid</v>
      </c>
      <c r="N145" s="5" t="str">
        <f t="shared" si="23"/>
        <v>Tax-Staff-Mid</v>
      </c>
      <c r="O145" s="5" t="str">
        <f t="shared" si="24"/>
        <v>Tax-Reviewer-Mid</v>
      </c>
      <c r="P145" s="5" t="str">
        <f t="shared" si="25"/>
        <v>Tax-Signer-Mid</v>
      </c>
      <c r="Q145" s="6">
        <v>2.7401969696969677</v>
      </c>
      <c r="R145" s="6">
        <v>0.5480393939393936</v>
      </c>
      <c r="S145" s="6">
        <v>0.2740196969696968</v>
      </c>
      <c r="T145" s="7">
        <f t="shared" si="32"/>
        <v>3.562256060606058</v>
      </c>
      <c r="U145" s="6" t="e">
        <f>SUMIFS([1]Sheet1!$L:$L,[1]Sheet1!$I:$I,AJ145,[1]Sheet1!$C:$C,A145)</f>
        <v>#VALUE!</v>
      </c>
      <c r="V145" s="6"/>
      <c r="W145" s="6"/>
      <c r="X145" s="7" t="e">
        <f t="shared" si="26"/>
        <v>#VALUE!</v>
      </c>
      <c r="Y145" s="6"/>
      <c r="AJ145" s="5" t="str">
        <f t="shared" si="27"/>
        <v>NM 1065 - Partnership</v>
      </c>
      <c r="AK145" s="5" t="str">
        <f t="shared" si="28"/>
        <v>NM-Tax Services-ANN-1065 - Partnership_Mid</v>
      </c>
      <c r="AL145" s="5" t="str">
        <f t="shared" si="29"/>
        <v>Classifi_1065_47-3029336_NM 1065 - Partnership</v>
      </c>
      <c r="AM145" s="5" t="str">
        <f t="shared" si="30"/>
        <v>Classifi_1065_47-3029336_NM-Tax Services-ANN-1065 - Partnership_Mid</v>
      </c>
    </row>
    <row r="146" spans="1:39" x14ac:dyDescent="0.25">
      <c r="A146" s="2" t="s">
        <v>349</v>
      </c>
      <c r="B146" s="2" t="s">
        <v>350</v>
      </c>
      <c r="C146" s="2" t="s">
        <v>1196</v>
      </c>
      <c r="D146" s="8">
        <v>43831</v>
      </c>
      <c r="E146" s="5" t="str">
        <f t="shared" si="31"/>
        <v>Classified Nutrition, LLC_01-01-20</v>
      </c>
      <c r="F146" s="2" t="s">
        <v>1200</v>
      </c>
      <c r="G146" s="2" t="s">
        <v>1241</v>
      </c>
      <c r="H146" s="2" t="s">
        <v>1220</v>
      </c>
      <c r="I146" s="2" t="s">
        <v>1223</v>
      </c>
      <c r="J146" s="2" t="s">
        <v>1234</v>
      </c>
      <c r="M146" s="5" t="str">
        <f t="shared" si="22"/>
        <v>Basic</v>
      </c>
      <c r="N146" s="5" t="str">
        <f t="shared" si="23"/>
        <v>Tax-Staff-Basic</v>
      </c>
      <c r="O146" s="5" t="str">
        <f t="shared" si="24"/>
        <v>Tax-Reviewer-Basic</v>
      </c>
      <c r="P146" s="5" t="str">
        <f t="shared" si="25"/>
        <v>Tax-Signer-Basic</v>
      </c>
      <c r="Q146" s="6">
        <v>0.5</v>
      </c>
      <c r="R146" s="6">
        <v>0.1</v>
      </c>
      <c r="S146" s="6">
        <v>0.05</v>
      </c>
      <c r="T146" s="7">
        <f t="shared" si="32"/>
        <v>0.65</v>
      </c>
      <c r="U146" s="6" t="e">
        <f>SUMIFS([1]Sheet1!$L:$L,[1]Sheet1!$I:$I,AJ146,[1]Sheet1!$C:$C,A146)</f>
        <v>#VALUE!</v>
      </c>
      <c r="V146" s="6"/>
      <c r="W146" s="6"/>
      <c r="X146" s="7" t="e">
        <f t="shared" si="26"/>
        <v>#VALUE!</v>
      </c>
      <c r="Y146" s="6"/>
      <c r="AJ146" s="5" t="str">
        <f t="shared" si="27"/>
        <v>NM Texas Franchise Tax Return</v>
      </c>
      <c r="AK146" s="5" t="str">
        <f t="shared" si="28"/>
        <v>NM-Tax Services-ANN-Texas Franchise Tax Return_Basic</v>
      </c>
      <c r="AL146" s="5" t="str">
        <f t="shared" si="29"/>
        <v>Classifi_1065_47-3029336_NM Texas Franchise Tax Return</v>
      </c>
      <c r="AM146" s="5" t="str">
        <f t="shared" si="30"/>
        <v>Classifi_1065_47-3029336_NM-Tax Services-ANN-Texas Franchise Tax Return_Basic</v>
      </c>
    </row>
    <row r="147" spans="1:39" x14ac:dyDescent="0.25">
      <c r="A147" s="2" t="s">
        <v>493</v>
      </c>
      <c r="B147" s="2" t="s">
        <v>494</v>
      </c>
      <c r="C147" s="2" t="s">
        <v>1197</v>
      </c>
      <c r="D147" s="8">
        <v>43831</v>
      </c>
      <c r="E147" s="5" t="str">
        <f t="shared" si="31"/>
        <v>Cleveland, Justin D &amp; Ashley G_01-01-20</v>
      </c>
      <c r="F147" s="2" t="s">
        <v>1203</v>
      </c>
      <c r="G147" s="2" t="s">
        <v>1241</v>
      </c>
      <c r="H147" s="2" t="s">
        <v>1220</v>
      </c>
      <c r="I147" s="2" t="s">
        <v>1221</v>
      </c>
      <c r="J147" s="2" t="s">
        <v>1234</v>
      </c>
      <c r="M147" s="5" t="str">
        <f t="shared" si="22"/>
        <v>Mid</v>
      </c>
      <c r="N147" s="5" t="str">
        <f t="shared" si="23"/>
        <v>Tax-Staff-Mid</v>
      </c>
      <c r="O147" s="5" t="str">
        <f t="shared" si="24"/>
        <v>Tax-Reviewer-Mid</v>
      </c>
      <c r="P147" s="5" t="str">
        <f t="shared" si="25"/>
        <v>Tax-Signer-Mid</v>
      </c>
      <c r="Q147" s="6">
        <v>2.7401969696969677</v>
      </c>
      <c r="R147" s="6">
        <v>0.5480393939393936</v>
      </c>
      <c r="S147" s="6">
        <v>0.2740196969696968</v>
      </c>
      <c r="T147" s="7">
        <f t="shared" si="32"/>
        <v>3.562256060606058</v>
      </c>
      <c r="U147" s="6" t="e">
        <f>SUMIFS([1]Sheet1!$L:$L,[1]Sheet1!$I:$I,AJ147,[1]Sheet1!$C:$C,A147)</f>
        <v>#VALUE!</v>
      </c>
      <c r="V147" s="6"/>
      <c r="W147" s="6"/>
      <c r="X147" s="7" t="e">
        <f t="shared" si="26"/>
        <v>#VALUE!</v>
      </c>
      <c r="Y147" s="6"/>
      <c r="AJ147" s="5" t="str">
        <f t="shared" si="27"/>
        <v>MO 1040 - Personal</v>
      </c>
      <c r="AK147" s="5" t="str">
        <f t="shared" si="28"/>
        <v>MO-Tax Services-ANN-1040 - Personal_Mid</v>
      </c>
      <c r="AL147" s="5" t="str">
        <f t="shared" si="29"/>
        <v>Clevel_4919_MO 1040 - Personal</v>
      </c>
      <c r="AM147" s="5" t="str">
        <f t="shared" si="30"/>
        <v>Clevel_4919_MO-Tax Services-ANN-1040 - Personal_Mid</v>
      </c>
    </row>
    <row r="148" spans="1:39" x14ac:dyDescent="0.25">
      <c r="A148" s="2" t="s">
        <v>495</v>
      </c>
      <c r="B148" s="2" t="s">
        <v>496</v>
      </c>
      <c r="C148" s="2" t="s">
        <v>1196</v>
      </c>
      <c r="D148" s="8">
        <v>43831</v>
      </c>
      <c r="E148" s="5" t="str">
        <f t="shared" si="31"/>
        <v>Cline, Dustin &amp; Glendaly_01-01-20</v>
      </c>
      <c r="F148" s="2" t="s">
        <v>1203</v>
      </c>
      <c r="G148" s="2" t="s">
        <v>1241</v>
      </c>
      <c r="H148" s="2" t="s">
        <v>1220</v>
      </c>
      <c r="I148" s="2" t="s">
        <v>1222</v>
      </c>
      <c r="J148" s="2" t="s">
        <v>1234</v>
      </c>
      <c r="M148" s="5" t="str">
        <f t="shared" si="22"/>
        <v>Adv</v>
      </c>
      <c r="N148" s="5" t="str">
        <f t="shared" si="23"/>
        <v>Tax-Staff-Adv</v>
      </c>
      <c r="O148" s="5" t="str">
        <f t="shared" si="24"/>
        <v>Tax-Reviewer-Adv</v>
      </c>
      <c r="P148" s="5" t="str">
        <f t="shared" si="25"/>
        <v>Tax-Signer-Adv</v>
      </c>
      <c r="Q148" s="6">
        <v>4.5832500000000005</v>
      </c>
      <c r="R148" s="6">
        <v>0.91665000000000019</v>
      </c>
      <c r="S148" s="6">
        <v>0.45832500000000009</v>
      </c>
      <c r="T148" s="7">
        <f t="shared" si="32"/>
        <v>5.9582250000000005</v>
      </c>
      <c r="U148" s="6" t="e">
        <f>SUMIFS([1]Sheet1!$L:$L,[1]Sheet1!$I:$I,AJ148,[1]Sheet1!$C:$C,A148)</f>
        <v>#VALUE!</v>
      </c>
      <c r="V148" s="6"/>
      <c r="W148" s="6"/>
      <c r="X148" s="7" t="e">
        <f t="shared" si="26"/>
        <v>#VALUE!</v>
      </c>
      <c r="Y148" s="6"/>
      <c r="AJ148" s="5" t="str">
        <f t="shared" si="27"/>
        <v>NM 1040 - Personal</v>
      </c>
      <c r="AK148" s="5" t="str">
        <f t="shared" si="28"/>
        <v>NM-Tax Services-ANN-1040 - Personal_Adv</v>
      </c>
      <c r="AL148" s="5" t="str">
        <f t="shared" si="29"/>
        <v>Cline,_3685_NM 1040 - Personal</v>
      </c>
      <c r="AM148" s="5" t="str">
        <f t="shared" si="30"/>
        <v>Cline,_3685_NM-Tax Services-ANN-1040 - Personal_Adv</v>
      </c>
    </row>
    <row r="149" spans="1:39" x14ac:dyDescent="0.25">
      <c r="A149" s="2" t="s">
        <v>351</v>
      </c>
      <c r="B149" s="2" t="s">
        <v>352</v>
      </c>
      <c r="C149" s="2" t="s">
        <v>1196</v>
      </c>
      <c r="D149" s="8">
        <v>43831</v>
      </c>
      <c r="E149" s="5" t="str">
        <f t="shared" si="31"/>
        <v>Cocktail Cartel Co, LLC_01-01-20</v>
      </c>
      <c r="F149" s="2" t="s">
        <v>1199</v>
      </c>
      <c r="G149" s="2" t="s">
        <v>1241</v>
      </c>
      <c r="H149" s="2" t="s">
        <v>1220</v>
      </c>
      <c r="I149" s="2" t="s">
        <v>1223</v>
      </c>
      <c r="J149" s="2" t="s">
        <v>1234</v>
      </c>
      <c r="M149" s="5" t="str">
        <f t="shared" si="22"/>
        <v>Basic</v>
      </c>
      <c r="N149" s="5" t="str">
        <f t="shared" si="23"/>
        <v>Tax-Staff-Basic</v>
      </c>
      <c r="O149" s="5" t="str">
        <f t="shared" si="24"/>
        <v>Tax-Reviewer-Basic</v>
      </c>
      <c r="P149" s="5" t="str">
        <f t="shared" si="25"/>
        <v>Tax-Signer-Basic</v>
      </c>
      <c r="Q149" s="6">
        <v>1.4675000000000016</v>
      </c>
      <c r="R149" s="6">
        <v>0.29350000000000032</v>
      </c>
      <c r="S149" s="6">
        <v>0.14675000000000016</v>
      </c>
      <c r="T149" s="7">
        <f t="shared" si="32"/>
        <v>1.9077500000000021</v>
      </c>
      <c r="U149" s="6" t="e">
        <f>SUMIFS([1]Sheet1!$L:$L,[1]Sheet1!$I:$I,AJ149,[1]Sheet1!$C:$C,A149)</f>
        <v>#VALUE!</v>
      </c>
      <c r="V149" s="6"/>
      <c r="W149" s="6"/>
      <c r="X149" s="7" t="e">
        <f t="shared" si="26"/>
        <v>#VALUE!</v>
      </c>
      <c r="Y149" s="6"/>
      <c r="AJ149" s="5" t="str">
        <f t="shared" si="27"/>
        <v>NM 1065 - Partnership</v>
      </c>
      <c r="AK149" s="5" t="str">
        <f t="shared" si="28"/>
        <v>NM-Tax Services-ANN-1065 - Partnership_Basic</v>
      </c>
      <c r="AL149" s="5" t="str">
        <f t="shared" si="29"/>
        <v>Cocktail_1065_47-5640356_NM 1065 - Partnership</v>
      </c>
      <c r="AM149" s="5" t="str">
        <f t="shared" si="30"/>
        <v>Cocktail_1065_47-5640356_NM-Tax Services-ANN-1065 - Partnership_Basic</v>
      </c>
    </row>
    <row r="150" spans="1:39" x14ac:dyDescent="0.25">
      <c r="A150" s="2" t="s">
        <v>39</v>
      </c>
      <c r="B150" s="2" t="s">
        <v>40</v>
      </c>
      <c r="C150" s="2" t="s">
        <v>1197</v>
      </c>
      <c r="D150" s="8">
        <v>43831</v>
      </c>
      <c r="E150" s="5" t="str">
        <f t="shared" si="31"/>
        <v>Colby Vokey, PC_01-01-20</v>
      </c>
      <c r="F150" s="2" t="s">
        <v>1204</v>
      </c>
      <c r="G150" s="2" t="s">
        <v>1241</v>
      </c>
      <c r="H150" s="2" t="s">
        <v>1220</v>
      </c>
      <c r="I150" s="2" t="s">
        <v>1221</v>
      </c>
      <c r="J150" s="2" t="s">
        <v>1234</v>
      </c>
      <c r="M150" s="5" t="str">
        <f t="shared" si="22"/>
        <v>Mid</v>
      </c>
      <c r="N150" s="5" t="str">
        <f t="shared" si="23"/>
        <v>Tax-Staff-Mid</v>
      </c>
      <c r="O150" s="5" t="str">
        <f t="shared" si="24"/>
        <v>Tax-Reviewer-Mid</v>
      </c>
      <c r="P150" s="5" t="str">
        <f t="shared" si="25"/>
        <v>Tax-Signer-Mid</v>
      </c>
      <c r="Q150" s="6">
        <v>2.7401969696969677</v>
      </c>
      <c r="R150" s="6">
        <v>0.5480393939393936</v>
      </c>
      <c r="S150" s="6">
        <v>0.2740196969696968</v>
      </c>
      <c r="T150" s="7">
        <f t="shared" si="32"/>
        <v>3.562256060606058</v>
      </c>
      <c r="U150" s="6" t="e">
        <f>SUMIFS([1]Sheet1!$L:$L,[1]Sheet1!$I:$I,AJ150,[1]Sheet1!$C:$C,A150)</f>
        <v>#VALUE!</v>
      </c>
      <c r="V150" s="6"/>
      <c r="W150" s="6"/>
      <c r="X150" s="7" t="e">
        <f t="shared" si="26"/>
        <v>#VALUE!</v>
      </c>
      <c r="Y150" s="6"/>
      <c r="AJ150" s="5" t="str">
        <f t="shared" si="27"/>
        <v>MO 1120S - S Corporation</v>
      </c>
      <c r="AK150" s="5" t="str">
        <f t="shared" si="28"/>
        <v>MO-Tax Services-ANN-1120S - S Corporation_Mid</v>
      </c>
      <c r="AL150" s="5" t="str">
        <f t="shared" si="29"/>
        <v>Colby Vo_1120S_46-1664213_MO 1120S - S Corporation</v>
      </c>
      <c r="AM150" s="5" t="str">
        <f t="shared" si="30"/>
        <v>Colby Vo_1120S_46-1664213_MO-Tax Services-ANN-1120S - S Corporation_Mid</v>
      </c>
    </row>
    <row r="151" spans="1:39" x14ac:dyDescent="0.25">
      <c r="A151" s="2" t="s">
        <v>39</v>
      </c>
      <c r="B151" s="2" t="s">
        <v>40</v>
      </c>
      <c r="C151" s="2" t="s">
        <v>1197</v>
      </c>
      <c r="D151" s="8">
        <v>43831</v>
      </c>
      <c r="E151" s="5" t="str">
        <f t="shared" si="31"/>
        <v>Colby Vokey, PC_01-01-20</v>
      </c>
      <c r="F151" s="2" t="s">
        <v>1205</v>
      </c>
      <c r="G151" s="2" t="s">
        <v>1201</v>
      </c>
      <c r="H151" s="2" t="s">
        <v>1224</v>
      </c>
      <c r="I151" s="2" t="s">
        <v>1223</v>
      </c>
      <c r="J151" s="2" t="s">
        <v>1235</v>
      </c>
      <c r="M151" s="5" t="str">
        <f t="shared" si="22"/>
        <v>Basic</v>
      </c>
      <c r="N151" s="5" t="str">
        <f t="shared" si="23"/>
        <v>Accountant-Staff-Basic</v>
      </c>
      <c r="O151" s="5" t="str">
        <f t="shared" si="24"/>
        <v>Accountant-Reviewer-Basic</v>
      </c>
      <c r="P151" s="5" t="str">
        <f t="shared" si="25"/>
        <v>Accountant-Signer-Basic</v>
      </c>
      <c r="Q151" s="6">
        <v>0.5</v>
      </c>
      <c r="R151" s="6">
        <v>0.1</v>
      </c>
      <c r="S151" s="6">
        <v>0.05</v>
      </c>
      <c r="T151" s="7">
        <f t="shared" si="32"/>
        <v>0.65</v>
      </c>
      <c r="U151" s="6" t="e">
        <f>SUMIFS([1]Sheet1!$L:$L,[1]Sheet1!$I:$I,AJ151,[1]Sheet1!$C:$C,A151)</f>
        <v>#VALUE!</v>
      </c>
      <c r="V151" s="6"/>
      <c r="W151" s="6"/>
      <c r="X151" s="7" t="e">
        <f t="shared" si="26"/>
        <v>#VALUE!</v>
      </c>
      <c r="Y151" s="6"/>
      <c r="AJ151" s="5" t="str">
        <f t="shared" si="27"/>
        <v>MO Payroll Services</v>
      </c>
      <c r="AK151" s="5" t="str">
        <f t="shared" si="28"/>
        <v>MO-Accounting Services-QTR-Payroll Services_Basic</v>
      </c>
      <c r="AL151" s="5" t="str">
        <f t="shared" si="29"/>
        <v>Colby Vo_1120S_46-1664213_MO Payroll Services</v>
      </c>
      <c r="AM151" s="5" t="str">
        <f t="shared" si="30"/>
        <v>Colby Vo_1120S_46-1664213_MO-Accounting Services-QTR-Payroll Services_Basic</v>
      </c>
    </row>
    <row r="152" spans="1:39" x14ac:dyDescent="0.25">
      <c r="A152" s="2" t="s">
        <v>39</v>
      </c>
      <c r="B152" s="2" t="s">
        <v>40</v>
      </c>
      <c r="C152" s="2" t="s">
        <v>1197</v>
      </c>
      <c r="D152" s="8">
        <v>43831</v>
      </c>
      <c r="E152" s="5" t="str">
        <f t="shared" si="31"/>
        <v>Colby Vokey, PC_01-01-20</v>
      </c>
      <c r="F152" s="2" t="s">
        <v>1200</v>
      </c>
      <c r="G152" s="2" t="s">
        <v>1241</v>
      </c>
      <c r="H152" s="2" t="s">
        <v>1220</v>
      </c>
      <c r="I152" s="2" t="s">
        <v>1223</v>
      </c>
      <c r="J152" s="2" t="s">
        <v>1234</v>
      </c>
      <c r="M152" s="5" t="str">
        <f t="shared" si="22"/>
        <v>Basic</v>
      </c>
      <c r="N152" s="5" t="str">
        <f t="shared" si="23"/>
        <v>Tax-Staff-Basic</v>
      </c>
      <c r="O152" s="5" t="str">
        <f t="shared" si="24"/>
        <v>Tax-Reviewer-Basic</v>
      </c>
      <c r="P152" s="5" t="str">
        <f t="shared" si="25"/>
        <v>Tax-Signer-Basic</v>
      </c>
      <c r="Q152" s="6">
        <v>0.5</v>
      </c>
      <c r="R152" s="6">
        <v>0.1</v>
      </c>
      <c r="S152" s="6">
        <v>0.05</v>
      </c>
      <c r="T152" s="7">
        <f t="shared" si="32"/>
        <v>0.65</v>
      </c>
      <c r="U152" s="6" t="e">
        <f>SUMIFS([1]Sheet1!$L:$L,[1]Sheet1!$I:$I,AJ152,[1]Sheet1!$C:$C,A152)</f>
        <v>#VALUE!</v>
      </c>
      <c r="V152" s="6"/>
      <c r="W152" s="6"/>
      <c r="X152" s="7" t="e">
        <f t="shared" si="26"/>
        <v>#VALUE!</v>
      </c>
      <c r="Y152" s="6"/>
      <c r="AJ152" s="5" t="str">
        <f t="shared" si="27"/>
        <v>MO Texas Franchise Tax Return</v>
      </c>
      <c r="AK152" s="5" t="str">
        <f t="shared" si="28"/>
        <v>MO-Tax Services-ANN-Texas Franchise Tax Return_Basic</v>
      </c>
      <c r="AL152" s="5" t="str">
        <f t="shared" si="29"/>
        <v>Colby Vo_1120S_46-1664213_MO Texas Franchise Tax Return</v>
      </c>
      <c r="AM152" s="5" t="str">
        <f t="shared" si="30"/>
        <v>Colby Vo_1120S_46-1664213_MO-Tax Services-ANN-Texas Franchise Tax Return_Basic</v>
      </c>
    </row>
    <row r="153" spans="1:39" x14ac:dyDescent="0.25">
      <c r="A153" s="2" t="s">
        <v>954</v>
      </c>
      <c r="B153" s="2" t="s">
        <v>955</v>
      </c>
      <c r="C153" s="2" t="s">
        <v>1196</v>
      </c>
      <c r="D153" s="8">
        <v>43831</v>
      </c>
      <c r="E153" s="5" t="str">
        <f t="shared" si="31"/>
        <v>Cole, Jennifer_01-01-20</v>
      </c>
      <c r="F153" s="2" t="s">
        <v>1203</v>
      </c>
      <c r="G153" s="2" t="s">
        <v>1241</v>
      </c>
      <c r="H153" s="2" t="s">
        <v>1220</v>
      </c>
      <c r="I153" s="2" t="s">
        <v>1221</v>
      </c>
      <c r="J153" s="2" t="s">
        <v>1234</v>
      </c>
      <c r="M153" s="5" t="str">
        <f t="shared" si="22"/>
        <v>Mid</v>
      </c>
      <c r="N153" s="5" t="str">
        <f t="shared" si="23"/>
        <v>Tax-Staff-Mid</v>
      </c>
      <c r="O153" s="5" t="str">
        <f t="shared" si="24"/>
        <v>Tax-Reviewer-Mid</v>
      </c>
      <c r="P153" s="5" t="str">
        <f t="shared" si="25"/>
        <v>Tax-Signer-Mid</v>
      </c>
      <c r="Q153" s="6">
        <v>2.7401969696969677</v>
      </c>
      <c r="R153" s="6">
        <v>0.5480393939393936</v>
      </c>
      <c r="S153" s="6">
        <v>0.2740196969696968</v>
      </c>
      <c r="T153" s="7">
        <f t="shared" si="32"/>
        <v>3.562256060606058</v>
      </c>
      <c r="U153" s="6" t="e">
        <f>SUMIFS([1]Sheet1!$L:$L,[1]Sheet1!$I:$I,AJ153,[1]Sheet1!$C:$C,A153)</f>
        <v>#VALUE!</v>
      </c>
      <c r="V153" s="6"/>
      <c r="W153" s="6"/>
      <c r="X153" s="7" t="e">
        <f t="shared" si="26"/>
        <v>#VALUE!</v>
      </c>
      <c r="Y153" s="6"/>
      <c r="AJ153" s="5" t="str">
        <f t="shared" si="27"/>
        <v>NM 1040 - Personal</v>
      </c>
      <c r="AK153" s="5" t="str">
        <f t="shared" si="28"/>
        <v>NM-Tax Services-ANN-1040 - Personal_Mid</v>
      </c>
      <c r="AL153" s="5" t="str">
        <f t="shared" si="29"/>
        <v>Cole, _0066_NM 1040 - Personal</v>
      </c>
      <c r="AM153" s="5" t="str">
        <f t="shared" si="30"/>
        <v>Cole, _0066_NM-Tax Services-ANN-1040 - Personal_Mid</v>
      </c>
    </row>
    <row r="154" spans="1:39" x14ac:dyDescent="0.25">
      <c r="A154" s="2" t="s">
        <v>353</v>
      </c>
      <c r="B154" s="2" t="s">
        <v>354</v>
      </c>
      <c r="C154" s="2" t="s">
        <v>1196</v>
      </c>
      <c r="D154" s="8">
        <v>43831</v>
      </c>
      <c r="E154" s="5" t="str">
        <f t="shared" si="31"/>
        <v>Combat Flip Flops, LLC_01-01-20</v>
      </c>
      <c r="F154" s="2" t="s">
        <v>1199</v>
      </c>
      <c r="G154" s="2" t="s">
        <v>1241</v>
      </c>
      <c r="H154" s="2" t="s">
        <v>1220</v>
      </c>
      <c r="I154" s="2" t="s">
        <v>1221</v>
      </c>
      <c r="J154" s="2" t="s">
        <v>1234</v>
      </c>
      <c r="M154" s="5" t="str">
        <f t="shared" si="22"/>
        <v>Mid</v>
      </c>
      <c r="N154" s="5" t="str">
        <f t="shared" si="23"/>
        <v>Tax-Staff-Mid</v>
      </c>
      <c r="O154" s="5" t="str">
        <f t="shared" si="24"/>
        <v>Tax-Reviewer-Mid</v>
      </c>
      <c r="P154" s="5" t="str">
        <f t="shared" si="25"/>
        <v>Tax-Signer-Mid</v>
      </c>
      <c r="Q154" s="6">
        <v>2.7401969696969677</v>
      </c>
      <c r="R154" s="6">
        <v>0.5480393939393936</v>
      </c>
      <c r="S154" s="6">
        <v>0.2740196969696968</v>
      </c>
      <c r="T154" s="7">
        <f t="shared" si="32"/>
        <v>3.562256060606058</v>
      </c>
      <c r="U154" s="6" t="e">
        <f>SUMIFS([1]Sheet1!$L:$L,[1]Sheet1!$I:$I,AJ154,[1]Sheet1!$C:$C,A154)</f>
        <v>#VALUE!</v>
      </c>
      <c r="V154" s="6"/>
      <c r="W154" s="6"/>
      <c r="X154" s="7" t="e">
        <f t="shared" si="26"/>
        <v>#VALUE!</v>
      </c>
      <c r="Y154" s="6"/>
      <c r="AJ154" s="5" t="str">
        <f t="shared" si="27"/>
        <v>NM 1065 - Partnership</v>
      </c>
      <c r="AK154" s="5" t="str">
        <f t="shared" si="28"/>
        <v>NM-Tax Services-ANN-1065 - Partnership_Mid</v>
      </c>
      <c r="AL154" s="5" t="str">
        <f t="shared" si="29"/>
        <v>Combat F_1065_37-1775051_NM 1065 - Partnership</v>
      </c>
      <c r="AM154" s="5" t="str">
        <f t="shared" si="30"/>
        <v>Combat F_1065_37-1775051_NM-Tax Services-ANN-1065 - Partnership_Mid</v>
      </c>
    </row>
    <row r="155" spans="1:39" x14ac:dyDescent="0.25">
      <c r="A155" s="2" t="s">
        <v>1040</v>
      </c>
      <c r="B155" s="2" t="s">
        <v>1041</v>
      </c>
      <c r="C155" s="2" t="s">
        <v>1196</v>
      </c>
      <c r="D155" s="8">
        <v>43831</v>
      </c>
      <c r="E155" s="5" t="str">
        <f t="shared" si="31"/>
        <v>Combs, John R. (Rusty)_01-01-20</v>
      </c>
      <c r="F155" s="2" t="s">
        <v>1203</v>
      </c>
      <c r="G155" s="2" t="s">
        <v>1241</v>
      </c>
      <c r="H155" s="2" t="s">
        <v>1220</v>
      </c>
      <c r="I155" s="2" t="s">
        <v>1221</v>
      </c>
      <c r="J155" s="2" t="s">
        <v>1234</v>
      </c>
      <c r="M155" s="5" t="str">
        <f t="shared" si="22"/>
        <v>Mid</v>
      </c>
      <c r="N155" s="5" t="str">
        <f t="shared" si="23"/>
        <v>Tax-Staff-Mid</v>
      </c>
      <c r="O155" s="5" t="str">
        <f t="shared" si="24"/>
        <v>Tax-Reviewer-Mid</v>
      </c>
      <c r="P155" s="5" t="str">
        <f t="shared" si="25"/>
        <v>Tax-Signer-Mid</v>
      </c>
      <c r="Q155" s="6">
        <v>2.7401969696969677</v>
      </c>
      <c r="R155" s="6">
        <v>0.5480393939393936</v>
      </c>
      <c r="S155" s="6">
        <v>0.2740196969696968</v>
      </c>
      <c r="T155" s="7">
        <f t="shared" si="32"/>
        <v>3.562256060606058</v>
      </c>
      <c r="U155" s="6" t="e">
        <f>SUMIFS([1]Sheet1!$L:$L,[1]Sheet1!$I:$I,AJ155,[1]Sheet1!$C:$C,A155)</f>
        <v>#VALUE!</v>
      </c>
      <c r="V155" s="6"/>
      <c r="W155" s="6"/>
      <c r="X155" s="7" t="e">
        <f t="shared" si="26"/>
        <v>#VALUE!</v>
      </c>
      <c r="Y155" s="6"/>
      <c r="AJ155" s="5" t="str">
        <f t="shared" si="27"/>
        <v>NM 1040 - Personal</v>
      </c>
      <c r="AK155" s="5" t="str">
        <f t="shared" si="28"/>
        <v>NM-Tax Services-ANN-1040 - Personal_Mid</v>
      </c>
      <c r="AL155" s="5" t="str">
        <f t="shared" si="29"/>
        <v>Combs,_1205_NM 1040 - Personal</v>
      </c>
      <c r="AM155" s="5" t="str">
        <f t="shared" si="30"/>
        <v>Combs,_1205_NM-Tax Services-ANN-1040 - Personal_Mid</v>
      </c>
    </row>
    <row r="156" spans="1:39" x14ac:dyDescent="0.25">
      <c r="A156" s="2" t="s">
        <v>497</v>
      </c>
      <c r="B156" s="2" t="s">
        <v>498</v>
      </c>
      <c r="C156" s="2" t="s">
        <v>1196</v>
      </c>
      <c r="D156" s="8">
        <v>43831</v>
      </c>
      <c r="E156" s="5" t="str">
        <f t="shared" si="31"/>
        <v>Combs, Gary_01-01-20</v>
      </c>
      <c r="F156" s="2" t="s">
        <v>1203</v>
      </c>
      <c r="G156" s="2" t="s">
        <v>1241</v>
      </c>
      <c r="H156" s="2" t="s">
        <v>1220</v>
      </c>
      <c r="I156" s="2" t="s">
        <v>1221</v>
      </c>
      <c r="J156" s="2" t="s">
        <v>1234</v>
      </c>
      <c r="M156" s="5" t="str">
        <f t="shared" si="22"/>
        <v>Mid</v>
      </c>
      <c r="N156" s="5" t="str">
        <f t="shared" si="23"/>
        <v>Tax-Staff-Mid</v>
      </c>
      <c r="O156" s="5" t="str">
        <f t="shared" si="24"/>
        <v>Tax-Reviewer-Mid</v>
      </c>
      <c r="P156" s="5" t="str">
        <f t="shared" si="25"/>
        <v>Tax-Signer-Mid</v>
      </c>
      <c r="Q156" s="6">
        <v>2.7401969696969677</v>
      </c>
      <c r="R156" s="6">
        <v>0.5480393939393936</v>
      </c>
      <c r="S156" s="6">
        <v>0.2740196969696968</v>
      </c>
      <c r="T156" s="7">
        <f t="shared" si="32"/>
        <v>3.562256060606058</v>
      </c>
      <c r="U156" s="6" t="e">
        <f>SUMIFS([1]Sheet1!$L:$L,[1]Sheet1!$I:$I,AJ156,[1]Sheet1!$C:$C,A156)</f>
        <v>#VALUE!</v>
      </c>
      <c r="V156" s="6"/>
      <c r="W156" s="6"/>
      <c r="X156" s="7" t="e">
        <f t="shared" si="26"/>
        <v>#VALUE!</v>
      </c>
      <c r="Y156" s="6"/>
      <c r="AJ156" s="5" t="str">
        <f t="shared" si="27"/>
        <v>NM 1040 - Personal</v>
      </c>
      <c r="AK156" s="5" t="str">
        <f t="shared" si="28"/>
        <v>NM-Tax Services-ANN-1040 - Personal_Mid</v>
      </c>
      <c r="AL156" s="5" t="str">
        <f t="shared" si="29"/>
        <v>Combs,_9859_NM 1040 - Personal</v>
      </c>
      <c r="AM156" s="5" t="str">
        <f t="shared" si="30"/>
        <v>Combs,_9859_NM-Tax Services-ANN-1040 - Personal_Mid</v>
      </c>
    </row>
    <row r="157" spans="1:39" x14ac:dyDescent="0.25">
      <c r="A157" s="2" t="s">
        <v>305</v>
      </c>
      <c r="B157" s="2" t="s">
        <v>306</v>
      </c>
      <c r="C157" s="2" t="s">
        <v>1197</v>
      </c>
      <c r="D157" s="8">
        <v>43831</v>
      </c>
      <c r="E157" s="5" t="str">
        <f t="shared" si="31"/>
        <v>Computing Plus Inc_01-01-20</v>
      </c>
      <c r="F157" s="2" t="s">
        <v>1206</v>
      </c>
      <c r="G157" s="2" t="s">
        <v>1241</v>
      </c>
      <c r="H157" s="2" t="s">
        <v>1220</v>
      </c>
      <c r="I157" s="2" t="s">
        <v>1223</v>
      </c>
      <c r="J157" s="2" t="s">
        <v>1234</v>
      </c>
      <c r="M157" s="5" t="str">
        <f t="shared" si="22"/>
        <v>Basic</v>
      </c>
      <c r="N157" s="5" t="str">
        <f t="shared" si="23"/>
        <v>Tax-Staff-Basic</v>
      </c>
      <c r="O157" s="5" t="str">
        <f t="shared" si="24"/>
        <v>Tax-Reviewer-Basic</v>
      </c>
      <c r="P157" s="5" t="str">
        <f t="shared" si="25"/>
        <v>Tax-Signer-Basic</v>
      </c>
      <c r="Q157" s="6">
        <v>1.4675000000000016</v>
      </c>
      <c r="R157" s="6">
        <v>0.29350000000000032</v>
      </c>
      <c r="S157" s="6">
        <v>0.14675000000000016</v>
      </c>
      <c r="T157" s="7">
        <f t="shared" si="32"/>
        <v>1.9077500000000021</v>
      </c>
      <c r="U157" s="6" t="e">
        <f>SUMIFS([1]Sheet1!$L:$L,[1]Sheet1!$I:$I,AJ157,[1]Sheet1!$C:$C,A157)</f>
        <v>#VALUE!</v>
      </c>
      <c r="V157" s="6"/>
      <c r="W157" s="6"/>
      <c r="X157" s="7" t="e">
        <f t="shared" si="26"/>
        <v>#VALUE!</v>
      </c>
      <c r="Y157" s="6"/>
      <c r="AJ157" s="5" t="str">
        <f t="shared" si="27"/>
        <v>MO 1120 - C Corporation</v>
      </c>
      <c r="AK157" s="5" t="str">
        <f t="shared" si="28"/>
        <v>MO-Tax Services-ANN-1120 - C Corporation_Basic</v>
      </c>
      <c r="AL157" s="5" t="str">
        <f t="shared" si="29"/>
        <v>Computin_1120S_75-2671738_MO 1120 - C Corporation</v>
      </c>
      <c r="AM157" s="5" t="str">
        <f t="shared" si="30"/>
        <v>Computin_1120S_75-2671738_MO-Tax Services-ANN-1120 - C Corporation_Basic</v>
      </c>
    </row>
    <row r="158" spans="1:39" x14ac:dyDescent="0.25">
      <c r="A158" s="2" t="s">
        <v>411</v>
      </c>
      <c r="B158" s="2" t="s">
        <v>412</v>
      </c>
      <c r="C158" s="2" t="s">
        <v>1196</v>
      </c>
      <c r="D158" s="8">
        <v>43831</v>
      </c>
      <c r="E158" s="5" t="str">
        <f t="shared" si="31"/>
        <v>Converging Insights LLC_01-01-20</v>
      </c>
      <c r="F158" s="2" t="s">
        <v>1199</v>
      </c>
      <c r="G158" s="2" t="s">
        <v>1241</v>
      </c>
      <c r="H158" s="2" t="s">
        <v>1220</v>
      </c>
      <c r="I158" s="2" t="s">
        <v>1221</v>
      </c>
      <c r="J158" s="2" t="s">
        <v>1234</v>
      </c>
      <c r="M158" s="5" t="str">
        <f t="shared" si="22"/>
        <v>Mid</v>
      </c>
      <c r="N158" s="5" t="str">
        <f t="shared" si="23"/>
        <v>Tax-Staff-Mid</v>
      </c>
      <c r="O158" s="5" t="str">
        <f t="shared" si="24"/>
        <v>Tax-Reviewer-Mid</v>
      </c>
      <c r="P158" s="5" t="str">
        <f t="shared" si="25"/>
        <v>Tax-Signer-Mid</v>
      </c>
      <c r="Q158" s="6">
        <v>2.7401969696969677</v>
      </c>
      <c r="R158" s="6">
        <v>0.5480393939393936</v>
      </c>
      <c r="S158" s="6">
        <v>0.2740196969696968</v>
      </c>
      <c r="T158" s="7">
        <f t="shared" si="32"/>
        <v>3.562256060606058</v>
      </c>
      <c r="U158" s="6" t="e">
        <f>SUMIFS([1]Sheet1!$L:$L,[1]Sheet1!$I:$I,AJ158,[1]Sheet1!$C:$C,A158)</f>
        <v>#VALUE!</v>
      </c>
      <c r="V158" s="6"/>
      <c r="W158" s="6"/>
      <c r="X158" s="7" t="e">
        <f t="shared" si="26"/>
        <v>#VALUE!</v>
      </c>
      <c r="Y158" s="6"/>
      <c r="AJ158" s="5" t="str">
        <f t="shared" si="27"/>
        <v>NM 1065 - Partnership</v>
      </c>
      <c r="AK158" s="5" t="str">
        <f t="shared" si="28"/>
        <v>NM-Tax Services-ANN-1065 - Partnership_Mid</v>
      </c>
      <c r="AL158" s="5" t="str">
        <f t="shared" si="29"/>
        <v>Convergi_1065_81-3001658_NM 1065 - Partnership</v>
      </c>
      <c r="AM158" s="5" t="str">
        <f t="shared" si="30"/>
        <v>Convergi_1065_81-3001658_NM-Tax Services-ANN-1065 - Partnership_Mid</v>
      </c>
    </row>
    <row r="159" spans="1:39" x14ac:dyDescent="0.25">
      <c r="A159" s="2" t="s">
        <v>499</v>
      </c>
      <c r="B159" s="2" t="s">
        <v>500</v>
      </c>
      <c r="C159" s="2" t="s">
        <v>1196</v>
      </c>
      <c r="D159" s="8">
        <v>43831</v>
      </c>
      <c r="E159" s="5" t="str">
        <f t="shared" si="31"/>
        <v>Cook, Blaine_01-01-20</v>
      </c>
      <c r="F159" s="2" t="s">
        <v>1203</v>
      </c>
      <c r="G159" s="2" t="s">
        <v>1241</v>
      </c>
      <c r="H159" s="2" t="s">
        <v>1220</v>
      </c>
      <c r="I159" s="2" t="s">
        <v>1223</v>
      </c>
      <c r="J159" s="2" t="s">
        <v>1234</v>
      </c>
      <c r="M159" s="5" t="str">
        <f t="shared" si="22"/>
        <v>Basic</v>
      </c>
      <c r="N159" s="5" t="str">
        <f t="shared" si="23"/>
        <v>Tax-Staff-Basic</v>
      </c>
      <c r="O159" s="5" t="str">
        <f t="shared" si="24"/>
        <v>Tax-Reviewer-Basic</v>
      </c>
      <c r="P159" s="5" t="str">
        <f t="shared" si="25"/>
        <v>Tax-Signer-Basic</v>
      </c>
      <c r="Q159" s="6">
        <v>1.4675000000000016</v>
      </c>
      <c r="R159" s="6">
        <v>0.29350000000000032</v>
      </c>
      <c r="S159" s="6">
        <v>0.14675000000000016</v>
      </c>
      <c r="T159" s="7">
        <f t="shared" si="32"/>
        <v>1.9077500000000021</v>
      </c>
      <c r="U159" s="6" t="e">
        <f>SUMIFS([1]Sheet1!$L:$L,[1]Sheet1!$I:$I,AJ159,[1]Sheet1!$C:$C,A159)</f>
        <v>#VALUE!</v>
      </c>
      <c r="V159" s="6"/>
      <c r="W159" s="6"/>
      <c r="X159" s="7" t="e">
        <f t="shared" si="26"/>
        <v>#VALUE!</v>
      </c>
      <c r="Y159" s="6"/>
      <c r="AJ159" s="5" t="str">
        <f t="shared" si="27"/>
        <v>NM 1040 - Personal</v>
      </c>
      <c r="AK159" s="5" t="str">
        <f t="shared" si="28"/>
        <v>NM-Tax Services-ANN-1040 - Personal_Basic</v>
      </c>
      <c r="AL159" s="5" t="str">
        <f t="shared" si="29"/>
        <v>Cook, _2866_NM 1040 - Personal</v>
      </c>
      <c r="AM159" s="5" t="str">
        <f t="shared" si="30"/>
        <v>Cook, _2866_NM-Tax Services-ANN-1040 - Personal_Basic</v>
      </c>
    </row>
    <row r="160" spans="1:39" x14ac:dyDescent="0.25">
      <c r="A160" s="2" t="s">
        <v>798</v>
      </c>
      <c r="B160" s="2" t="s">
        <v>799</v>
      </c>
      <c r="C160" s="2" t="s">
        <v>1196</v>
      </c>
      <c r="D160" s="8">
        <v>43831</v>
      </c>
      <c r="E160" s="5" t="str">
        <f t="shared" si="31"/>
        <v>Corbin Dowell Ringley_01-01-20</v>
      </c>
      <c r="F160" s="2" t="s">
        <v>1203</v>
      </c>
      <c r="G160" s="2" t="s">
        <v>1241</v>
      </c>
      <c r="H160" s="2" t="s">
        <v>1220</v>
      </c>
      <c r="I160" s="2" t="s">
        <v>1223</v>
      </c>
      <c r="J160" s="2" t="s">
        <v>1234</v>
      </c>
      <c r="M160" s="5" t="str">
        <f t="shared" si="22"/>
        <v>Basic</v>
      </c>
      <c r="N160" s="5" t="str">
        <f t="shared" si="23"/>
        <v>Tax-Staff-Basic</v>
      </c>
      <c r="O160" s="5" t="str">
        <f t="shared" si="24"/>
        <v>Tax-Reviewer-Basic</v>
      </c>
      <c r="P160" s="5" t="str">
        <f t="shared" si="25"/>
        <v>Tax-Signer-Basic</v>
      </c>
      <c r="Q160" s="6">
        <v>1.4675000000000016</v>
      </c>
      <c r="R160" s="6">
        <v>0.29350000000000032</v>
      </c>
      <c r="S160" s="6">
        <v>0.14675000000000016</v>
      </c>
      <c r="T160" s="7">
        <f t="shared" si="32"/>
        <v>1.9077500000000021</v>
      </c>
      <c r="U160" s="6" t="e">
        <f>SUMIFS([1]Sheet1!$L:$L,[1]Sheet1!$I:$I,AJ160,[1]Sheet1!$C:$C,A160)</f>
        <v>#VALUE!</v>
      </c>
      <c r="V160" s="6"/>
      <c r="W160" s="6"/>
      <c r="X160" s="7" t="e">
        <f t="shared" si="26"/>
        <v>#VALUE!</v>
      </c>
      <c r="Y160" s="6"/>
      <c r="AJ160" s="5" t="str">
        <f t="shared" si="27"/>
        <v>NM 1040 - Personal</v>
      </c>
      <c r="AK160" s="5" t="str">
        <f t="shared" si="28"/>
        <v>NM-Tax Services-ANN-1040 - Personal_Basic</v>
      </c>
      <c r="AL160" s="5" t="str">
        <f t="shared" si="29"/>
        <v>Corbin_9170_NM 1040 - Personal</v>
      </c>
      <c r="AM160" s="5" t="str">
        <f t="shared" si="30"/>
        <v>Corbin_9170_NM-Tax Services-ANN-1040 - Personal_Basic</v>
      </c>
    </row>
    <row r="161" spans="1:39" x14ac:dyDescent="0.25">
      <c r="A161" s="2" t="s">
        <v>41</v>
      </c>
      <c r="B161" s="2" t="s">
        <v>42</v>
      </c>
      <c r="C161" s="2" t="s">
        <v>1197</v>
      </c>
      <c r="D161" s="8">
        <v>43831</v>
      </c>
      <c r="E161" s="5" t="str">
        <f t="shared" si="31"/>
        <v>Craftlogic Software LLC_01-01-20</v>
      </c>
      <c r="F161" s="2" t="s">
        <v>1201</v>
      </c>
      <c r="G161" s="2" t="s">
        <v>1201</v>
      </c>
      <c r="H161" s="2" t="s">
        <v>1197</v>
      </c>
      <c r="I161" s="2" t="s">
        <v>1223</v>
      </c>
      <c r="J161" s="2" t="s">
        <v>1235</v>
      </c>
      <c r="M161" s="5" t="str">
        <f t="shared" si="22"/>
        <v>Basic</v>
      </c>
      <c r="N161" s="5" t="str">
        <f t="shared" si="23"/>
        <v>Accountant-Staff-Basic</v>
      </c>
      <c r="O161" s="5" t="str">
        <f t="shared" si="24"/>
        <v>Accountant-Reviewer-Basic</v>
      </c>
      <c r="P161" s="5" t="str">
        <f t="shared" si="25"/>
        <v>Accountant-Signer-Basic</v>
      </c>
      <c r="Q161" s="6">
        <v>1.47</v>
      </c>
      <c r="R161" s="6">
        <v>0.29399999999999998</v>
      </c>
      <c r="S161" s="6">
        <v>0.14699999999999999</v>
      </c>
      <c r="T161" s="7">
        <f t="shared" si="32"/>
        <v>1.911</v>
      </c>
      <c r="U161" s="6" t="e">
        <f>SUMIFS([1]Sheet1!$L:$L,[1]Sheet1!$I:$I,AJ161,[1]Sheet1!$C:$C,A161)</f>
        <v>#VALUE!</v>
      </c>
      <c r="V161" s="6"/>
      <c r="W161" s="6"/>
      <c r="X161" s="7" t="e">
        <f t="shared" si="26"/>
        <v>#VALUE!</v>
      </c>
      <c r="Y161" s="6"/>
      <c r="AJ161" s="5" t="str">
        <f t="shared" si="27"/>
        <v>MO Accounting Services</v>
      </c>
      <c r="AK161" s="5" t="str">
        <f t="shared" si="28"/>
        <v>MO-Accounting Services-MO-Accounting Services_Basic</v>
      </c>
      <c r="AL161" s="5" t="str">
        <f t="shared" si="29"/>
        <v>Craftlog_1040_1_MO Accounting Services</v>
      </c>
      <c r="AM161" s="5" t="str">
        <f t="shared" si="30"/>
        <v>Craftlog_1040_1_MO-Accounting Services-MO-Accounting Services_Basic</v>
      </c>
    </row>
    <row r="162" spans="1:39" x14ac:dyDescent="0.25">
      <c r="A162" s="2" t="s">
        <v>501</v>
      </c>
      <c r="B162" s="2" t="s">
        <v>502</v>
      </c>
      <c r="C162" s="2" t="s">
        <v>1196</v>
      </c>
      <c r="D162" s="8">
        <v>43831</v>
      </c>
      <c r="E162" s="5" t="str">
        <f t="shared" si="31"/>
        <v>Crawford, Jesse_01-01-20</v>
      </c>
      <c r="F162" s="2" t="s">
        <v>1203</v>
      </c>
      <c r="G162" s="2" t="s">
        <v>1241</v>
      </c>
      <c r="H162" s="2" t="s">
        <v>1220</v>
      </c>
      <c r="I162" s="2" t="s">
        <v>1223</v>
      </c>
      <c r="J162" s="2" t="s">
        <v>1234</v>
      </c>
      <c r="M162" s="5" t="str">
        <f t="shared" si="22"/>
        <v>Basic</v>
      </c>
      <c r="N162" s="5" t="str">
        <f t="shared" si="23"/>
        <v>Tax-Staff-Basic</v>
      </c>
      <c r="O162" s="5" t="str">
        <f t="shared" si="24"/>
        <v>Tax-Reviewer-Basic</v>
      </c>
      <c r="P162" s="5" t="str">
        <f t="shared" si="25"/>
        <v>Tax-Signer-Basic</v>
      </c>
      <c r="Q162" s="6">
        <v>1.4675000000000016</v>
      </c>
      <c r="R162" s="6">
        <v>0.29350000000000032</v>
      </c>
      <c r="S162" s="6">
        <v>0.14675000000000016</v>
      </c>
      <c r="T162" s="7">
        <f t="shared" si="32"/>
        <v>1.9077500000000021</v>
      </c>
      <c r="U162" s="6" t="e">
        <f>SUMIFS([1]Sheet1!$L:$L,[1]Sheet1!$I:$I,AJ162,[1]Sheet1!$C:$C,A162)</f>
        <v>#VALUE!</v>
      </c>
      <c r="V162" s="6"/>
      <c r="W162" s="6"/>
      <c r="X162" s="7" t="e">
        <f t="shared" si="26"/>
        <v>#VALUE!</v>
      </c>
      <c r="Y162" s="6"/>
      <c r="AJ162" s="5" t="str">
        <f t="shared" si="27"/>
        <v>NM 1040 - Personal</v>
      </c>
      <c r="AK162" s="5" t="str">
        <f t="shared" si="28"/>
        <v>NM-Tax Services-ANN-1040 - Personal_Basic</v>
      </c>
      <c r="AL162" s="5" t="str">
        <f t="shared" si="29"/>
        <v>Crawfo_1798_NM 1040 - Personal</v>
      </c>
      <c r="AM162" s="5" t="str">
        <f t="shared" si="30"/>
        <v>Crawfo_1798_NM-Tax Services-ANN-1040 - Personal_Basic</v>
      </c>
    </row>
    <row r="163" spans="1:39" x14ac:dyDescent="0.25">
      <c r="A163" s="2" t="s">
        <v>503</v>
      </c>
      <c r="B163" s="2" t="s">
        <v>504</v>
      </c>
      <c r="C163" s="2" t="s">
        <v>1196</v>
      </c>
      <c r="D163" s="8">
        <v>43831</v>
      </c>
      <c r="E163" s="5" t="str">
        <f t="shared" si="31"/>
        <v>Crispino, Vincenzo &amp; Lorena_01-01-20</v>
      </c>
      <c r="F163" s="2" t="s">
        <v>1203</v>
      </c>
      <c r="G163" s="2" t="s">
        <v>1241</v>
      </c>
      <c r="H163" s="2" t="s">
        <v>1220</v>
      </c>
      <c r="I163" s="2" t="s">
        <v>1221</v>
      </c>
      <c r="J163" s="2" t="s">
        <v>1234</v>
      </c>
      <c r="M163" s="5" t="str">
        <f t="shared" si="22"/>
        <v>Mid</v>
      </c>
      <c r="N163" s="5" t="str">
        <f t="shared" si="23"/>
        <v>Tax-Staff-Mid</v>
      </c>
      <c r="O163" s="5" t="str">
        <f t="shared" si="24"/>
        <v>Tax-Reviewer-Mid</v>
      </c>
      <c r="P163" s="5" t="str">
        <f t="shared" si="25"/>
        <v>Tax-Signer-Mid</v>
      </c>
      <c r="Q163" s="6">
        <v>2.7401969696969677</v>
      </c>
      <c r="R163" s="6">
        <v>0.5480393939393936</v>
      </c>
      <c r="S163" s="6">
        <v>0.2740196969696968</v>
      </c>
      <c r="T163" s="7">
        <f t="shared" si="32"/>
        <v>3.562256060606058</v>
      </c>
      <c r="U163" s="6" t="e">
        <f>SUMIFS([1]Sheet1!$L:$L,[1]Sheet1!$I:$I,AJ163,[1]Sheet1!$C:$C,A163)</f>
        <v>#VALUE!</v>
      </c>
      <c r="V163" s="6"/>
      <c r="W163" s="6"/>
      <c r="X163" s="7" t="e">
        <f t="shared" si="26"/>
        <v>#VALUE!</v>
      </c>
      <c r="Y163" s="6"/>
      <c r="AJ163" s="5" t="str">
        <f t="shared" si="27"/>
        <v>NM 1040 - Personal</v>
      </c>
      <c r="AK163" s="5" t="str">
        <f t="shared" si="28"/>
        <v>NM-Tax Services-ANN-1040 - Personal_Mid</v>
      </c>
      <c r="AL163" s="5" t="str">
        <f t="shared" si="29"/>
        <v>Crispi_8705_NM 1040 - Personal</v>
      </c>
      <c r="AM163" s="5" t="str">
        <f t="shared" si="30"/>
        <v>Crispi_8705_NM-Tax Services-ANN-1040 - Personal_Mid</v>
      </c>
    </row>
    <row r="164" spans="1:39" x14ac:dyDescent="0.25">
      <c r="A164" s="2" t="s">
        <v>505</v>
      </c>
      <c r="B164" s="2" t="s">
        <v>506</v>
      </c>
      <c r="C164" s="2" t="s">
        <v>1196</v>
      </c>
      <c r="D164" s="8">
        <v>43831</v>
      </c>
      <c r="E164" s="5" t="str">
        <f t="shared" si="31"/>
        <v>Crowson, Luke_01-01-20</v>
      </c>
      <c r="F164" s="2" t="s">
        <v>1203</v>
      </c>
      <c r="G164" s="2" t="s">
        <v>1241</v>
      </c>
      <c r="H164" s="2" t="s">
        <v>1220</v>
      </c>
      <c r="I164" s="2" t="s">
        <v>1223</v>
      </c>
      <c r="J164" s="2" t="s">
        <v>1234</v>
      </c>
      <c r="M164" s="5" t="str">
        <f t="shared" si="22"/>
        <v>Basic</v>
      </c>
      <c r="N164" s="5" t="str">
        <f t="shared" si="23"/>
        <v>Tax-Staff-Basic</v>
      </c>
      <c r="O164" s="5" t="str">
        <f t="shared" si="24"/>
        <v>Tax-Reviewer-Basic</v>
      </c>
      <c r="P164" s="5" t="str">
        <f t="shared" si="25"/>
        <v>Tax-Signer-Basic</v>
      </c>
      <c r="Q164" s="6">
        <v>1.4675000000000016</v>
      </c>
      <c r="R164" s="6">
        <v>0.29350000000000032</v>
      </c>
      <c r="S164" s="6">
        <v>0.14675000000000016</v>
      </c>
      <c r="T164" s="7">
        <f t="shared" si="32"/>
        <v>1.9077500000000021</v>
      </c>
      <c r="U164" s="6" t="e">
        <f>SUMIFS([1]Sheet1!$L:$L,[1]Sheet1!$I:$I,AJ164,[1]Sheet1!$C:$C,A164)</f>
        <v>#VALUE!</v>
      </c>
      <c r="V164" s="6"/>
      <c r="W164" s="6"/>
      <c r="X164" s="7" t="e">
        <f t="shared" si="26"/>
        <v>#VALUE!</v>
      </c>
      <c r="Y164" s="6"/>
      <c r="AJ164" s="5" t="str">
        <f t="shared" si="27"/>
        <v>NM 1040 - Personal</v>
      </c>
      <c r="AK164" s="5" t="str">
        <f t="shared" si="28"/>
        <v>NM-Tax Services-ANN-1040 - Personal_Basic</v>
      </c>
      <c r="AL164" s="5" t="str">
        <f t="shared" si="29"/>
        <v>Crowso_2014_NM 1040 - Personal</v>
      </c>
      <c r="AM164" s="5" t="str">
        <f t="shared" si="30"/>
        <v>Crowso_2014_NM-Tax Services-ANN-1040 - Personal_Basic</v>
      </c>
    </row>
    <row r="165" spans="1:39" x14ac:dyDescent="0.25">
      <c r="A165" s="2" t="s">
        <v>507</v>
      </c>
      <c r="B165" s="2" t="s">
        <v>508</v>
      </c>
      <c r="C165" s="2" t="s">
        <v>1196</v>
      </c>
      <c r="D165" s="8">
        <v>43831</v>
      </c>
      <c r="E165" s="5" t="str">
        <f t="shared" si="31"/>
        <v>Cummings, Andrew C &amp; Jan N_01-01-20</v>
      </c>
      <c r="F165" s="2" t="s">
        <v>1203</v>
      </c>
      <c r="G165" s="2" t="s">
        <v>1241</v>
      </c>
      <c r="H165" s="2" t="s">
        <v>1220</v>
      </c>
      <c r="I165" s="2" t="s">
        <v>1221</v>
      </c>
      <c r="J165" s="2" t="s">
        <v>1234</v>
      </c>
      <c r="M165" s="5" t="str">
        <f t="shared" si="22"/>
        <v>Mid</v>
      </c>
      <c r="N165" s="5" t="str">
        <f t="shared" si="23"/>
        <v>Tax-Staff-Mid</v>
      </c>
      <c r="O165" s="5" t="str">
        <f t="shared" si="24"/>
        <v>Tax-Reviewer-Mid</v>
      </c>
      <c r="P165" s="5" t="str">
        <f t="shared" si="25"/>
        <v>Tax-Signer-Mid</v>
      </c>
      <c r="Q165" s="6">
        <v>2.7401969696969677</v>
      </c>
      <c r="R165" s="6">
        <v>0.5480393939393936</v>
      </c>
      <c r="S165" s="6">
        <v>0.2740196969696968</v>
      </c>
      <c r="T165" s="7">
        <f t="shared" si="32"/>
        <v>3.562256060606058</v>
      </c>
      <c r="U165" s="6" t="e">
        <f>SUMIFS([1]Sheet1!$L:$L,[1]Sheet1!$I:$I,AJ165,[1]Sheet1!$C:$C,A165)</f>
        <v>#VALUE!</v>
      </c>
      <c r="V165" s="6"/>
      <c r="W165" s="6"/>
      <c r="X165" s="7" t="e">
        <f t="shared" si="26"/>
        <v>#VALUE!</v>
      </c>
      <c r="Y165" s="6"/>
      <c r="AJ165" s="5" t="str">
        <f t="shared" si="27"/>
        <v>NM 1040 - Personal</v>
      </c>
      <c r="AK165" s="5" t="str">
        <f t="shared" si="28"/>
        <v>NM-Tax Services-ANN-1040 - Personal_Mid</v>
      </c>
      <c r="AL165" s="5" t="str">
        <f t="shared" si="29"/>
        <v>Cummin_3828_NM 1040 - Personal</v>
      </c>
      <c r="AM165" s="5" t="str">
        <f t="shared" si="30"/>
        <v>Cummin_3828_NM-Tax Services-ANN-1040 - Personal_Mid</v>
      </c>
    </row>
    <row r="166" spans="1:39" x14ac:dyDescent="0.25">
      <c r="A166" s="2" t="s">
        <v>1129</v>
      </c>
      <c r="B166" s="2" t="s">
        <v>1130</v>
      </c>
      <c r="C166" s="2" t="s">
        <v>1196</v>
      </c>
      <c r="D166" s="8">
        <v>43831</v>
      </c>
      <c r="E166" s="5" t="str">
        <f t="shared" si="31"/>
        <v>Cuong Nguyen_01-01-20</v>
      </c>
      <c r="F166" s="2" t="s">
        <v>1203</v>
      </c>
      <c r="G166" s="2" t="s">
        <v>1241</v>
      </c>
      <c r="H166" s="2" t="s">
        <v>1220</v>
      </c>
      <c r="I166" s="2" t="s">
        <v>1223</v>
      </c>
      <c r="J166" s="2" t="s">
        <v>1234</v>
      </c>
      <c r="M166" s="5" t="str">
        <f t="shared" si="22"/>
        <v>Basic</v>
      </c>
      <c r="N166" s="5" t="str">
        <f t="shared" si="23"/>
        <v>Tax-Staff-Basic</v>
      </c>
      <c r="O166" s="5" t="str">
        <f t="shared" si="24"/>
        <v>Tax-Reviewer-Basic</v>
      </c>
      <c r="P166" s="5" t="str">
        <f t="shared" si="25"/>
        <v>Tax-Signer-Basic</v>
      </c>
      <c r="Q166" s="6">
        <v>1.4675000000000016</v>
      </c>
      <c r="R166" s="6">
        <v>0.29350000000000032</v>
      </c>
      <c r="S166" s="6">
        <v>0.14675000000000016</v>
      </c>
      <c r="T166" s="7">
        <f t="shared" si="32"/>
        <v>1.9077500000000021</v>
      </c>
      <c r="U166" s="6" t="e">
        <f>SUMIFS([1]Sheet1!$L:$L,[1]Sheet1!$I:$I,AJ166,[1]Sheet1!$C:$C,A166)</f>
        <v>#VALUE!</v>
      </c>
      <c r="V166" s="6"/>
      <c r="W166" s="6"/>
      <c r="X166" s="7" t="e">
        <f t="shared" si="26"/>
        <v>#VALUE!</v>
      </c>
      <c r="Y166" s="6"/>
      <c r="AJ166" s="5" t="str">
        <f t="shared" si="27"/>
        <v>NM 1040 - Personal</v>
      </c>
      <c r="AK166" s="5" t="str">
        <f t="shared" si="28"/>
        <v>NM-Tax Services-ANN-1040 - Personal_Basic</v>
      </c>
      <c r="AL166" s="5" t="str">
        <f t="shared" si="29"/>
        <v>Cuong _1_NM 1040 - Personal</v>
      </c>
      <c r="AM166" s="5" t="str">
        <f t="shared" si="30"/>
        <v>Cuong _1_NM-Tax Services-ANN-1040 - Personal_Basic</v>
      </c>
    </row>
    <row r="167" spans="1:39" x14ac:dyDescent="0.25">
      <c r="A167" s="2" t="s">
        <v>247</v>
      </c>
      <c r="B167" s="2" t="s">
        <v>248</v>
      </c>
      <c r="C167" s="2" t="s">
        <v>1196</v>
      </c>
      <c r="D167" s="8">
        <v>43831</v>
      </c>
      <c r="E167" s="5" t="str">
        <f t="shared" si="31"/>
        <v>Dallas Parkway Medical Clinic_01-01-20</v>
      </c>
      <c r="F167" s="2" t="s">
        <v>1204</v>
      </c>
      <c r="G167" s="2" t="s">
        <v>1241</v>
      </c>
      <c r="H167" s="2" t="s">
        <v>1220</v>
      </c>
      <c r="I167" s="2" t="s">
        <v>1221</v>
      </c>
      <c r="J167" s="2" t="s">
        <v>1234</v>
      </c>
      <c r="M167" s="5" t="str">
        <f t="shared" si="22"/>
        <v>Mid</v>
      </c>
      <c r="N167" s="5" t="str">
        <f t="shared" si="23"/>
        <v>Tax-Staff-Mid</v>
      </c>
      <c r="O167" s="5" t="str">
        <f t="shared" si="24"/>
        <v>Tax-Reviewer-Mid</v>
      </c>
      <c r="P167" s="5" t="str">
        <f t="shared" si="25"/>
        <v>Tax-Signer-Mid</v>
      </c>
      <c r="Q167" s="6">
        <v>2.7401969696969677</v>
      </c>
      <c r="R167" s="6">
        <v>0.5480393939393936</v>
      </c>
      <c r="S167" s="6">
        <v>0.2740196969696968</v>
      </c>
      <c r="T167" s="7">
        <f t="shared" si="32"/>
        <v>3.562256060606058</v>
      </c>
      <c r="U167" s="6" t="e">
        <f>SUMIFS([1]Sheet1!$L:$L,[1]Sheet1!$I:$I,AJ167,[1]Sheet1!$C:$C,A167)</f>
        <v>#VALUE!</v>
      </c>
      <c r="V167" s="6"/>
      <c r="W167" s="6"/>
      <c r="X167" s="7" t="e">
        <f t="shared" si="26"/>
        <v>#VALUE!</v>
      </c>
      <c r="Y167" s="6"/>
      <c r="AJ167" s="5" t="str">
        <f t="shared" si="27"/>
        <v>NM 1120S - S Corporation</v>
      </c>
      <c r="AK167" s="5" t="str">
        <f t="shared" si="28"/>
        <v>NM-Tax Services-ANN-1120S - S Corporation_Mid</v>
      </c>
      <c r="AL167" s="5" t="str">
        <f t="shared" si="29"/>
        <v>Dallas P_1120S_20-5603642_NM 1120S - S Corporation</v>
      </c>
      <c r="AM167" s="5" t="str">
        <f t="shared" si="30"/>
        <v>Dallas P_1120S_20-5603642_NM-Tax Services-ANN-1120S - S Corporation_Mid</v>
      </c>
    </row>
    <row r="168" spans="1:39" x14ac:dyDescent="0.25">
      <c r="A168" s="2" t="s">
        <v>247</v>
      </c>
      <c r="B168" s="2" t="s">
        <v>248</v>
      </c>
      <c r="C168" s="2" t="s">
        <v>1197</v>
      </c>
      <c r="D168" s="8">
        <v>43831</v>
      </c>
      <c r="E168" s="5" t="str">
        <f t="shared" si="31"/>
        <v>Dallas Parkway Medical Clinic_01-01-20</v>
      </c>
      <c r="F168" s="2" t="s">
        <v>1200</v>
      </c>
      <c r="G168" s="2" t="s">
        <v>1241</v>
      </c>
      <c r="H168" s="2" t="s">
        <v>1220</v>
      </c>
      <c r="I168" s="2" t="s">
        <v>1223</v>
      </c>
      <c r="J168" s="2" t="s">
        <v>1234</v>
      </c>
      <c r="M168" s="5" t="str">
        <f t="shared" si="22"/>
        <v>Basic</v>
      </c>
      <c r="N168" s="5" t="str">
        <f t="shared" si="23"/>
        <v>Tax-Staff-Basic</v>
      </c>
      <c r="O168" s="5" t="str">
        <f t="shared" si="24"/>
        <v>Tax-Reviewer-Basic</v>
      </c>
      <c r="P168" s="5" t="str">
        <f t="shared" si="25"/>
        <v>Tax-Signer-Basic</v>
      </c>
      <c r="Q168" s="6">
        <v>0.5</v>
      </c>
      <c r="R168" s="6">
        <v>0.1</v>
      </c>
      <c r="S168" s="6">
        <v>0.05</v>
      </c>
      <c r="T168" s="7">
        <f t="shared" si="32"/>
        <v>0.65</v>
      </c>
      <c r="U168" s="6" t="e">
        <f>SUMIFS([1]Sheet1!$L:$L,[1]Sheet1!$I:$I,AJ168,[1]Sheet1!$C:$C,A168)</f>
        <v>#VALUE!</v>
      </c>
      <c r="V168" s="6"/>
      <c r="W168" s="6"/>
      <c r="X168" s="7" t="e">
        <f t="shared" si="26"/>
        <v>#VALUE!</v>
      </c>
      <c r="Y168" s="6"/>
      <c r="AJ168" s="5" t="str">
        <f t="shared" si="27"/>
        <v>MO Texas Franchise Tax Return</v>
      </c>
      <c r="AK168" s="5" t="str">
        <f t="shared" si="28"/>
        <v>MO-Tax Services-ANN-Texas Franchise Tax Return_Basic</v>
      </c>
      <c r="AL168" s="5" t="str">
        <f t="shared" si="29"/>
        <v>Dallas P_1120S_20-5603642_MO Texas Franchise Tax Return</v>
      </c>
      <c r="AM168" s="5" t="str">
        <f t="shared" si="30"/>
        <v>Dallas P_1120S_20-5603642_MO-Tax Services-ANN-Texas Franchise Tax Return_Basic</v>
      </c>
    </row>
    <row r="169" spans="1:39" x14ac:dyDescent="0.25">
      <c r="A169" s="2" t="s">
        <v>509</v>
      </c>
      <c r="B169" s="2" t="s">
        <v>510</v>
      </c>
      <c r="C169" s="2" t="s">
        <v>1196</v>
      </c>
      <c r="D169" s="8">
        <v>43831</v>
      </c>
      <c r="E169" s="5" t="str">
        <f t="shared" si="31"/>
        <v>Dandeboyina, Nagaraj_01-01-20</v>
      </c>
      <c r="F169" s="2" t="s">
        <v>1203</v>
      </c>
      <c r="G169" s="2" t="s">
        <v>1241</v>
      </c>
      <c r="H169" s="2" t="s">
        <v>1220</v>
      </c>
      <c r="I169" s="2" t="s">
        <v>1221</v>
      </c>
      <c r="J169" s="2" t="s">
        <v>1234</v>
      </c>
      <c r="M169" s="5" t="str">
        <f t="shared" si="22"/>
        <v>Mid</v>
      </c>
      <c r="N169" s="5" t="str">
        <f t="shared" si="23"/>
        <v>Tax-Staff-Mid</v>
      </c>
      <c r="O169" s="5" t="str">
        <f t="shared" si="24"/>
        <v>Tax-Reviewer-Mid</v>
      </c>
      <c r="P169" s="5" t="str">
        <f t="shared" si="25"/>
        <v>Tax-Signer-Mid</v>
      </c>
      <c r="Q169" s="6">
        <v>2.7401969696969677</v>
      </c>
      <c r="R169" s="6">
        <v>0.5480393939393936</v>
      </c>
      <c r="S169" s="6">
        <v>0.2740196969696968</v>
      </c>
      <c r="T169" s="7">
        <f t="shared" si="32"/>
        <v>3.562256060606058</v>
      </c>
      <c r="U169" s="6" t="e">
        <f>SUMIFS([1]Sheet1!$L:$L,[1]Sheet1!$I:$I,AJ169,[1]Sheet1!$C:$C,A169)</f>
        <v>#VALUE!</v>
      </c>
      <c r="V169" s="6"/>
      <c r="W169" s="6"/>
      <c r="X169" s="7" t="e">
        <f t="shared" si="26"/>
        <v>#VALUE!</v>
      </c>
      <c r="Y169" s="6"/>
      <c r="AJ169" s="5" t="str">
        <f t="shared" si="27"/>
        <v>NM 1040 - Personal</v>
      </c>
      <c r="AK169" s="5" t="str">
        <f t="shared" si="28"/>
        <v>NM-Tax Services-ANN-1040 - Personal_Mid</v>
      </c>
      <c r="AL169" s="5" t="str">
        <f t="shared" si="29"/>
        <v>Dandeb_8962_NM 1040 - Personal</v>
      </c>
      <c r="AM169" s="5" t="str">
        <f t="shared" si="30"/>
        <v>Dandeb_8962_NM-Tax Services-ANN-1040 - Personal_Mid</v>
      </c>
    </row>
    <row r="170" spans="1:39" x14ac:dyDescent="0.25">
      <c r="A170" s="2" t="s">
        <v>43</v>
      </c>
      <c r="B170" s="2" t="s">
        <v>44</v>
      </c>
      <c r="C170" s="2" t="s">
        <v>1197</v>
      </c>
      <c r="D170" s="8">
        <v>43831</v>
      </c>
      <c r="E170" s="5" t="str">
        <f t="shared" si="31"/>
        <v>Daniel K. Hagood PC_01-01-20</v>
      </c>
      <c r="F170" s="2" t="s">
        <v>1201</v>
      </c>
      <c r="G170" s="2" t="s">
        <v>1201</v>
      </c>
      <c r="H170" s="2" t="s">
        <v>1197</v>
      </c>
      <c r="I170" s="2" t="s">
        <v>1223</v>
      </c>
      <c r="J170" s="2" t="s">
        <v>1235</v>
      </c>
      <c r="M170" s="5" t="str">
        <f t="shared" si="22"/>
        <v>Basic</v>
      </c>
      <c r="N170" s="5" t="str">
        <f t="shared" si="23"/>
        <v>Accountant-Staff-Basic</v>
      </c>
      <c r="O170" s="5" t="str">
        <f t="shared" si="24"/>
        <v>Accountant-Reviewer-Basic</v>
      </c>
      <c r="P170" s="5" t="str">
        <f t="shared" si="25"/>
        <v>Accountant-Signer-Basic</v>
      </c>
      <c r="Q170" s="6">
        <v>1.47</v>
      </c>
      <c r="R170" s="6">
        <v>0.29399999999999998</v>
      </c>
      <c r="S170" s="6">
        <v>0.14699999999999999</v>
      </c>
      <c r="T170" s="7">
        <f t="shared" si="32"/>
        <v>1.911</v>
      </c>
      <c r="U170" s="6" t="e">
        <f>SUMIFS([1]Sheet1!$L:$L,[1]Sheet1!$I:$I,AJ170,[1]Sheet1!$C:$C,A170)</f>
        <v>#VALUE!</v>
      </c>
      <c r="V170" s="6"/>
      <c r="W170" s="6"/>
      <c r="X170" s="7" t="e">
        <f t="shared" si="26"/>
        <v>#VALUE!</v>
      </c>
      <c r="Y170" s="6"/>
      <c r="AJ170" s="5" t="str">
        <f t="shared" si="27"/>
        <v>MO Accounting Services</v>
      </c>
      <c r="AK170" s="5" t="str">
        <f t="shared" si="28"/>
        <v>MO-Accounting Services-MO-Accounting Services_Basic</v>
      </c>
      <c r="AL170" s="5" t="str">
        <f t="shared" si="29"/>
        <v>Daniel K_1120S_1_MO Accounting Services</v>
      </c>
      <c r="AM170" s="5" t="str">
        <f t="shared" si="30"/>
        <v>Daniel K_1120S_1_MO-Accounting Services-MO-Accounting Services_Basic</v>
      </c>
    </row>
    <row r="171" spans="1:39" x14ac:dyDescent="0.25">
      <c r="A171" s="2" t="s">
        <v>43</v>
      </c>
      <c r="B171" s="2" t="s">
        <v>44</v>
      </c>
      <c r="C171" s="2" t="s">
        <v>1197</v>
      </c>
      <c r="D171" s="8">
        <v>43831</v>
      </c>
      <c r="E171" s="5" t="str">
        <f t="shared" si="31"/>
        <v>Daniel K. Hagood PC_01-01-20</v>
      </c>
      <c r="F171" s="2" t="s">
        <v>1205</v>
      </c>
      <c r="G171" s="2" t="s">
        <v>1201</v>
      </c>
      <c r="H171" s="2" t="s">
        <v>1224</v>
      </c>
      <c r="I171" s="2" t="s">
        <v>1223</v>
      </c>
      <c r="J171" s="2" t="s">
        <v>1235</v>
      </c>
      <c r="M171" s="5" t="str">
        <f t="shared" si="22"/>
        <v>Basic</v>
      </c>
      <c r="N171" s="5" t="str">
        <f t="shared" si="23"/>
        <v>Accountant-Staff-Basic</v>
      </c>
      <c r="O171" s="5" t="str">
        <f t="shared" si="24"/>
        <v>Accountant-Reviewer-Basic</v>
      </c>
      <c r="P171" s="5" t="str">
        <f t="shared" si="25"/>
        <v>Accountant-Signer-Basic</v>
      </c>
      <c r="Q171" s="6">
        <v>0.5</v>
      </c>
      <c r="R171" s="6">
        <v>0.1</v>
      </c>
      <c r="S171" s="6">
        <v>0.05</v>
      </c>
      <c r="T171" s="7">
        <f t="shared" si="32"/>
        <v>0.65</v>
      </c>
      <c r="U171" s="6" t="e">
        <f>SUMIFS([1]Sheet1!$L:$L,[1]Sheet1!$I:$I,AJ171,[1]Sheet1!$C:$C,A171)</f>
        <v>#VALUE!</v>
      </c>
      <c r="V171" s="6"/>
      <c r="W171" s="6"/>
      <c r="X171" s="7" t="e">
        <f t="shared" si="26"/>
        <v>#VALUE!</v>
      </c>
      <c r="Y171" s="6"/>
      <c r="AJ171" s="5" t="str">
        <f t="shared" si="27"/>
        <v>MO Payroll Services</v>
      </c>
      <c r="AK171" s="5" t="str">
        <f t="shared" si="28"/>
        <v>MO-Accounting Services-QTR-Payroll Services_Basic</v>
      </c>
      <c r="AL171" s="5" t="str">
        <f t="shared" si="29"/>
        <v>Daniel K_1120S_1_MO Payroll Services</v>
      </c>
      <c r="AM171" s="5" t="str">
        <f t="shared" si="30"/>
        <v>Daniel K_1120S_1_MO-Accounting Services-QTR-Payroll Services_Basic</v>
      </c>
    </row>
    <row r="172" spans="1:39" x14ac:dyDescent="0.25">
      <c r="A172" s="2" t="s">
        <v>249</v>
      </c>
      <c r="B172" s="2" t="s">
        <v>250</v>
      </c>
      <c r="C172" s="2" t="s">
        <v>1196</v>
      </c>
      <c r="D172" s="8">
        <v>43831</v>
      </c>
      <c r="E172" s="5" t="str">
        <f t="shared" si="31"/>
        <v>Daphne Fatter, Ph.D., PLLC_01-01-20</v>
      </c>
      <c r="F172" s="2" t="s">
        <v>1204</v>
      </c>
      <c r="G172" s="2" t="s">
        <v>1241</v>
      </c>
      <c r="H172" s="2" t="s">
        <v>1220</v>
      </c>
      <c r="I172" s="2" t="s">
        <v>1223</v>
      </c>
      <c r="J172" s="2" t="s">
        <v>1234</v>
      </c>
      <c r="M172" s="5" t="str">
        <f t="shared" si="22"/>
        <v>Basic</v>
      </c>
      <c r="N172" s="5" t="str">
        <f t="shared" si="23"/>
        <v>Tax-Staff-Basic</v>
      </c>
      <c r="O172" s="5" t="str">
        <f t="shared" si="24"/>
        <v>Tax-Reviewer-Basic</v>
      </c>
      <c r="P172" s="5" t="str">
        <f t="shared" si="25"/>
        <v>Tax-Signer-Basic</v>
      </c>
      <c r="Q172" s="6">
        <v>1.4675000000000016</v>
      </c>
      <c r="R172" s="6">
        <v>0.29350000000000032</v>
      </c>
      <c r="S172" s="6">
        <v>0.14675000000000016</v>
      </c>
      <c r="T172" s="7">
        <f t="shared" si="32"/>
        <v>1.9077500000000021</v>
      </c>
      <c r="U172" s="6" t="e">
        <f>SUMIFS([1]Sheet1!$L:$L,[1]Sheet1!$I:$I,AJ172,[1]Sheet1!$C:$C,A172)</f>
        <v>#VALUE!</v>
      </c>
      <c r="V172" s="6"/>
      <c r="W172" s="6"/>
      <c r="X172" s="7" t="e">
        <f t="shared" si="26"/>
        <v>#VALUE!</v>
      </c>
      <c r="Y172" s="6"/>
      <c r="AJ172" s="5" t="str">
        <f t="shared" si="27"/>
        <v>NM 1120S - S Corporation</v>
      </c>
      <c r="AK172" s="5" t="str">
        <f t="shared" si="28"/>
        <v>NM-Tax Services-ANN-1120S - S Corporation_Basic</v>
      </c>
      <c r="AL172" s="5" t="str">
        <f t="shared" si="29"/>
        <v>Daphne F_1120S_47-4941458_NM 1120S - S Corporation</v>
      </c>
      <c r="AM172" s="5" t="str">
        <f t="shared" si="30"/>
        <v>Daphne F_1120S_47-4941458_NM-Tax Services-ANN-1120S - S Corporation_Basic</v>
      </c>
    </row>
    <row r="173" spans="1:39" x14ac:dyDescent="0.25">
      <c r="A173" s="2" t="s">
        <v>978</v>
      </c>
      <c r="B173" s="2" t="s">
        <v>979</v>
      </c>
      <c r="C173" s="2" t="s">
        <v>1196</v>
      </c>
      <c r="D173" s="8">
        <v>43831</v>
      </c>
      <c r="E173" s="5" t="str">
        <f t="shared" si="31"/>
        <v>Daphne Fatter_01-01-20</v>
      </c>
      <c r="F173" s="2" t="s">
        <v>1203</v>
      </c>
      <c r="G173" s="2" t="s">
        <v>1241</v>
      </c>
      <c r="H173" s="2" t="s">
        <v>1220</v>
      </c>
      <c r="I173" s="2" t="s">
        <v>1223</v>
      </c>
      <c r="J173" s="2" t="s">
        <v>1234</v>
      </c>
      <c r="M173" s="5" t="str">
        <f t="shared" si="22"/>
        <v>Basic</v>
      </c>
      <c r="N173" s="5" t="str">
        <f t="shared" si="23"/>
        <v>Tax-Staff-Basic</v>
      </c>
      <c r="O173" s="5" t="str">
        <f t="shared" si="24"/>
        <v>Tax-Reviewer-Basic</v>
      </c>
      <c r="P173" s="5" t="str">
        <f t="shared" si="25"/>
        <v>Tax-Signer-Basic</v>
      </c>
      <c r="Q173" s="6">
        <v>1.4675000000000016</v>
      </c>
      <c r="R173" s="6">
        <v>0.29350000000000032</v>
      </c>
      <c r="S173" s="6">
        <v>0.14675000000000016</v>
      </c>
      <c r="T173" s="7">
        <f t="shared" si="32"/>
        <v>1.9077500000000021</v>
      </c>
      <c r="U173" s="6" t="e">
        <f>SUMIFS([1]Sheet1!$L:$L,[1]Sheet1!$I:$I,AJ173,[1]Sheet1!$C:$C,A173)</f>
        <v>#VALUE!</v>
      </c>
      <c r="V173" s="6"/>
      <c r="W173" s="6"/>
      <c r="X173" s="7" t="e">
        <f t="shared" si="26"/>
        <v>#VALUE!</v>
      </c>
      <c r="Y173" s="6"/>
      <c r="AJ173" s="5" t="str">
        <f t="shared" si="27"/>
        <v>NM 1040 - Personal</v>
      </c>
      <c r="AK173" s="5" t="str">
        <f t="shared" si="28"/>
        <v>NM-Tax Services-ANN-1040 - Personal_Basic</v>
      </c>
      <c r="AL173" s="5" t="str">
        <f t="shared" si="29"/>
        <v>Daphne_2763_NM 1040 - Personal</v>
      </c>
      <c r="AM173" s="5" t="str">
        <f t="shared" si="30"/>
        <v>Daphne_2763_NM-Tax Services-ANN-1040 - Personal_Basic</v>
      </c>
    </row>
    <row r="174" spans="1:39" x14ac:dyDescent="0.25">
      <c r="A174" s="2" t="s">
        <v>1028</v>
      </c>
      <c r="B174" s="2" t="s">
        <v>1029</v>
      </c>
      <c r="C174" s="2" t="s">
        <v>1196</v>
      </c>
      <c r="D174" s="8">
        <v>43831</v>
      </c>
      <c r="E174" s="5" t="str">
        <f t="shared" si="31"/>
        <v>Darocy, Judy A_01-01-20</v>
      </c>
      <c r="F174" s="2" t="s">
        <v>1212</v>
      </c>
      <c r="G174" s="2" t="e">
        <v>#N/A</v>
      </c>
      <c r="H174" s="2" t="s">
        <v>1198</v>
      </c>
      <c r="I174" s="2" t="s">
        <v>1198</v>
      </c>
      <c r="J174" s="2" t="e">
        <v>#N/A</v>
      </c>
      <c r="M174" s="5" t="str">
        <f t="shared" si="22"/>
        <v/>
      </c>
      <c r="N174" s="5" t="e">
        <f t="shared" si="23"/>
        <v>#N/A</v>
      </c>
      <c r="O174" s="5" t="e">
        <f t="shared" si="24"/>
        <v>#N/A</v>
      </c>
      <c r="P174" s="5" t="e">
        <f t="shared" si="25"/>
        <v>#N/A</v>
      </c>
      <c r="Q174" s="6" t="e">
        <v>#N/A</v>
      </c>
      <c r="R174" s="6" t="e">
        <v>#N/A</v>
      </c>
      <c r="S174" s="6" t="e">
        <v>#N/A</v>
      </c>
      <c r="T174" s="7" t="e">
        <f t="shared" si="32"/>
        <v>#N/A</v>
      </c>
      <c r="U174" s="6" t="e">
        <f>SUMIFS([1]Sheet1!$L:$L,[1]Sheet1!$I:$I,AJ174,[1]Sheet1!$C:$C,A174)</f>
        <v>#VALUE!</v>
      </c>
      <c r="V174" s="6"/>
      <c r="W174" s="6"/>
      <c r="X174" s="7" t="e">
        <f t="shared" si="26"/>
        <v>#VALUE!</v>
      </c>
      <c r="Y174" s="6"/>
      <c r="AJ174" s="5" t="str">
        <f t="shared" si="27"/>
        <v>NM A</v>
      </c>
      <c r="AK174" s="5" t="e">
        <f t="shared" si="28"/>
        <v>#N/A</v>
      </c>
      <c r="AL174" s="5" t="str">
        <f t="shared" si="29"/>
        <v>Darocy_3082_NM A</v>
      </c>
      <c r="AM174" s="5" t="e">
        <f t="shared" si="30"/>
        <v>#N/A</v>
      </c>
    </row>
    <row r="175" spans="1:39" x14ac:dyDescent="0.25">
      <c r="A175" s="2" t="s">
        <v>511</v>
      </c>
      <c r="B175" s="2" t="s">
        <v>512</v>
      </c>
      <c r="C175" s="2" t="s">
        <v>1196</v>
      </c>
      <c r="D175" s="8">
        <v>43831</v>
      </c>
      <c r="E175" s="5" t="str">
        <f t="shared" si="31"/>
        <v>Darton, Eddie_01-01-20</v>
      </c>
      <c r="F175" s="2" t="s">
        <v>1203</v>
      </c>
      <c r="G175" s="2" t="s">
        <v>1241</v>
      </c>
      <c r="H175" s="2" t="s">
        <v>1220</v>
      </c>
      <c r="I175" s="2" t="s">
        <v>1221</v>
      </c>
      <c r="J175" s="2" t="s">
        <v>1234</v>
      </c>
      <c r="M175" s="5" t="str">
        <f t="shared" si="22"/>
        <v>Mid</v>
      </c>
      <c r="N175" s="5" t="str">
        <f t="shared" si="23"/>
        <v>Tax-Staff-Mid</v>
      </c>
      <c r="O175" s="5" t="str">
        <f t="shared" si="24"/>
        <v>Tax-Reviewer-Mid</v>
      </c>
      <c r="P175" s="5" t="str">
        <f t="shared" si="25"/>
        <v>Tax-Signer-Mid</v>
      </c>
      <c r="Q175" s="6">
        <v>2.7401969696969677</v>
      </c>
      <c r="R175" s="6">
        <v>0.5480393939393936</v>
      </c>
      <c r="S175" s="6">
        <v>0.2740196969696968</v>
      </c>
      <c r="T175" s="7">
        <f t="shared" si="32"/>
        <v>3.562256060606058</v>
      </c>
      <c r="U175" s="6" t="e">
        <f>SUMIFS([1]Sheet1!$L:$L,[1]Sheet1!$I:$I,AJ175,[1]Sheet1!$C:$C,A175)</f>
        <v>#VALUE!</v>
      </c>
      <c r="V175" s="6"/>
      <c r="W175" s="6"/>
      <c r="X175" s="7" t="e">
        <f t="shared" si="26"/>
        <v>#VALUE!</v>
      </c>
      <c r="Y175" s="6"/>
      <c r="AJ175" s="5" t="str">
        <f t="shared" si="27"/>
        <v>NM 1040 - Personal</v>
      </c>
      <c r="AK175" s="5" t="str">
        <f t="shared" si="28"/>
        <v>NM-Tax Services-ANN-1040 - Personal_Mid</v>
      </c>
      <c r="AL175" s="5" t="str">
        <f t="shared" si="29"/>
        <v>Darton_9027_NM 1040 - Personal</v>
      </c>
      <c r="AM175" s="5" t="str">
        <f t="shared" si="30"/>
        <v>Darton_9027_NM-Tax Services-ANN-1040 - Personal_Mid</v>
      </c>
    </row>
    <row r="176" spans="1:39" x14ac:dyDescent="0.25">
      <c r="A176" s="2" t="s">
        <v>515</v>
      </c>
      <c r="B176" s="2" t="s">
        <v>516</v>
      </c>
      <c r="C176" s="2" t="s">
        <v>1196</v>
      </c>
      <c r="D176" s="8">
        <v>43831</v>
      </c>
      <c r="E176" s="5" t="str">
        <f t="shared" si="31"/>
        <v>Davies, Holli_01-01-20</v>
      </c>
      <c r="F176" s="2" t="s">
        <v>1203</v>
      </c>
      <c r="G176" s="2" t="s">
        <v>1241</v>
      </c>
      <c r="H176" s="2" t="s">
        <v>1220</v>
      </c>
      <c r="I176" s="2" t="s">
        <v>1223</v>
      </c>
      <c r="J176" s="2" t="s">
        <v>1234</v>
      </c>
      <c r="M176" s="5" t="str">
        <f t="shared" si="22"/>
        <v>Basic</v>
      </c>
      <c r="N176" s="5" t="str">
        <f t="shared" si="23"/>
        <v>Tax-Staff-Basic</v>
      </c>
      <c r="O176" s="5" t="str">
        <f t="shared" si="24"/>
        <v>Tax-Reviewer-Basic</v>
      </c>
      <c r="P176" s="5" t="str">
        <f t="shared" si="25"/>
        <v>Tax-Signer-Basic</v>
      </c>
      <c r="Q176" s="6">
        <v>1.4675000000000016</v>
      </c>
      <c r="R176" s="6">
        <v>0.29350000000000032</v>
      </c>
      <c r="S176" s="6">
        <v>0.14675000000000016</v>
      </c>
      <c r="T176" s="7">
        <f t="shared" si="32"/>
        <v>1.9077500000000021</v>
      </c>
      <c r="U176" s="6" t="e">
        <f>SUMIFS([1]Sheet1!$L:$L,[1]Sheet1!$I:$I,AJ176,[1]Sheet1!$C:$C,A176)</f>
        <v>#VALUE!</v>
      </c>
      <c r="V176" s="6"/>
      <c r="W176" s="6"/>
      <c r="X176" s="7" t="e">
        <f t="shared" si="26"/>
        <v>#VALUE!</v>
      </c>
      <c r="Y176" s="6"/>
      <c r="AJ176" s="5" t="str">
        <f t="shared" si="27"/>
        <v>NM 1040 - Personal</v>
      </c>
      <c r="AK176" s="5" t="str">
        <f t="shared" si="28"/>
        <v>NM-Tax Services-ANN-1040 - Personal_Basic</v>
      </c>
      <c r="AL176" s="5" t="str">
        <f t="shared" si="29"/>
        <v>Davies_5359_NM 1040 - Personal</v>
      </c>
      <c r="AM176" s="5" t="str">
        <f t="shared" si="30"/>
        <v>Davies_5359_NM-Tax Services-ANN-1040 - Personal_Basic</v>
      </c>
    </row>
    <row r="177" spans="1:39" x14ac:dyDescent="0.25">
      <c r="A177" s="2" t="s">
        <v>513</v>
      </c>
      <c r="B177" s="2" t="s">
        <v>514</v>
      </c>
      <c r="C177" s="2" t="s">
        <v>1196</v>
      </c>
      <c r="D177" s="8">
        <v>43831</v>
      </c>
      <c r="E177" s="5" t="str">
        <f t="shared" si="31"/>
        <v>Davis, Bryan_01-01-20</v>
      </c>
      <c r="F177" s="2" t="s">
        <v>1203</v>
      </c>
      <c r="G177" s="2" t="s">
        <v>1241</v>
      </c>
      <c r="H177" s="2" t="s">
        <v>1220</v>
      </c>
      <c r="I177" s="2" t="s">
        <v>1223</v>
      </c>
      <c r="J177" s="2" t="s">
        <v>1234</v>
      </c>
      <c r="M177" s="5" t="str">
        <f t="shared" si="22"/>
        <v>Basic</v>
      </c>
      <c r="N177" s="5" t="str">
        <f t="shared" si="23"/>
        <v>Tax-Staff-Basic</v>
      </c>
      <c r="O177" s="5" t="str">
        <f t="shared" si="24"/>
        <v>Tax-Reviewer-Basic</v>
      </c>
      <c r="P177" s="5" t="str">
        <f t="shared" si="25"/>
        <v>Tax-Signer-Basic</v>
      </c>
      <c r="Q177" s="6">
        <v>1.4675000000000016</v>
      </c>
      <c r="R177" s="6">
        <v>0.29350000000000032</v>
      </c>
      <c r="S177" s="6">
        <v>0.14675000000000016</v>
      </c>
      <c r="T177" s="7">
        <f t="shared" si="32"/>
        <v>1.9077500000000021</v>
      </c>
      <c r="U177" s="6" t="e">
        <f>SUMIFS([1]Sheet1!$L:$L,[1]Sheet1!$I:$I,AJ177,[1]Sheet1!$C:$C,A177)</f>
        <v>#VALUE!</v>
      </c>
      <c r="V177" s="6"/>
      <c r="W177" s="6"/>
      <c r="X177" s="7" t="e">
        <f t="shared" si="26"/>
        <v>#VALUE!</v>
      </c>
      <c r="Y177" s="6"/>
      <c r="AJ177" s="5" t="str">
        <f t="shared" si="27"/>
        <v>NM 1040 - Personal</v>
      </c>
      <c r="AK177" s="5" t="str">
        <f t="shared" si="28"/>
        <v>NM-Tax Services-ANN-1040 - Personal_Basic</v>
      </c>
      <c r="AL177" s="5" t="str">
        <f t="shared" si="29"/>
        <v>Davis,_5991_NM 1040 - Personal</v>
      </c>
      <c r="AM177" s="5" t="str">
        <f t="shared" si="30"/>
        <v>Davis,_5991_NM-Tax Services-ANN-1040 - Personal_Basic</v>
      </c>
    </row>
    <row r="178" spans="1:39" x14ac:dyDescent="0.25">
      <c r="A178" s="2" t="s">
        <v>1173</v>
      </c>
      <c r="B178" s="2" t="s">
        <v>1174</v>
      </c>
      <c r="C178" s="2" t="s">
        <v>1197</v>
      </c>
      <c r="D178" s="8">
        <v>43831</v>
      </c>
      <c r="E178" s="5" t="str">
        <f t="shared" si="31"/>
        <v>Davis, Nicolas D. &amp; Connie M._01-01-20</v>
      </c>
      <c r="F178" s="2" t="s">
        <v>1203</v>
      </c>
      <c r="G178" s="2" t="s">
        <v>1241</v>
      </c>
      <c r="H178" s="2" t="s">
        <v>1220</v>
      </c>
      <c r="I178" s="2" t="s">
        <v>1221</v>
      </c>
      <c r="J178" s="2" t="s">
        <v>1234</v>
      </c>
      <c r="M178" s="5" t="str">
        <f t="shared" si="22"/>
        <v>Mid</v>
      </c>
      <c r="N178" s="5" t="str">
        <f t="shared" si="23"/>
        <v>Tax-Staff-Mid</v>
      </c>
      <c r="O178" s="5" t="str">
        <f t="shared" si="24"/>
        <v>Tax-Reviewer-Mid</v>
      </c>
      <c r="P178" s="5" t="str">
        <f t="shared" si="25"/>
        <v>Tax-Signer-Mid</v>
      </c>
      <c r="Q178" s="6">
        <v>2.7401969696969677</v>
      </c>
      <c r="R178" s="6">
        <v>0.5480393939393936</v>
      </c>
      <c r="S178" s="6">
        <v>0.2740196969696968</v>
      </c>
      <c r="T178" s="7">
        <f t="shared" si="32"/>
        <v>3.562256060606058</v>
      </c>
      <c r="U178" s="6" t="e">
        <f>SUMIFS([1]Sheet1!$L:$L,[1]Sheet1!$I:$I,AJ178,[1]Sheet1!$C:$C,A178)</f>
        <v>#VALUE!</v>
      </c>
      <c r="V178" s="6"/>
      <c r="W178" s="6"/>
      <c r="X178" s="7" t="e">
        <f t="shared" si="26"/>
        <v>#VALUE!</v>
      </c>
      <c r="Y178" s="6"/>
      <c r="AJ178" s="5" t="str">
        <f t="shared" si="27"/>
        <v>MO 1040 - Personal</v>
      </c>
      <c r="AK178" s="5" t="str">
        <f t="shared" si="28"/>
        <v>MO-Tax Services-ANN-1040 - Personal_Mid</v>
      </c>
      <c r="AL178" s="5" t="str">
        <f t="shared" si="29"/>
        <v>Davis,_6870_MO 1040 - Personal</v>
      </c>
      <c r="AM178" s="5" t="str">
        <f t="shared" si="30"/>
        <v>Davis,_6870_MO-Tax Services-ANN-1040 - Personal_Mid</v>
      </c>
    </row>
    <row r="179" spans="1:39" x14ac:dyDescent="0.25">
      <c r="A179" s="2" t="s">
        <v>517</v>
      </c>
      <c r="B179" s="2" t="s">
        <v>518</v>
      </c>
      <c r="C179" s="2" t="s">
        <v>1196</v>
      </c>
      <c r="D179" s="8">
        <v>43831</v>
      </c>
      <c r="E179" s="5" t="str">
        <f t="shared" si="31"/>
        <v>Day, Kevin_01-01-20</v>
      </c>
      <c r="F179" s="2" t="s">
        <v>1203</v>
      </c>
      <c r="G179" s="2" t="s">
        <v>1241</v>
      </c>
      <c r="H179" s="2" t="s">
        <v>1220</v>
      </c>
      <c r="I179" s="2" t="s">
        <v>1221</v>
      </c>
      <c r="J179" s="2" t="s">
        <v>1234</v>
      </c>
      <c r="M179" s="5" t="str">
        <f t="shared" si="22"/>
        <v>Mid</v>
      </c>
      <c r="N179" s="5" t="str">
        <f t="shared" si="23"/>
        <v>Tax-Staff-Mid</v>
      </c>
      <c r="O179" s="5" t="str">
        <f t="shared" si="24"/>
        <v>Tax-Reviewer-Mid</v>
      </c>
      <c r="P179" s="5" t="str">
        <f t="shared" si="25"/>
        <v>Tax-Signer-Mid</v>
      </c>
      <c r="Q179" s="6">
        <v>2.7401969696969677</v>
      </c>
      <c r="R179" s="6">
        <v>0.5480393939393936</v>
      </c>
      <c r="S179" s="6">
        <v>0.2740196969696968</v>
      </c>
      <c r="T179" s="7">
        <f t="shared" si="32"/>
        <v>3.562256060606058</v>
      </c>
      <c r="U179" s="6" t="e">
        <f>SUMIFS([1]Sheet1!$L:$L,[1]Sheet1!$I:$I,AJ179,[1]Sheet1!$C:$C,A179)</f>
        <v>#VALUE!</v>
      </c>
      <c r="V179" s="6"/>
      <c r="W179" s="6"/>
      <c r="X179" s="7" t="e">
        <f t="shared" si="26"/>
        <v>#VALUE!</v>
      </c>
      <c r="Y179" s="6"/>
      <c r="AJ179" s="5" t="str">
        <f t="shared" si="27"/>
        <v>NM 1040 - Personal</v>
      </c>
      <c r="AK179" s="5" t="str">
        <f t="shared" si="28"/>
        <v>NM-Tax Services-ANN-1040 - Personal_Mid</v>
      </c>
      <c r="AL179" s="5" t="str">
        <f t="shared" si="29"/>
        <v>Day, K_4946_NM 1040 - Personal</v>
      </c>
      <c r="AM179" s="5" t="str">
        <f t="shared" si="30"/>
        <v>Day, K_4946_NM-Tax Services-ANN-1040 - Personal_Mid</v>
      </c>
    </row>
    <row r="180" spans="1:39" x14ac:dyDescent="0.25">
      <c r="A180" s="2" t="s">
        <v>355</v>
      </c>
      <c r="B180" s="2" t="s">
        <v>356</v>
      </c>
      <c r="C180" s="2" t="s">
        <v>1196</v>
      </c>
      <c r="D180" s="8">
        <v>43831</v>
      </c>
      <c r="E180" s="5" t="str">
        <f t="shared" si="31"/>
        <v>Dayco Holdings, LP_01-01-20</v>
      </c>
      <c r="F180" s="2" t="s">
        <v>1199</v>
      </c>
      <c r="G180" s="2" t="s">
        <v>1241</v>
      </c>
      <c r="H180" s="2" t="s">
        <v>1220</v>
      </c>
      <c r="I180" s="2" t="s">
        <v>1221</v>
      </c>
      <c r="J180" s="2" t="s">
        <v>1234</v>
      </c>
      <c r="M180" s="5" t="str">
        <f t="shared" si="22"/>
        <v>Mid</v>
      </c>
      <c r="N180" s="5" t="str">
        <f t="shared" si="23"/>
        <v>Tax-Staff-Mid</v>
      </c>
      <c r="O180" s="5" t="str">
        <f t="shared" si="24"/>
        <v>Tax-Reviewer-Mid</v>
      </c>
      <c r="P180" s="5" t="str">
        <f t="shared" si="25"/>
        <v>Tax-Signer-Mid</v>
      </c>
      <c r="Q180" s="6">
        <v>2.7401969696969677</v>
      </c>
      <c r="R180" s="6">
        <v>0.5480393939393936</v>
      </c>
      <c r="S180" s="6">
        <v>0.2740196969696968</v>
      </c>
      <c r="T180" s="7">
        <f t="shared" si="32"/>
        <v>3.562256060606058</v>
      </c>
      <c r="U180" s="6" t="e">
        <f>SUMIFS([1]Sheet1!$L:$L,[1]Sheet1!$I:$I,AJ180,[1]Sheet1!$C:$C,A180)</f>
        <v>#VALUE!</v>
      </c>
      <c r="V180" s="6"/>
      <c r="W180" s="6"/>
      <c r="X180" s="7" t="e">
        <f t="shared" si="26"/>
        <v>#VALUE!</v>
      </c>
      <c r="Y180" s="6"/>
      <c r="AJ180" s="5" t="str">
        <f t="shared" si="27"/>
        <v>NM 1065 - Partnership</v>
      </c>
      <c r="AK180" s="5" t="str">
        <f t="shared" si="28"/>
        <v>NM-Tax Services-ANN-1065 - Partnership_Mid</v>
      </c>
      <c r="AL180" s="5" t="str">
        <f t="shared" si="29"/>
        <v>Dayco Ho_1065_45-2553595_NM 1065 - Partnership</v>
      </c>
      <c r="AM180" s="5" t="str">
        <f t="shared" si="30"/>
        <v>Dayco Ho_1065_45-2553595_NM-Tax Services-ANN-1065 - Partnership_Mid</v>
      </c>
    </row>
    <row r="181" spans="1:39" x14ac:dyDescent="0.25">
      <c r="A181" s="2" t="s">
        <v>45</v>
      </c>
      <c r="B181" s="2" t="s">
        <v>46</v>
      </c>
      <c r="C181" s="2" t="s">
        <v>1197</v>
      </c>
      <c r="D181" s="8">
        <v>43831</v>
      </c>
      <c r="E181" s="5" t="str">
        <f t="shared" si="31"/>
        <v>DB Pro Solutions, Inc._01-01-20</v>
      </c>
      <c r="F181" s="2" t="s">
        <v>1204</v>
      </c>
      <c r="G181" s="2" t="s">
        <v>1241</v>
      </c>
      <c r="H181" s="2" t="s">
        <v>1220</v>
      </c>
      <c r="I181" s="2" t="s">
        <v>1221</v>
      </c>
      <c r="J181" s="2" t="s">
        <v>1234</v>
      </c>
      <c r="M181" s="5" t="str">
        <f t="shared" si="22"/>
        <v>Mid</v>
      </c>
      <c r="N181" s="5" t="str">
        <f t="shared" si="23"/>
        <v>Tax-Staff-Mid</v>
      </c>
      <c r="O181" s="5" t="str">
        <f t="shared" si="24"/>
        <v>Tax-Reviewer-Mid</v>
      </c>
      <c r="P181" s="5" t="str">
        <f t="shared" si="25"/>
        <v>Tax-Signer-Mid</v>
      </c>
      <c r="Q181" s="6">
        <v>2.7401969696969677</v>
      </c>
      <c r="R181" s="6">
        <v>0.5480393939393936</v>
      </c>
      <c r="S181" s="6">
        <v>0.2740196969696968</v>
      </c>
      <c r="T181" s="7">
        <f t="shared" si="32"/>
        <v>3.562256060606058</v>
      </c>
      <c r="U181" s="6" t="e">
        <f>SUMIFS([1]Sheet1!$L:$L,[1]Sheet1!$I:$I,AJ181,[1]Sheet1!$C:$C,A181)</f>
        <v>#VALUE!</v>
      </c>
      <c r="V181" s="6"/>
      <c r="W181" s="6"/>
      <c r="X181" s="7" t="e">
        <f t="shared" si="26"/>
        <v>#VALUE!</v>
      </c>
      <c r="Y181" s="6"/>
      <c r="AJ181" s="5" t="str">
        <f t="shared" si="27"/>
        <v>MO 1120S - S Corporation</v>
      </c>
      <c r="AK181" s="5" t="str">
        <f t="shared" si="28"/>
        <v>MO-Tax Services-ANN-1120S - S Corporation_Mid</v>
      </c>
      <c r="AL181" s="5" t="str">
        <f t="shared" si="29"/>
        <v>DB Pro S_1120S_20-5620183_MO 1120S - S Corporation</v>
      </c>
      <c r="AM181" s="5" t="str">
        <f t="shared" si="30"/>
        <v>DB Pro S_1120S_20-5620183_MO-Tax Services-ANN-1120S - S Corporation_Mid</v>
      </c>
    </row>
    <row r="182" spans="1:39" x14ac:dyDescent="0.25">
      <c r="A182" s="2" t="s">
        <v>45</v>
      </c>
      <c r="B182" s="2" t="s">
        <v>46</v>
      </c>
      <c r="C182" s="2" t="s">
        <v>1197</v>
      </c>
      <c r="D182" s="8">
        <v>43831</v>
      </c>
      <c r="E182" s="5" t="str">
        <f t="shared" si="31"/>
        <v>DB Pro Solutions, Inc._01-01-20</v>
      </c>
      <c r="F182" s="2" t="s">
        <v>1201</v>
      </c>
      <c r="G182" s="2" t="s">
        <v>1201</v>
      </c>
      <c r="H182" s="2" t="s">
        <v>1197</v>
      </c>
      <c r="I182" s="2" t="s">
        <v>1223</v>
      </c>
      <c r="J182" s="2" t="s">
        <v>1235</v>
      </c>
      <c r="M182" s="5" t="str">
        <f t="shared" si="22"/>
        <v>Basic</v>
      </c>
      <c r="N182" s="5" t="str">
        <f t="shared" si="23"/>
        <v>Accountant-Staff-Basic</v>
      </c>
      <c r="O182" s="5" t="str">
        <f t="shared" si="24"/>
        <v>Accountant-Reviewer-Basic</v>
      </c>
      <c r="P182" s="5" t="str">
        <f t="shared" si="25"/>
        <v>Accountant-Signer-Basic</v>
      </c>
      <c r="Q182" s="6">
        <v>1.47</v>
      </c>
      <c r="R182" s="6">
        <v>0.29399999999999998</v>
      </c>
      <c r="S182" s="6">
        <v>0.14699999999999999</v>
      </c>
      <c r="T182" s="7">
        <f t="shared" si="32"/>
        <v>1.911</v>
      </c>
      <c r="U182" s="6" t="e">
        <f>SUMIFS([1]Sheet1!$L:$L,[1]Sheet1!$I:$I,AJ182,[1]Sheet1!$C:$C,A182)</f>
        <v>#VALUE!</v>
      </c>
      <c r="V182" s="6"/>
      <c r="W182" s="6"/>
      <c r="X182" s="7" t="e">
        <f t="shared" si="26"/>
        <v>#VALUE!</v>
      </c>
      <c r="Y182" s="6"/>
      <c r="AJ182" s="5" t="str">
        <f t="shared" si="27"/>
        <v>MO Accounting Services</v>
      </c>
      <c r="AK182" s="5" t="str">
        <f t="shared" si="28"/>
        <v>MO-Accounting Services-MO-Accounting Services_Basic</v>
      </c>
      <c r="AL182" s="5" t="str">
        <f t="shared" si="29"/>
        <v>DB Pro S_1120S_20-5620183_MO Accounting Services</v>
      </c>
      <c r="AM182" s="5" t="str">
        <f t="shared" si="30"/>
        <v>DB Pro S_1120S_20-5620183_MO-Accounting Services-MO-Accounting Services_Basic</v>
      </c>
    </row>
    <row r="183" spans="1:39" x14ac:dyDescent="0.25">
      <c r="A183" s="2" t="s">
        <v>45</v>
      </c>
      <c r="B183" s="2" t="s">
        <v>46</v>
      </c>
      <c r="C183" s="2" t="s">
        <v>1197</v>
      </c>
      <c r="D183" s="8">
        <v>43831</v>
      </c>
      <c r="E183" s="5" t="str">
        <f t="shared" si="31"/>
        <v>DB Pro Solutions, Inc._01-01-20</v>
      </c>
      <c r="F183" s="2" t="s">
        <v>1200</v>
      </c>
      <c r="G183" s="2" t="s">
        <v>1241</v>
      </c>
      <c r="H183" s="2" t="s">
        <v>1220</v>
      </c>
      <c r="I183" s="2" t="s">
        <v>1223</v>
      </c>
      <c r="J183" s="2" t="s">
        <v>1234</v>
      </c>
      <c r="M183" s="5" t="str">
        <f t="shared" si="22"/>
        <v>Basic</v>
      </c>
      <c r="N183" s="5" t="str">
        <f t="shared" si="23"/>
        <v>Tax-Staff-Basic</v>
      </c>
      <c r="O183" s="5" t="str">
        <f t="shared" si="24"/>
        <v>Tax-Reviewer-Basic</v>
      </c>
      <c r="P183" s="5" t="str">
        <f t="shared" si="25"/>
        <v>Tax-Signer-Basic</v>
      </c>
      <c r="Q183" s="6">
        <v>0.5</v>
      </c>
      <c r="R183" s="6">
        <v>0.1</v>
      </c>
      <c r="S183" s="6">
        <v>0.05</v>
      </c>
      <c r="T183" s="7">
        <f t="shared" si="32"/>
        <v>0.65</v>
      </c>
      <c r="U183" s="6" t="e">
        <f>SUMIFS([1]Sheet1!$L:$L,[1]Sheet1!$I:$I,AJ183,[1]Sheet1!$C:$C,A183)</f>
        <v>#VALUE!</v>
      </c>
      <c r="V183" s="6"/>
      <c r="W183" s="6"/>
      <c r="X183" s="7" t="e">
        <f t="shared" si="26"/>
        <v>#VALUE!</v>
      </c>
      <c r="Y183" s="6"/>
      <c r="AJ183" s="5" t="str">
        <f t="shared" si="27"/>
        <v>MO Texas Franchise Tax Return</v>
      </c>
      <c r="AK183" s="5" t="str">
        <f t="shared" si="28"/>
        <v>MO-Tax Services-ANN-Texas Franchise Tax Return_Basic</v>
      </c>
      <c r="AL183" s="5" t="str">
        <f t="shared" si="29"/>
        <v>DB Pro S_1120S_20-5620183_MO Texas Franchise Tax Return</v>
      </c>
      <c r="AM183" s="5" t="str">
        <f t="shared" si="30"/>
        <v>DB Pro S_1120S_20-5620183_MO-Tax Services-ANN-Texas Franchise Tax Return_Basic</v>
      </c>
    </row>
    <row r="184" spans="1:39" x14ac:dyDescent="0.25">
      <c r="A184" s="2" t="s">
        <v>519</v>
      </c>
      <c r="B184" s="2" t="s">
        <v>520</v>
      </c>
      <c r="C184" s="2" t="s">
        <v>1196</v>
      </c>
      <c r="D184" s="8">
        <v>43831</v>
      </c>
      <c r="E184" s="5" t="str">
        <f t="shared" si="31"/>
        <v>De Los Santos, Jesse_01-01-20</v>
      </c>
      <c r="F184" s="2" t="s">
        <v>1203</v>
      </c>
      <c r="G184" s="2" t="s">
        <v>1241</v>
      </c>
      <c r="H184" s="2" t="s">
        <v>1220</v>
      </c>
      <c r="I184" s="2" t="s">
        <v>1221</v>
      </c>
      <c r="J184" s="2" t="s">
        <v>1234</v>
      </c>
      <c r="M184" s="5" t="str">
        <f t="shared" si="22"/>
        <v>Mid</v>
      </c>
      <c r="N184" s="5" t="str">
        <f t="shared" si="23"/>
        <v>Tax-Staff-Mid</v>
      </c>
      <c r="O184" s="5" t="str">
        <f t="shared" si="24"/>
        <v>Tax-Reviewer-Mid</v>
      </c>
      <c r="P184" s="5" t="str">
        <f t="shared" si="25"/>
        <v>Tax-Signer-Mid</v>
      </c>
      <c r="Q184" s="6">
        <v>2.7401969696969677</v>
      </c>
      <c r="R184" s="6">
        <v>0.5480393939393936</v>
      </c>
      <c r="S184" s="6">
        <v>0.2740196969696968</v>
      </c>
      <c r="T184" s="7">
        <f t="shared" si="32"/>
        <v>3.562256060606058</v>
      </c>
      <c r="U184" s="6" t="e">
        <f>SUMIFS([1]Sheet1!$L:$L,[1]Sheet1!$I:$I,AJ184,[1]Sheet1!$C:$C,A184)</f>
        <v>#VALUE!</v>
      </c>
      <c r="V184" s="6"/>
      <c r="W184" s="6"/>
      <c r="X184" s="7" t="e">
        <f t="shared" si="26"/>
        <v>#VALUE!</v>
      </c>
      <c r="Y184" s="6"/>
      <c r="AJ184" s="5" t="str">
        <f t="shared" si="27"/>
        <v>NM 1040 - Personal</v>
      </c>
      <c r="AK184" s="5" t="str">
        <f t="shared" si="28"/>
        <v>NM-Tax Services-ANN-1040 - Personal_Mid</v>
      </c>
      <c r="AL184" s="5" t="str">
        <f t="shared" si="29"/>
        <v>De Los_6025_NM 1040 - Personal</v>
      </c>
      <c r="AM184" s="5" t="str">
        <f t="shared" si="30"/>
        <v>De Los_6025_NM-Tax Services-ANN-1040 - Personal_Mid</v>
      </c>
    </row>
    <row r="185" spans="1:39" x14ac:dyDescent="0.25">
      <c r="A185" s="2" t="s">
        <v>926</v>
      </c>
      <c r="B185" s="2" t="s">
        <v>927</v>
      </c>
      <c r="C185" s="2" t="s">
        <v>1196</v>
      </c>
      <c r="D185" s="8">
        <v>43831</v>
      </c>
      <c r="E185" s="5" t="str">
        <f t="shared" si="31"/>
        <v>Degen Gerald_01-01-20</v>
      </c>
      <c r="F185" s="2" t="s">
        <v>1203</v>
      </c>
      <c r="G185" s="2" t="s">
        <v>1241</v>
      </c>
      <c r="H185" s="2" t="s">
        <v>1220</v>
      </c>
      <c r="I185" s="2" t="s">
        <v>1223</v>
      </c>
      <c r="J185" s="2" t="s">
        <v>1234</v>
      </c>
      <c r="M185" s="5" t="str">
        <f t="shared" si="22"/>
        <v>Basic</v>
      </c>
      <c r="N185" s="5" t="str">
        <f t="shared" si="23"/>
        <v>Tax-Staff-Basic</v>
      </c>
      <c r="O185" s="5" t="str">
        <f t="shared" si="24"/>
        <v>Tax-Reviewer-Basic</v>
      </c>
      <c r="P185" s="5" t="str">
        <f t="shared" si="25"/>
        <v>Tax-Signer-Basic</v>
      </c>
      <c r="Q185" s="6">
        <v>1.4675000000000016</v>
      </c>
      <c r="R185" s="6">
        <v>0.29350000000000032</v>
      </c>
      <c r="S185" s="6">
        <v>0.14675000000000016</v>
      </c>
      <c r="T185" s="7">
        <f t="shared" si="32"/>
        <v>1.9077500000000021</v>
      </c>
      <c r="U185" s="6" t="e">
        <f>SUMIFS([1]Sheet1!$L:$L,[1]Sheet1!$I:$I,AJ185,[1]Sheet1!$C:$C,A185)</f>
        <v>#VALUE!</v>
      </c>
      <c r="V185" s="6"/>
      <c r="W185" s="6"/>
      <c r="X185" s="7" t="e">
        <f t="shared" si="26"/>
        <v>#VALUE!</v>
      </c>
      <c r="Y185" s="6"/>
      <c r="AJ185" s="5" t="str">
        <f t="shared" si="27"/>
        <v>NM 1040 - Personal</v>
      </c>
      <c r="AK185" s="5" t="str">
        <f t="shared" si="28"/>
        <v>NM-Tax Services-ANN-1040 - Personal_Basic</v>
      </c>
      <c r="AL185" s="5" t="str">
        <f t="shared" si="29"/>
        <v>Degen _8821_NM 1040 - Personal</v>
      </c>
      <c r="AM185" s="5" t="str">
        <f t="shared" si="30"/>
        <v>Degen _8821_NM-Tax Services-ANN-1040 - Personal_Basic</v>
      </c>
    </row>
    <row r="186" spans="1:39" x14ac:dyDescent="0.25">
      <c r="A186" s="2" t="s">
        <v>521</v>
      </c>
      <c r="B186" s="2" t="s">
        <v>522</v>
      </c>
      <c r="C186" s="2" t="s">
        <v>1196</v>
      </c>
      <c r="D186" s="8">
        <v>43831</v>
      </c>
      <c r="E186" s="5" t="str">
        <f t="shared" si="31"/>
        <v>Demarco, John M. &amp; Michelle K._01-01-20</v>
      </c>
      <c r="F186" s="2" t="s">
        <v>1203</v>
      </c>
      <c r="G186" s="2" t="s">
        <v>1241</v>
      </c>
      <c r="H186" s="2" t="s">
        <v>1220</v>
      </c>
      <c r="I186" s="2" t="s">
        <v>1223</v>
      </c>
      <c r="J186" s="2" t="s">
        <v>1234</v>
      </c>
      <c r="M186" s="5" t="str">
        <f t="shared" si="22"/>
        <v>Basic</v>
      </c>
      <c r="N186" s="5" t="str">
        <f t="shared" si="23"/>
        <v>Tax-Staff-Basic</v>
      </c>
      <c r="O186" s="5" t="str">
        <f t="shared" si="24"/>
        <v>Tax-Reviewer-Basic</v>
      </c>
      <c r="P186" s="5" t="str">
        <f t="shared" si="25"/>
        <v>Tax-Signer-Basic</v>
      </c>
      <c r="Q186" s="6">
        <v>1.4675000000000016</v>
      </c>
      <c r="R186" s="6">
        <v>0.29350000000000032</v>
      </c>
      <c r="S186" s="6">
        <v>0.14675000000000016</v>
      </c>
      <c r="T186" s="7">
        <f t="shared" si="32"/>
        <v>1.9077500000000021</v>
      </c>
      <c r="U186" s="6" t="e">
        <f>SUMIFS([1]Sheet1!$L:$L,[1]Sheet1!$I:$I,AJ186,[1]Sheet1!$C:$C,A186)</f>
        <v>#VALUE!</v>
      </c>
      <c r="V186" s="6"/>
      <c r="W186" s="6"/>
      <c r="X186" s="7" t="e">
        <f t="shared" si="26"/>
        <v>#VALUE!</v>
      </c>
      <c r="Y186" s="6"/>
      <c r="AJ186" s="5" t="str">
        <f t="shared" si="27"/>
        <v>NM 1040 - Personal</v>
      </c>
      <c r="AK186" s="5" t="str">
        <f t="shared" si="28"/>
        <v>NM-Tax Services-ANN-1040 - Personal_Basic</v>
      </c>
      <c r="AL186" s="5" t="str">
        <f t="shared" si="29"/>
        <v>Demarc_9744_NM 1040 - Personal</v>
      </c>
      <c r="AM186" s="5" t="str">
        <f t="shared" si="30"/>
        <v>Demarc_9744_NM-Tax Services-ANN-1040 - Personal_Basic</v>
      </c>
    </row>
    <row r="187" spans="1:39" x14ac:dyDescent="0.25">
      <c r="A187" s="2" t="s">
        <v>195</v>
      </c>
      <c r="B187" s="2" t="s">
        <v>196</v>
      </c>
      <c r="C187" s="2" t="s">
        <v>1196</v>
      </c>
      <c r="D187" s="8">
        <v>43831</v>
      </c>
      <c r="E187" s="5" t="str">
        <f t="shared" si="31"/>
        <v>Density Labs_01-01-20</v>
      </c>
      <c r="F187" s="2" t="s">
        <v>1206</v>
      </c>
      <c r="G187" s="2" t="s">
        <v>1241</v>
      </c>
      <c r="H187" s="2" t="s">
        <v>1220</v>
      </c>
      <c r="I187" s="2" t="s">
        <v>1221</v>
      </c>
      <c r="J187" s="2" t="s">
        <v>1234</v>
      </c>
      <c r="M187" s="5" t="str">
        <f t="shared" si="22"/>
        <v>Mid</v>
      </c>
      <c r="N187" s="5" t="str">
        <f t="shared" si="23"/>
        <v>Tax-Staff-Mid</v>
      </c>
      <c r="O187" s="5" t="str">
        <f t="shared" si="24"/>
        <v>Tax-Reviewer-Mid</v>
      </c>
      <c r="P187" s="5" t="str">
        <f t="shared" si="25"/>
        <v>Tax-Signer-Mid</v>
      </c>
      <c r="Q187" s="6">
        <v>2.7401969696969677</v>
      </c>
      <c r="R187" s="6">
        <v>0.5480393939393936</v>
      </c>
      <c r="S187" s="6">
        <v>0.2740196969696968</v>
      </c>
      <c r="T187" s="7">
        <f t="shared" si="32"/>
        <v>3.562256060606058</v>
      </c>
      <c r="U187" s="6" t="e">
        <f>SUMIFS([1]Sheet1!$L:$L,[1]Sheet1!$I:$I,AJ187,[1]Sheet1!$C:$C,A187)</f>
        <v>#VALUE!</v>
      </c>
      <c r="V187" s="6"/>
      <c r="W187" s="6"/>
      <c r="X187" s="7" t="e">
        <f t="shared" si="26"/>
        <v>#VALUE!</v>
      </c>
      <c r="Y187" s="6"/>
      <c r="AJ187" s="5" t="str">
        <f t="shared" si="27"/>
        <v>NM 1120 - C Corporation</v>
      </c>
      <c r="AK187" s="5" t="str">
        <f t="shared" si="28"/>
        <v>NM-Tax Services-ANN-1120 - C Corporation_Mid</v>
      </c>
      <c r="AL187" s="5" t="str">
        <f t="shared" si="29"/>
        <v>Density _1120C_32-0495531_NM 1120 - C Corporation</v>
      </c>
      <c r="AM187" s="5" t="str">
        <f t="shared" si="30"/>
        <v>Density _1120C_32-0495531_NM-Tax Services-ANN-1120 - C Corporation_Mid</v>
      </c>
    </row>
    <row r="188" spans="1:39" x14ac:dyDescent="0.25">
      <c r="A188" s="2" t="s">
        <v>47</v>
      </c>
      <c r="B188" s="2" t="s">
        <v>48</v>
      </c>
      <c r="C188" s="2" t="s">
        <v>1197</v>
      </c>
      <c r="D188" s="8">
        <v>43831</v>
      </c>
      <c r="E188" s="5" t="str">
        <f t="shared" si="31"/>
        <v>Design Gallery Dallas_01-01-20</v>
      </c>
      <c r="F188" s="2" t="s">
        <v>1204</v>
      </c>
      <c r="G188" s="2" t="s">
        <v>1241</v>
      </c>
      <c r="H188" s="2" t="s">
        <v>1220</v>
      </c>
      <c r="I188" s="2" t="s">
        <v>1221</v>
      </c>
      <c r="J188" s="2" t="s">
        <v>1234</v>
      </c>
      <c r="M188" s="5" t="str">
        <f t="shared" si="22"/>
        <v>Mid</v>
      </c>
      <c r="N188" s="5" t="str">
        <f t="shared" si="23"/>
        <v>Tax-Staff-Mid</v>
      </c>
      <c r="O188" s="5" t="str">
        <f t="shared" si="24"/>
        <v>Tax-Reviewer-Mid</v>
      </c>
      <c r="P188" s="5" t="str">
        <f t="shared" si="25"/>
        <v>Tax-Signer-Mid</v>
      </c>
      <c r="Q188" s="6">
        <v>2.7401969696969677</v>
      </c>
      <c r="R188" s="6">
        <v>0.5480393939393936</v>
      </c>
      <c r="S188" s="6">
        <v>0.2740196969696968</v>
      </c>
      <c r="T188" s="7">
        <f t="shared" si="32"/>
        <v>3.562256060606058</v>
      </c>
      <c r="U188" s="6" t="e">
        <f>SUMIFS([1]Sheet1!$L:$L,[1]Sheet1!$I:$I,AJ188,[1]Sheet1!$C:$C,A188)</f>
        <v>#VALUE!</v>
      </c>
      <c r="V188" s="6"/>
      <c r="W188" s="6"/>
      <c r="X188" s="7" t="e">
        <f t="shared" si="26"/>
        <v>#VALUE!</v>
      </c>
      <c r="Y188" s="6"/>
      <c r="AJ188" s="5" t="str">
        <f t="shared" si="27"/>
        <v>MO 1120S - S Corporation</v>
      </c>
      <c r="AK188" s="5" t="str">
        <f t="shared" si="28"/>
        <v>MO-Tax Services-ANN-1120S - S Corporation_Mid</v>
      </c>
      <c r="AL188" s="5" t="str">
        <f t="shared" si="29"/>
        <v>Design G_1120S_46-4351258_MO 1120S - S Corporation</v>
      </c>
      <c r="AM188" s="5" t="str">
        <f t="shared" si="30"/>
        <v>Design G_1120S_46-4351258_MO-Tax Services-ANN-1120S - S Corporation_Mid</v>
      </c>
    </row>
    <row r="189" spans="1:39" x14ac:dyDescent="0.25">
      <c r="A189" s="2" t="s">
        <v>47</v>
      </c>
      <c r="B189" s="2" t="s">
        <v>48</v>
      </c>
      <c r="C189" s="2" t="s">
        <v>1197</v>
      </c>
      <c r="D189" s="8">
        <v>43831</v>
      </c>
      <c r="E189" s="5" t="str">
        <f t="shared" si="31"/>
        <v>Design Gallery Dallas_01-01-20</v>
      </c>
      <c r="F189" s="2" t="s">
        <v>1201</v>
      </c>
      <c r="G189" s="2" t="s">
        <v>1201</v>
      </c>
      <c r="H189" s="2" t="s">
        <v>1197</v>
      </c>
      <c r="I189" s="2" t="s">
        <v>1223</v>
      </c>
      <c r="J189" s="2" t="s">
        <v>1235</v>
      </c>
      <c r="M189" s="5" t="str">
        <f t="shared" si="22"/>
        <v>Basic</v>
      </c>
      <c r="N189" s="5" t="str">
        <f t="shared" si="23"/>
        <v>Accountant-Staff-Basic</v>
      </c>
      <c r="O189" s="5" t="str">
        <f t="shared" si="24"/>
        <v>Accountant-Reviewer-Basic</v>
      </c>
      <c r="P189" s="5" t="str">
        <f t="shared" si="25"/>
        <v>Accountant-Signer-Basic</v>
      </c>
      <c r="Q189" s="6">
        <v>1.47</v>
      </c>
      <c r="R189" s="6">
        <v>0.29399999999999998</v>
      </c>
      <c r="S189" s="6">
        <v>0.14699999999999999</v>
      </c>
      <c r="T189" s="7">
        <f t="shared" si="32"/>
        <v>1.911</v>
      </c>
      <c r="U189" s="6" t="e">
        <f>SUMIFS([1]Sheet1!$L:$L,[1]Sheet1!$I:$I,AJ189,[1]Sheet1!$C:$C,A189)</f>
        <v>#VALUE!</v>
      </c>
      <c r="V189" s="6"/>
      <c r="W189" s="6"/>
      <c r="X189" s="7" t="e">
        <f t="shared" si="26"/>
        <v>#VALUE!</v>
      </c>
      <c r="Y189" s="6"/>
      <c r="AJ189" s="5" t="str">
        <f t="shared" si="27"/>
        <v>MO Accounting Services</v>
      </c>
      <c r="AK189" s="5" t="str">
        <f t="shared" si="28"/>
        <v>MO-Accounting Services-MO-Accounting Services_Basic</v>
      </c>
      <c r="AL189" s="5" t="str">
        <f t="shared" si="29"/>
        <v>Design G_1120S_46-4351258_MO Accounting Services</v>
      </c>
      <c r="AM189" s="5" t="str">
        <f t="shared" si="30"/>
        <v>Design G_1120S_46-4351258_MO-Accounting Services-MO-Accounting Services_Basic</v>
      </c>
    </row>
    <row r="190" spans="1:39" x14ac:dyDescent="0.25">
      <c r="A190" s="2" t="s">
        <v>47</v>
      </c>
      <c r="B190" s="2" t="s">
        <v>48</v>
      </c>
      <c r="C190" s="2" t="s">
        <v>1197</v>
      </c>
      <c r="D190" s="8">
        <v>43831</v>
      </c>
      <c r="E190" s="5" t="str">
        <f t="shared" si="31"/>
        <v>Design Gallery Dallas_01-01-20</v>
      </c>
      <c r="F190" s="2" t="s">
        <v>1202</v>
      </c>
      <c r="G190" s="2" t="s">
        <v>1201</v>
      </c>
      <c r="H190" s="2" t="s">
        <v>1197</v>
      </c>
      <c r="I190" s="2" t="s">
        <v>1223</v>
      </c>
      <c r="J190" s="2" t="s">
        <v>1235</v>
      </c>
      <c r="M190" s="5" t="str">
        <f t="shared" si="22"/>
        <v>Basic</v>
      </c>
      <c r="N190" s="5" t="str">
        <f t="shared" si="23"/>
        <v>Accountant-Staff-Basic</v>
      </c>
      <c r="O190" s="5" t="str">
        <f t="shared" si="24"/>
        <v>Accountant-Reviewer-Basic</v>
      </c>
      <c r="P190" s="5" t="str">
        <f t="shared" si="25"/>
        <v>Accountant-Signer-Basic</v>
      </c>
      <c r="Q190" s="6">
        <v>0.5</v>
      </c>
      <c r="R190" s="6">
        <v>0.1</v>
      </c>
      <c r="S190" s="6">
        <v>0.05</v>
      </c>
      <c r="T190" s="7">
        <f t="shared" si="32"/>
        <v>0.65</v>
      </c>
      <c r="U190" s="6" t="e">
        <f>SUMIFS([1]Sheet1!$L:$L,[1]Sheet1!$I:$I,AJ190,[1]Sheet1!$C:$C,A190)</f>
        <v>#VALUE!</v>
      </c>
      <c r="V190" s="6"/>
      <c r="W190" s="6"/>
      <c r="X190" s="7" t="e">
        <f t="shared" si="26"/>
        <v>#VALUE!</v>
      </c>
      <c r="Y190" s="6"/>
      <c r="AJ190" s="5" t="str">
        <f t="shared" si="27"/>
        <v>MO Sales Tax Services</v>
      </c>
      <c r="AK190" s="5" t="str">
        <f t="shared" si="28"/>
        <v>MO-Accounting Services-MO-Sales Tax Services_Basic</v>
      </c>
      <c r="AL190" s="5" t="str">
        <f t="shared" si="29"/>
        <v>Design G_1120S_46-4351258_MO Sales Tax Services</v>
      </c>
      <c r="AM190" s="5" t="str">
        <f t="shared" si="30"/>
        <v>Design G_1120S_46-4351258_MO-Accounting Services-MO-Sales Tax Services_Basic</v>
      </c>
    </row>
    <row r="191" spans="1:39" x14ac:dyDescent="0.25">
      <c r="A191" s="2" t="s">
        <v>47</v>
      </c>
      <c r="B191" s="2" t="s">
        <v>48</v>
      </c>
      <c r="C191" s="2" t="s">
        <v>1197</v>
      </c>
      <c r="D191" s="8">
        <v>43831</v>
      </c>
      <c r="E191" s="5" t="str">
        <f t="shared" si="31"/>
        <v>Design Gallery Dallas_01-01-20</v>
      </c>
      <c r="F191" s="2" t="s">
        <v>1200</v>
      </c>
      <c r="G191" s="2" t="s">
        <v>1241</v>
      </c>
      <c r="H191" s="2" t="s">
        <v>1220</v>
      </c>
      <c r="I191" s="2" t="s">
        <v>1223</v>
      </c>
      <c r="J191" s="2" t="s">
        <v>1234</v>
      </c>
      <c r="M191" s="5" t="str">
        <f t="shared" si="22"/>
        <v>Basic</v>
      </c>
      <c r="N191" s="5" t="str">
        <f t="shared" si="23"/>
        <v>Tax-Staff-Basic</v>
      </c>
      <c r="O191" s="5" t="str">
        <f t="shared" si="24"/>
        <v>Tax-Reviewer-Basic</v>
      </c>
      <c r="P191" s="5" t="str">
        <f t="shared" si="25"/>
        <v>Tax-Signer-Basic</v>
      </c>
      <c r="Q191" s="6">
        <v>0.5</v>
      </c>
      <c r="R191" s="6">
        <v>0.1</v>
      </c>
      <c r="S191" s="6">
        <v>0.05</v>
      </c>
      <c r="T191" s="7">
        <f t="shared" si="32"/>
        <v>0.65</v>
      </c>
      <c r="U191" s="6" t="e">
        <f>SUMIFS([1]Sheet1!$L:$L,[1]Sheet1!$I:$I,AJ191,[1]Sheet1!$C:$C,A191)</f>
        <v>#VALUE!</v>
      </c>
      <c r="V191" s="6"/>
      <c r="W191" s="6"/>
      <c r="X191" s="7" t="e">
        <f t="shared" si="26"/>
        <v>#VALUE!</v>
      </c>
      <c r="Y191" s="6"/>
      <c r="AJ191" s="5" t="str">
        <f t="shared" si="27"/>
        <v>MO Texas Franchise Tax Return</v>
      </c>
      <c r="AK191" s="5" t="str">
        <f t="shared" si="28"/>
        <v>MO-Tax Services-ANN-Texas Franchise Tax Return_Basic</v>
      </c>
      <c r="AL191" s="5" t="str">
        <f t="shared" si="29"/>
        <v>Design G_1120S_46-4351258_MO Texas Franchise Tax Return</v>
      </c>
      <c r="AM191" s="5" t="str">
        <f t="shared" si="30"/>
        <v>Design G_1120S_46-4351258_MO-Tax Services-ANN-Texas Franchise Tax Return_Basic</v>
      </c>
    </row>
    <row r="192" spans="1:39" x14ac:dyDescent="0.25">
      <c r="A192" s="2" t="s">
        <v>523</v>
      </c>
      <c r="B192" s="2" t="s">
        <v>524</v>
      </c>
      <c r="C192" s="2" t="s">
        <v>1196</v>
      </c>
      <c r="D192" s="8">
        <v>43831</v>
      </c>
      <c r="E192" s="5" t="str">
        <f t="shared" si="31"/>
        <v>Dewey, Michael P &amp; Jillian B_01-01-20</v>
      </c>
      <c r="F192" s="2" t="s">
        <v>1203</v>
      </c>
      <c r="G192" s="2" t="s">
        <v>1241</v>
      </c>
      <c r="H192" s="2" t="s">
        <v>1220</v>
      </c>
      <c r="I192" s="2" t="s">
        <v>1221</v>
      </c>
      <c r="J192" s="2" t="s">
        <v>1234</v>
      </c>
      <c r="M192" s="5" t="str">
        <f t="shared" si="22"/>
        <v>Mid</v>
      </c>
      <c r="N192" s="5" t="str">
        <f t="shared" si="23"/>
        <v>Tax-Staff-Mid</v>
      </c>
      <c r="O192" s="5" t="str">
        <f t="shared" si="24"/>
        <v>Tax-Reviewer-Mid</v>
      </c>
      <c r="P192" s="5" t="str">
        <f t="shared" si="25"/>
        <v>Tax-Signer-Mid</v>
      </c>
      <c r="Q192" s="6">
        <v>2.7401969696969677</v>
      </c>
      <c r="R192" s="6">
        <v>0.5480393939393936</v>
      </c>
      <c r="S192" s="6">
        <v>0.2740196969696968</v>
      </c>
      <c r="T192" s="7">
        <f t="shared" si="32"/>
        <v>3.562256060606058</v>
      </c>
      <c r="U192" s="6" t="e">
        <f>SUMIFS([1]Sheet1!$L:$L,[1]Sheet1!$I:$I,AJ192,[1]Sheet1!$C:$C,A192)</f>
        <v>#VALUE!</v>
      </c>
      <c r="V192" s="6"/>
      <c r="W192" s="6"/>
      <c r="X192" s="7" t="e">
        <f t="shared" si="26"/>
        <v>#VALUE!</v>
      </c>
      <c r="Y192" s="6"/>
      <c r="AJ192" s="5" t="str">
        <f t="shared" si="27"/>
        <v>NM 1040 - Personal</v>
      </c>
      <c r="AK192" s="5" t="str">
        <f t="shared" si="28"/>
        <v>NM-Tax Services-ANN-1040 - Personal_Mid</v>
      </c>
      <c r="AL192" s="5" t="str">
        <f t="shared" si="29"/>
        <v>Dewey,_4863_NM 1040 - Personal</v>
      </c>
      <c r="AM192" s="5" t="str">
        <f t="shared" si="30"/>
        <v>Dewey,_4863_NM-Tax Services-ANN-1040 - Personal_Mid</v>
      </c>
    </row>
    <row r="193" spans="1:39" x14ac:dyDescent="0.25">
      <c r="A193" s="2" t="s">
        <v>357</v>
      </c>
      <c r="B193" s="2" t="s">
        <v>358</v>
      </c>
      <c r="C193" s="2" t="s">
        <v>1196</v>
      </c>
      <c r="D193" s="8">
        <v>43831</v>
      </c>
      <c r="E193" s="5" t="str">
        <f t="shared" si="31"/>
        <v>Diamond CC Holding, LLC_01-01-20</v>
      </c>
      <c r="F193" s="2" t="s">
        <v>1199</v>
      </c>
      <c r="G193" s="2" t="s">
        <v>1241</v>
      </c>
      <c r="H193" s="2" t="s">
        <v>1220</v>
      </c>
      <c r="I193" s="2" t="s">
        <v>1223</v>
      </c>
      <c r="J193" s="2" t="s">
        <v>1234</v>
      </c>
      <c r="M193" s="5" t="str">
        <f t="shared" si="22"/>
        <v>Basic</v>
      </c>
      <c r="N193" s="5" t="str">
        <f t="shared" si="23"/>
        <v>Tax-Staff-Basic</v>
      </c>
      <c r="O193" s="5" t="str">
        <f t="shared" si="24"/>
        <v>Tax-Reviewer-Basic</v>
      </c>
      <c r="P193" s="5" t="str">
        <f t="shared" si="25"/>
        <v>Tax-Signer-Basic</v>
      </c>
      <c r="Q193" s="6">
        <v>1.4675000000000016</v>
      </c>
      <c r="R193" s="6">
        <v>0.29350000000000032</v>
      </c>
      <c r="S193" s="6">
        <v>0.14675000000000016</v>
      </c>
      <c r="T193" s="7">
        <f t="shared" si="32"/>
        <v>1.9077500000000021</v>
      </c>
      <c r="U193" s="6" t="e">
        <f>SUMIFS([1]Sheet1!$L:$L,[1]Sheet1!$I:$I,AJ193,[1]Sheet1!$C:$C,A193)</f>
        <v>#VALUE!</v>
      </c>
      <c r="V193" s="6"/>
      <c r="W193" s="6"/>
      <c r="X193" s="7" t="e">
        <f t="shared" si="26"/>
        <v>#VALUE!</v>
      </c>
      <c r="Y193" s="6"/>
      <c r="AJ193" s="5" t="str">
        <f t="shared" si="27"/>
        <v>NM 1065 - Partnership</v>
      </c>
      <c r="AK193" s="5" t="str">
        <f t="shared" si="28"/>
        <v>NM-Tax Services-ANN-1065 - Partnership_Basic</v>
      </c>
      <c r="AL193" s="5" t="str">
        <f t="shared" si="29"/>
        <v>Diamond _1065_47-2158116_NM 1065 - Partnership</v>
      </c>
      <c r="AM193" s="5" t="str">
        <f t="shared" si="30"/>
        <v>Diamond _1065_47-2158116_NM-Tax Services-ANN-1065 - Partnership_Basic</v>
      </c>
    </row>
    <row r="194" spans="1:39" x14ac:dyDescent="0.25">
      <c r="A194" s="2" t="s">
        <v>525</v>
      </c>
      <c r="B194" s="2" t="s">
        <v>526</v>
      </c>
      <c r="C194" s="2" t="s">
        <v>1196</v>
      </c>
      <c r="D194" s="8">
        <v>43831</v>
      </c>
      <c r="E194" s="5" t="str">
        <f t="shared" si="31"/>
        <v>Dickson, Colby_01-01-20</v>
      </c>
      <c r="F194" s="2" t="s">
        <v>1203</v>
      </c>
      <c r="G194" s="2" t="s">
        <v>1241</v>
      </c>
      <c r="H194" s="2" t="s">
        <v>1220</v>
      </c>
      <c r="I194" s="2" t="s">
        <v>1223</v>
      </c>
      <c r="J194" s="2" t="s">
        <v>1234</v>
      </c>
      <c r="M194" s="5" t="str">
        <f t="shared" ref="M194:M257" si="33">I194</f>
        <v>Basic</v>
      </c>
      <c r="N194" s="5" t="str">
        <f t="shared" ref="N194:N257" si="34">$J194&amp;"-"&amp;"Staff"&amp;"-"&amp;$M194</f>
        <v>Tax-Staff-Basic</v>
      </c>
      <c r="O194" s="5" t="str">
        <f t="shared" ref="O194:O257" si="35">$J194&amp;"-"&amp;"Reviewer"&amp;"-"&amp;$M194</f>
        <v>Tax-Reviewer-Basic</v>
      </c>
      <c r="P194" s="5" t="str">
        <f t="shared" ref="P194:P257" si="36">$J194&amp;"-"&amp;"Signer"&amp;"-"&amp;$M194</f>
        <v>Tax-Signer-Basic</v>
      </c>
      <c r="Q194" s="6">
        <v>1.4675000000000016</v>
      </c>
      <c r="R194" s="6">
        <v>0.29350000000000032</v>
      </c>
      <c r="S194" s="6">
        <v>0.14675000000000016</v>
      </c>
      <c r="T194" s="7">
        <f t="shared" si="32"/>
        <v>1.9077500000000021</v>
      </c>
      <c r="U194" s="6" t="e">
        <f>SUMIFS([1]Sheet1!$L:$L,[1]Sheet1!$I:$I,AJ194,[1]Sheet1!$C:$C,A194)</f>
        <v>#VALUE!</v>
      </c>
      <c r="V194" s="6"/>
      <c r="W194" s="6"/>
      <c r="X194" s="7" t="e">
        <f t="shared" ref="X194:X257" si="37">SUM(U194:W194)</f>
        <v>#VALUE!</v>
      </c>
      <c r="Y194" s="6"/>
      <c r="AJ194" s="5" t="str">
        <f t="shared" ref="AJ194:AJ257" si="38">C194&amp;" "&amp;F194</f>
        <v>NM 1040 - Personal</v>
      </c>
      <c r="AK194" s="5" t="str">
        <f t="shared" ref="AK194:AK257" si="39">C194&amp;"-"&amp;G194&amp;"-"&amp;H194&amp;"-"&amp;F194&amp;"_"&amp;I194</f>
        <v>NM-Tax Services-ANN-1040 - Personal_Basic</v>
      </c>
      <c r="AL194" s="5" t="str">
        <f t="shared" ref="AL194:AL257" si="40">A194&amp;"_"&amp;AJ194</f>
        <v>Dickso_1275_NM 1040 - Personal</v>
      </c>
      <c r="AM194" s="5" t="str">
        <f t="shared" ref="AM194:AM257" si="41">A194&amp;"_"&amp;AK194</f>
        <v>Dickso_1275_NM-Tax Services-ANN-1040 - Personal_Basic</v>
      </c>
    </row>
    <row r="195" spans="1:39" x14ac:dyDescent="0.25">
      <c r="A195" s="2" t="s">
        <v>527</v>
      </c>
      <c r="B195" s="2" t="s">
        <v>528</v>
      </c>
      <c r="C195" s="2" t="s">
        <v>1196</v>
      </c>
      <c r="D195" s="8">
        <v>43831</v>
      </c>
      <c r="E195" s="5" t="str">
        <f t="shared" ref="E195:E258" si="42">B195&amp;"_"&amp;TEXT(D195,"DD-MM-YY")</f>
        <v>Dierks, David_01-01-20</v>
      </c>
      <c r="F195" s="2" t="s">
        <v>1203</v>
      </c>
      <c r="G195" s="2" t="s">
        <v>1241</v>
      </c>
      <c r="H195" s="2" t="s">
        <v>1220</v>
      </c>
      <c r="I195" s="2" t="s">
        <v>1221</v>
      </c>
      <c r="J195" s="2" t="s">
        <v>1234</v>
      </c>
      <c r="M195" s="5" t="str">
        <f t="shared" si="33"/>
        <v>Mid</v>
      </c>
      <c r="N195" s="5" t="str">
        <f t="shared" si="34"/>
        <v>Tax-Staff-Mid</v>
      </c>
      <c r="O195" s="5" t="str">
        <f t="shared" si="35"/>
        <v>Tax-Reviewer-Mid</v>
      </c>
      <c r="P195" s="5" t="str">
        <f t="shared" si="36"/>
        <v>Tax-Signer-Mid</v>
      </c>
      <c r="Q195" s="6">
        <v>2.7401969696969677</v>
      </c>
      <c r="R195" s="6">
        <v>0.5480393939393936</v>
      </c>
      <c r="S195" s="6">
        <v>0.2740196969696968</v>
      </c>
      <c r="T195" s="7">
        <f t="shared" ref="T195:T258" si="43">SUM(Q195:S195)</f>
        <v>3.562256060606058</v>
      </c>
      <c r="U195" s="6" t="e">
        <f>SUMIFS([1]Sheet1!$L:$L,[1]Sheet1!$I:$I,AJ195,[1]Sheet1!$C:$C,A195)</f>
        <v>#VALUE!</v>
      </c>
      <c r="V195" s="6"/>
      <c r="W195" s="6"/>
      <c r="X195" s="7" t="e">
        <f t="shared" si="37"/>
        <v>#VALUE!</v>
      </c>
      <c r="Y195" s="6"/>
      <c r="AJ195" s="5" t="str">
        <f t="shared" si="38"/>
        <v>NM 1040 - Personal</v>
      </c>
      <c r="AK195" s="5" t="str">
        <f t="shared" si="39"/>
        <v>NM-Tax Services-ANN-1040 - Personal_Mid</v>
      </c>
      <c r="AL195" s="5" t="str">
        <f t="shared" si="40"/>
        <v>Dierks_5723_NM 1040 - Personal</v>
      </c>
      <c r="AM195" s="5" t="str">
        <f t="shared" si="41"/>
        <v>Dierks_5723_NM-Tax Services-ANN-1040 - Personal_Mid</v>
      </c>
    </row>
    <row r="196" spans="1:39" x14ac:dyDescent="0.25">
      <c r="A196" s="2" t="s">
        <v>49</v>
      </c>
      <c r="B196" s="2" t="s">
        <v>50</v>
      </c>
      <c r="C196" s="2" t="s">
        <v>1197</v>
      </c>
      <c r="D196" s="8">
        <v>43831</v>
      </c>
      <c r="E196" s="5" t="str">
        <f t="shared" si="42"/>
        <v>Dog Star Media, Inc._01-01-20</v>
      </c>
      <c r="F196" s="2" t="s">
        <v>1204</v>
      </c>
      <c r="G196" s="2" t="s">
        <v>1241</v>
      </c>
      <c r="H196" s="2" t="s">
        <v>1220</v>
      </c>
      <c r="I196" s="2" t="s">
        <v>1221</v>
      </c>
      <c r="J196" s="2" t="s">
        <v>1234</v>
      </c>
      <c r="M196" s="5" t="str">
        <f t="shared" si="33"/>
        <v>Mid</v>
      </c>
      <c r="N196" s="5" t="str">
        <f t="shared" si="34"/>
        <v>Tax-Staff-Mid</v>
      </c>
      <c r="O196" s="5" t="str">
        <f t="shared" si="35"/>
        <v>Tax-Reviewer-Mid</v>
      </c>
      <c r="P196" s="5" t="str">
        <f t="shared" si="36"/>
        <v>Tax-Signer-Mid</v>
      </c>
      <c r="Q196" s="6">
        <v>2.7401969696969677</v>
      </c>
      <c r="R196" s="6">
        <v>0.5480393939393936</v>
      </c>
      <c r="S196" s="6">
        <v>0.2740196969696968</v>
      </c>
      <c r="T196" s="7">
        <f t="shared" si="43"/>
        <v>3.562256060606058</v>
      </c>
      <c r="U196" s="6" t="e">
        <f>SUMIFS([1]Sheet1!$L:$L,[1]Sheet1!$I:$I,AJ196,[1]Sheet1!$C:$C,A196)</f>
        <v>#VALUE!</v>
      </c>
      <c r="V196" s="6"/>
      <c r="W196" s="6"/>
      <c r="X196" s="7" t="e">
        <f t="shared" si="37"/>
        <v>#VALUE!</v>
      </c>
      <c r="Y196" s="6"/>
      <c r="AJ196" s="5" t="str">
        <f t="shared" si="38"/>
        <v>MO 1120S - S Corporation</v>
      </c>
      <c r="AK196" s="5" t="str">
        <f t="shared" si="39"/>
        <v>MO-Tax Services-ANN-1120S - S Corporation_Mid</v>
      </c>
      <c r="AL196" s="5" t="str">
        <f t="shared" si="40"/>
        <v>Dog Star_1120S_75-2613222_MO 1120S - S Corporation</v>
      </c>
      <c r="AM196" s="5" t="str">
        <f t="shared" si="41"/>
        <v>Dog Star_1120S_75-2613222_MO-Tax Services-ANN-1120S - S Corporation_Mid</v>
      </c>
    </row>
    <row r="197" spans="1:39" x14ac:dyDescent="0.25">
      <c r="A197" s="2" t="s">
        <v>49</v>
      </c>
      <c r="B197" s="2" t="s">
        <v>50</v>
      </c>
      <c r="C197" s="2" t="s">
        <v>1197</v>
      </c>
      <c r="D197" s="8">
        <v>43831</v>
      </c>
      <c r="E197" s="5" t="str">
        <f t="shared" si="42"/>
        <v>Dog Star Media, Inc._01-01-20</v>
      </c>
      <c r="F197" s="2" t="s">
        <v>1201</v>
      </c>
      <c r="G197" s="2" t="s">
        <v>1201</v>
      </c>
      <c r="H197" s="2" t="s">
        <v>1197</v>
      </c>
      <c r="I197" s="2" t="s">
        <v>1223</v>
      </c>
      <c r="J197" s="2" t="s">
        <v>1235</v>
      </c>
      <c r="M197" s="5" t="str">
        <f t="shared" si="33"/>
        <v>Basic</v>
      </c>
      <c r="N197" s="5" t="str">
        <f t="shared" si="34"/>
        <v>Accountant-Staff-Basic</v>
      </c>
      <c r="O197" s="5" t="str">
        <f t="shared" si="35"/>
        <v>Accountant-Reviewer-Basic</v>
      </c>
      <c r="P197" s="5" t="str">
        <f t="shared" si="36"/>
        <v>Accountant-Signer-Basic</v>
      </c>
      <c r="Q197" s="6">
        <v>1.47</v>
      </c>
      <c r="R197" s="6">
        <v>0.29399999999999998</v>
      </c>
      <c r="S197" s="6">
        <v>0.14699999999999999</v>
      </c>
      <c r="T197" s="7">
        <f t="shared" si="43"/>
        <v>1.911</v>
      </c>
      <c r="U197" s="6" t="e">
        <f>SUMIFS([1]Sheet1!$L:$L,[1]Sheet1!$I:$I,AJ197,[1]Sheet1!$C:$C,A197)</f>
        <v>#VALUE!</v>
      </c>
      <c r="V197" s="6"/>
      <c r="W197" s="6"/>
      <c r="X197" s="7" t="e">
        <f t="shared" si="37"/>
        <v>#VALUE!</v>
      </c>
      <c r="Y197" s="6"/>
      <c r="AJ197" s="5" t="str">
        <f t="shared" si="38"/>
        <v>MO Accounting Services</v>
      </c>
      <c r="AK197" s="5" t="str">
        <f t="shared" si="39"/>
        <v>MO-Accounting Services-MO-Accounting Services_Basic</v>
      </c>
      <c r="AL197" s="5" t="str">
        <f t="shared" si="40"/>
        <v>Dog Star_1120S_75-2613222_MO Accounting Services</v>
      </c>
      <c r="AM197" s="5" t="str">
        <f t="shared" si="41"/>
        <v>Dog Star_1120S_75-2613222_MO-Accounting Services-MO-Accounting Services_Basic</v>
      </c>
    </row>
    <row r="198" spans="1:39" x14ac:dyDescent="0.25">
      <c r="A198" s="2" t="s">
        <v>49</v>
      </c>
      <c r="B198" s="2" t="s">
        <v>50</v>
      </c>
      <c r="C198" s="2" t="s">
        <v>1197</v>
      </c>
      <c r="D198" s="8">
        <v>43831</v>
      </c>
      <c r="E198" s="5" t="str">
        <f t="shared" si="42"/>
        <v>Dog Star Media, Inc._01-01-20</v>
      </c>
      <c r="F198" s="2" t="s">
        <v>1202</v>
      </c>
      <c r="G198" s="2" t="s">
        <v>1201</v>
      </c>
      <c r="H198" s="2" t="s">
        <v>1197</v>
      </c>
      <c r="I198" s="2" t="s">
        <v>1223</v>
      </c>
      <c r="J198" s="2" t="s">
        <v>1235</v>
      </c>
      <c r="M198" s="5" t="str">
        <f t="shared" si="33"/>
        <v>Basic</v>
      </c>
      <c r="N198" s="5" t="str">
        <f t="shared" si="34"/>
        <v>Accountant-Staff-Basic</v>
      </c>
      <c r="O198" s="5" t="str">
        <f t="shared" si="35"/>
        <v>Accountant-Reviewer-Basic</v>
      </c>
      <c r="P198" s="5" t="str">
        <f t="shared" si="36"/>
        <v>Accountant-Signer-Basic</v>
      </c>
      <c r="Q198" s="6">
        <v>0.5</v>
      </c>
      <c r="R198" s="6">
        <v>0.1</v>
      </c>
      <c r="S198" s="6">
        <v>0.05</v>
      </c>
      <c r="T198" s="7">
        <f t="shared" si="43"/>
        <v>0.65</v>
      </c>
      <c r="U198" s="6" t="e">
        <f>SUMIFS([1]Sheet1!$L:$L,[1]Sheet1!$I:$I,AJ198,[1]Sheet1!$C:$C,A198)</f>
        <v>#VALUE!</v>
      </c>
      <c r="V198" s="6"/>
      <c r="W198" s="6"/>
      <c r="X198" s="7" t="e">
        <f t="shared" si="37"/>
        <v>#VALUE!</v>
      </c>
      <c r="Y198" s="6"/>
      <c r="AJ198" s="5" t="str">
        <f t="shared" si="38"/>
        <v>MO Sales Tax Services</v>
      </c>
      <c r="AK198" s="5" t="str">
        <f t="shared" si="39"/>
        <v>MO-Accounting Services-MO-Sales Tax Services_Basic</v>
      </c>
      <c r="AL198" s="5" t="str">
        <f t="shared" si="40"/>
        <v>Dog Star_1120S_75-2613222_MO Sales Tax Services</v>
      </c>
      <c r="AM198" s="5" t="str">
        <f t="shared" si="41"/>
        <v>Dog Star_1120S_75-2613222_MO-Accounting Services-MO-Sales Tax Services_Basic</v>
      </c>
    </row>
    <row r="199" spans="1:39" x14ac:dyDescent="0.25">
      <c r="A199" s="2" t="s">
        <v>49</v>
      </c>
      <c r="B199" s="2" t="s">
        <v>50</v>
      </c>
      <c r="C199" s="2" t="s">
        <v>1197</v>
      </c>
      <c r="D199" s="8">
        <v>43831</v>
      </c>
      <c r="E199" s="5" t="str">
        <f t="shared" si="42"/>
        <v>Dog Star Media, Inc._01-01-20</v>
      </c>
      <c r="F199" s="2" t="s">
        <v>1200</v>
      </c>
      <c r="G199" s="2" t="s">
        <v>1241</v>
      </c>
      <c r="H199" s="2" t="s">
        <v>1220</v>
      </c>
      <c r="I199" s="2" t="s">
        <v>1223</v>
      </c>
      <c r="J199" s="2" t="s">
        <v>1234</v>
      </c>
      <c r="M199" s="5" t="str">
        <f t="shared" si="33"/>
        <v>Basic</v>
      </c>
      <c r="N199" s="5" t="str">
        <f t="shared" si="34"/>
        <v>Tax-Staff-Basic</v>
      </c>
      <c r="O199" s="5" t="str">
        <f t="shared" si="35"/>
        <v>Tax-Reviewer-Basic</v>
      </c>
      <c r="P199" s="5" t="str">
        <f t="shared" si="36"/>
        <v>Tax-Signer-Basic</v>
      </c>
      <c r="Q199" s="6">
        <v>0.5</v>
      </c>
      <c r="R199" s="6">
        <v>0.1</v>
      </c>
      <c r="S199" s="6">
        <v>0.05</v>
      </c>
      <c r="T199" s="7">
        <f t="shared" si="43"/>
        <v>0.65</v>
      </c>
      <c r="U199" s="6" t="e">
        <f>SUMIFS([1]Sheet1!$L:$L,[1]Sheet1!$I:$I,AJ199,[1]Sheet1!$C:$C,A199)</f>
        <v>#VALUE!</v>
      </c>
      <c r="V199" s="6"/>
      <c r="W199" s="6"/>
      <c r="X199" s="7" t="e">
        <f t="shared" si="37"/>
        <v>#VALUE!</v>
      </c>
      <c r="Y199" s="6"/>
      <c r="AJ199" s="5" t="str">
        <f t="shared" si="38"/>
        <v>MO Texas Franchise Tax Return</v>
      </c>
      <c r="AK199" s="5" t="str">
        <f t="shared" si="39"/>
        <v>MO-Tax Services-ANN-Texas Franchise Tax Return_Basic</v>
      </c>
      <c r="AL199" s="5" t="str">
        <f t="shared" si="40"/>
        <v>Dog Star_1120S_75-2613222_MO Texas Franchise Tax Return</v>
      </c>
      <c r="AM199" s="5" t="str">
        <f t="shared" si="41"/>
        <v>Dog Star_1120S_75-2613222_MO-Tax Services-ANN-Texas Franchise Tax Return_Basic</v>
      </c>
    </row>
    <row r="200" spans="1:39" x14ac:dyDescent="0.25">
      <c r="A200" s="2" t="s">
        <v>1053</v>
      </c>
      <c r="B200" s="2" t="s">
        <v>1054</v>
      </c>
      <c r="C200" s="2" t="s">
        <v>1196</v>
      </c>
      <c r="D200" s="8">
        <v>43831</v>
      </c>
      <c r="E200" s="5" t="str">
        <f t="shared" si="42"/>
        <v>Domestic Investment Surveys LLC_01-01-20</v>
      </c>
      <c r="F200" s="2" t="s">
        <v>1199</v>
      </c>
      <c r="G200" s="2" t="s">
        <v>1241</v>
      </c>
      <c r="H200" s="2" t="s">
        <v>1220</v>
      </c>
      <c r="I200" s="2" t="s">
        <v>1223</v>
      </c>
      <c r="J200" s="2" t="s">
        <v>1234</v>
      </c>
      <c r="M200" s="5" t="str">
        <f t="shared" si="33"/>
        <v>Basic</v>
      </c>
      <c r="N200" s="5" t="str">
        <f t="shared" si="34"/>
        <v>Tax-Staff-Basic</v>
      </c>
      <c r="O200" s="5" t="str">
        <f t="shared" si="35"/>
        <v>Tax-Reviewer-Basic</v>
      </c>
      <c r="P200" s="5" t="str">
        <f t="shared" si="36"/>
        <v>Tax-Signer-Basic</v>
      </c>
      <c r="Q200" s="6">
        <v>1.4675000000000016</v>
      </c>
      <c r="R200" s="6">
        <v>0.29350000000000032</v>
      </c>
      <c r="S200" s="6">
        <v>0.14675000000000016</v>
      </c>
      <c r="T200" s="7">
        <f t="shared" si="43"/>
        <v>1.9077500000000021</v>
      </c>
      <c r="U200" s="6" t="e">
        <f>SUMIFS([1]Sheet1!$L:$L,[1]Sheet1!$I:$I,AJ200,[1]Sheet1!$C:$C,A200)</f>
        <v>#VALUE!</v>
      </c>
      <c r="V200" s="6"/>
      <c r="W200" s="6"/>
      <c r="X200" s="7" t="e">
        <f t="shared" si="37"/>
        <v>#VALUE!</v>
      </c>
      <c r="Y200" s="6"/>
      <c r="AJ200" s="5" t="str">
        <f t="shared" si="38"/>
        <v>NM 1065 - Partnership</v>
      </c>
      <c r="AK200" s="5" t="str">
        <f t="shared" si="39"/>
        <v>NM-Tax Services-ANN-1065 - Partnership_Basic</v>
      </c>
      <c r="AL200" s="5" t="str">
        <f t="shared" si="40"/>
        <v>Domestic_1065_45-3483170_NM 1065 - Partnership</v>
      </c>
      <c r="AM200" s="5" t="str">
        <f t="shared" si="41"/>
        <v>Domestic_1065_45-3483170_NM-Tax Services-ANN-1065 - Partnership_Basic</v>
      </c>
    </row>
    <row r="201" spans="1:39" x14ac:dyDescent="0.25">
      <c r="A201" s="2" t="s">
        <v>1053</v>
      </c>
      <c r="B201" s="2" t="s">
        <v>1054</v>
      </c>
      <c r="C201" s="2" t="s">
        <v>1196</v>
      </c>
      <c r="D201" s="8">
        <v>43831</v>
      </c>
      <c r="E201" s="5" t="str">
        <f t="shared" si="42"/>
        <v>Domestic Investment Surveys LLC_01-01-20</v>
      </c>
      <c r="F201" s="2" t="s">
        <v>1200</v>
      </c>
      <c r="G201" s="2" t="s">
        <v>1241</v>
      </c>
      <c r="H201" s="2" t="s">
        <v>1220</v>
      </c>
      <c r="I201" s="2" t="s">
        <v>1223</v>
      </c>
      <c r="J201" s="2" t="s">
        <v>1234</v>
      </c>
      <c r="M201" s="5" t="str">
        <f t="shared" si="33"/>
        <v>Basic</v>
      </c>
      <c r="N201" s="5" t="str">
        <f t="shared" si="34"/>
        <v>Tax-Staff-Basic</v>
      </c>
      <c r="O201" s="5" t="str">
        <f t="shared" si="35"/>
        <v>Tax-Reviewer-Basic</v>
      </c>
      <c r="P201" s="5" t="str">
        <f t="shared" si="36"/>
        <v>Tax-Signer-Basic</v>
      </c>
      <c r="Q201" s="6">
        <v>0.5</v>
      </c>
      <c r="R201" s="6">
        <v>0.1</v>
      </c>
      <c r="S201" s="6">
        <v>0.05</v>
      </c>
      <c r="T201" s="7">
        <f t="shared" si="43"/>
        <v>0.65</v>
      </c>
      <c r="U201" s="6" t="e">
        <f>SUMIFS([1]Sheet1!$L:$L,[1]Sheet1!$I:$I,AJ201,[1]Sheet1!$C:$C,A201)</f>
        <v>#VALUE!</v>
      </c>
      <c r="V201" s="6"/>
      <c r="W201" s="6"/>
      <c r="X201" s="7" t="e">
        <f t="shared" si="37"/>
        <v>#VALUE!</v>
      </c>
      <c r="Y201" s="6"/>
      <c r="AJ201" s="5" t="str">
        <f t="shared" si="38"/>
        <v>NM Texas Franchise Tax Return</v>
      </c>
      <c r="AK201" s="5" t="str">
        <f t="shared" si="39"/>
        <v>NM-Tax Services-ANN-Texas Franchise Tax Return_Basic</v>
      </c>
      <c r="AL201" s="5" t="str">
        <f t="shared" si="40"/>
        <v>Domestic_1065_45-3483170_NM Texas Franchise Tax Return</v>
      </c>
      <c r="AM201" s="5" t="str">
        <f t="shared" si="41"/>
        <v>Domestic_1065_45-3483170_NM-Tax Services-ANN-Texas Franchise Tax Return_Basic</v>
      </c>
    </row>
    <row r="202" spans="1:39" x14ac:dyDescent="0.25">
      <c r="A202" s="2" t="s">
        <v>531</v>
      </c>
      <c r="B202" s="2" t="s">
        <v>532</v>
      </c>
      <c r="C202" s="2" t="s">
        <v>1196</v>
      </c>
      <c r="D202" s="8">
        <v>43831</v>
      </c>
      <c r="E202" s="5" t="str">
        <f t="shared" si="42"/>
        <v>Dong, Tiffany_01-01-20</v>
      </c>
      <c r="F202" s="2" t="s">
        <v>1203</v>
      </c>
      <c r="G202" s="2" t="s">
        <v>1241</v>
      </c>
      <c r="H202" s="2" t="s">
        <v>1220</v>
      </c>
      <c r="I202" s="2" t="s">
        <v>1223</v>
      </c>
      <c r="J202" s="2" t="s">
        <v>1234</v>
      </c>
      <c r="M202" s="5" t="str">
        <f t="shared" si="33"/>
        <v>Basic</v>
      </c>
      <c r="N202" s="5" t="str">
        <f t="shared" si="34"/>
        <v>Tax-Staff-Basic</v>
      </c>
      <c r="O202" s="5" t="str">
        <f t="shared" si="35"/>
        <v>Tax-Reviewer-Basic</v>
      </c>
      <c r="P202" s="5" t="str">
        <f t="shared" si="36"/>
        <v>Tax-Signer-Basic</v>
      </c>
      <c r="Q202" s="6">
        <v>1.4675000000000016</v>
      </c>
      <c r="R202" s="6">
        <v>0.29350000000000032</v>
      </c>
      <c r="S202" s="6">
        <v>0.14675000000000016</v>
      </c>
      <c r="T202" s="7">
        <f t="shared" si="43"/>
        <v>1.9077500000000021</v>
      </c>
      <c r="U202" s="6" t="e">
        <f>SUMIFS([1]Sheet1!$L:$L,[1]Sheet1!$I:$I,AJ202,[1]Sheet1!$C:$C,A202)</f>
        <v>#VALUE!</v>
      </c>
      <c r="V202" s="6"/>
      <c r="W202" s="6"/>
      <c r="X202" s="7" t="e">
        <f t="shared" si="37"/>
        <v>#VALUE!</v>
      </c>
      <c r="Y202" s="6"/>
      <c r="AJ202" s="5" t="str">
        <f t="shared" si="38"/>
        <v>NM 1040 - Personal</v>
      </c>
      <c r="AK202" s="5" t="str">
        <f t="shared" si="39"/>
        <v>NM-Tax Services-ANN-1040 - Personal_Basic</v>
      </c>
      <c r="AL202" s="5" t="str">
        <f t="shared" si="40"/>
        <v>Dong, _4206_NM 1040 - Personal</v>
      </c>
      <c r="AM202" s="5" t="str">
        <f t="shared" si="41"/>
        <v>Dong, _4206_NM-Tax Services-ANN-1040 - Personal_Basic</v>
      </c>
    </row>
    <row r="203" spans="1:39" x14ac:dyDescent="0.25">
      <c r="A203" s="2" t="s">
        <v>529</v>
      </c>
      <c r="B203" s="2" t="s">
        <v>530</v>
      </c>
      <c r="C203" s="2" t="s">
        <v>1196</v>
      </c>
      <c r="D203" s="8">
        <v>43831</v>
      </c>
      <c r="E203" s="5" t="str">
        <f t="shared" si="42"/>
        <v>Dong, Jonathan_01-01-20</v>
      </c>
      <c r="F203" s="2" t="s">
        <v>1203</v>
      </c>
      <c r="G203" s="2" t="s">
        <v>1241</v>
      </c>
      <c r="H203" s="2" t="s">
        <v>1220</v>
      </c>
      <c r="I203" s="2" t="s">
        <v>1223</v>
      </c>
      <c r="J203" s="2" t="s">
        <v>1234</v>
      </c>
      <c r="M203" s="5" t="str">
        <f t="shared" si="33"/>
        <v>Basic</v>
      </c>
      <c r="N203" s="5" t="str">
        <f t="shared" si="34"/>
        <v>Tax-Staff-Basic</v>
      </c>
      <c r="O203" s="5" t="str">
        <f t="shared" si="35"/>
        <v>Tax-Reviewer-Basic</v>
      </c>
      <c r="P203" s="5" t="str">
        <f t="shared" si="36"/>
        <v>Tax-Signer-Basic</v>
      </c>
      <c r="Q203" s="6">
        <v>1.4675000000000016</v>
      </c>
      <c r="R203" s="6">
        <v>0.29350000000000032</v>
      </c>
      <c r="S203" s="6">
        <v>0.14675000000000016</v>
      </c>
      <c r="T203" s="7">
        <f t="shared" si="43"/>
        <v>1.9077500000000021</v>
      </c>
      <c r="U203" s="6" t="e">
        <f>SUMIFS([1]Sheet1!$L:$L,[1]Sheet1!$I:$I,AJ203,[1]Sheet1!$C:$C,A203)</f>
        <v>#VALUE!</v>
      </c>
      <c r="V203" s="6"/>
      <c r="W203" s="6"/>
      <c r="X203" s="7" t="e">
        <f t="shared" si="37"/>
        <v>#VALUE!</v>
      </c>
      <c r="Y203" s="6"/>
      <c r="AJ203" s="5" t="str">
        <f t="shared" si="38"/>
        <v>NM 1040 - Personal</v>
      </c>
      <c r="AK203" s="5" t="str">
        <f t="shared" si="39"/>
        <v>NM-Tax Services-ANN-1040 - Personal_Basic</v>
      </c>
      <c r="AL203" s="5" t="str">
        <f t="shared" si="40"/>
        <v>Dong, _5063_NM 1040 - Personal</v>
      </c>
      <c r="AM203" s="5" t="str">
        <f t="shared" si="41"/>
        <v>Dong, _5063_NM-Tax Services-ANN-1040 - Personal_Basic</v>
      </c>
    </row>
    <row r="204" spans="1:39" x14ac:dyDescent="0.25">
      <c r="A204" s="2" t="s">
        <v>666</v>
      </c>
      <c r="B204" s="2" t="s">
        <v>667</v>
      </c>
      <c r="C204" s="2" t="s">
        <v>1196</v>
      </c>
      <c r="D204" s="8">
        <v>43831</v>
      </c>
      <c r="E204" s="5" t="str">
        <f t="shared" si="42"/>
        <v>Douglas, Danielle_01-01-20</v>
      </c>
      <c r="F204" s="2" t="s">
        <v>1203</v>
      </c>
      <c r="G204" s="2" t="s">
        <v>1241</v>
      </c>
      <c r="H204" s="2" t="s">
        <v>1220</v>
      </c>
      <c r="I204" s="2" t="s">
        <v>1223</v>
      </c>
      <c r="J204" s="2" t="s">
        <v>1234</v>
      </c>
      <c r="M204" s="5" t="str">
        <f t="shared" si="33"/>
        <v>Basic</v>
      </c>
      <c r="N204" s="5" t="str">
        <f t="shared" si="34"/>
        <v>Tax-Staff-Basic</v>
      </c>
      <c r="O204" s="5" t="str">
        <f t="shared" si="35"/>
        <v>Tax-Reviewer-Basic</v>
      </c>
      <c r="P204" s="5" t="str">
        <f t="shared" si="36"/>
        <v>Tax-Signer-Basic</v>
      </c>
      <c r="Q204" s="6">
        <v>1.4675000000000016</v>
      </c>
      <c r="R204" s="6">
        <v>0.29350000000000032</v>
      </c>
      <c r="S204" s="6">
        <v>0.14675000000000016</v>
      </c>
      <c r="T204" s="7">
        <f t="shared" si="43"/>
        <v>1.9077500000000021</v>
      </c>
      <c r="U204" s="6" t="e">
        <f>SUMIFS([1]Sheet1!$L:$L,[1]Sheet1!$I:$I,AJ204,[1]Sheet1!$C:$C,A204)</f>
        <v>#VALUE!</v>
      </c>
      <c r="V204" s="6"/>
      <c r="W204" s="6"/>
      <c r="X204" s="7" t="e">
        <f t="shared" si="37"/>
        <v>#VALUE!</v>
      </c>
      <c r="Y204" s="6"/>
      <c r="AJ204" s="5" t="str">
        <f t="shared" si="38"/>
        <v>NM 1040 - Personal</v>
      </c>
      <c r="AK204" s="5" t="str">
        <f t="shared" si="39"/>
        <v>NM-Tax Services-ANN-1040 - Personal_Basic</v>
      </c>
      <c r="AL204" s="5" t="str">
        <f t="shared" si="40"/>
        <v>Dougla_9722_NM 1040 - Personal</v>
      </c>
      <c r="AM204" s="5" t="str">
        <f t="shared" si="41"/>
        <v>Dougla_9722_NM-Tax Services-ANN-1040 - Personal_Basic</v>
      </c>
    </row>
    <row r="205" spans="1:39" x14ac:dyDescent="0.25">
      <c r="A205" s="2" t="s">
        <v>535</v>
      </c>
      <c r="B205" s="2" t="s">
        <v>536</v>
      </c>
      <c r="C205" s="2" t="s">
        <v>1196</v>
      </c>
      <c r="D205" s="8">
        <v>43831</v>
      </c>
      <c r="E205" s="5" t="str">
        <f t="shared" si="42"/>
        <v>Dunn, Kalinda_01-01-20</v>
      </c>
      <c r="F205" s="2" t="s">
        <v>1203</v>
      </c>
      <c r="G205" s="2" t="s">
        <v>1241</v>
      </c>
      <c r="H205" s="2" t="s">
        <v>1220</v>
      </c>
      <c r="I205" s="2" t="s">
        <v>1223</v>
      </c>
      <c r="J205" s="2" t="s">
        <v>1234</v>
      </c>
      <c r="M205" s="5" t="str">
        <f t="shared" si="33"/>
        <v>Basic</v>
      </c>
      <c r="N205" s="5" t="str">
        <f t="shared" si="34"/>
        <v>Tax-Staff-Basic</v>
      </c>
      <c r="O205" s="5" t="str">
        <f t="shared" si="35"/>
        <v>Tax-Reviewer-Basic</v>
      </c>
      <c r="P205" s="5" t="str">
        <f t="shared" si="36"/>
        <v>Tax-Signer-Basic</v>
      </c>
      <c r="Q205" s="6">
        <v>1.4675000000000016</v>
      </c>
      <c r="R205" s="6">
        <v>0.29350000000000032</v>
      </c>
      <c r="S205" s="6">
        <v>0.14675000000000016</v>
      </c>
      <c r="T205" s="7">
        <f t="shared" si="43"/>
        <v>1.9077500000000021</v>
      </c>
      <c r="U205" s="6" t="e">
        <f>SUMIFS([1]Sheet1!$L:$L,[1]Sheet1!$I:$I,AJ205,[1]Sheet1!$C:$C,A205)</f>
        <v>#VALUE!</v>
      </c>
      <c r="V205" s="6"/>
      <c r="W205" s="6"/>
      <c r="X205" s="7" t="e">
        <f t="shared" si="37"/>
        <v>#VALUE!</v>
      </c>
      <c r="Y205" s="6"/>
      <c r="AJ205" s="5" t="str">
        <f t="shared" si="38"/>
        <v>NM 1040 - Personal</v>
      </c>
      <c r="AK205" s="5" t="str">
        <f t="shared" si="39"/>
        <v>NM-Tax Services-ANN-1040 - Personal_Basic</v>
      </c>
      <c r="AL205" s="5" t="str">
        <f t="shared" si="40"/>
        <v>Dunn, _2360_NM 1040 - Personal</v>
      </c>
      <c r="AM205" s="5" t="str">
        <f t="shared" si="41"/>
        <v>Dunn, _2360_NM-Tax Services-ANN-1040 - Personal_Basic</v>
      </c>
    </row>
    <row r="206" spans="1:39" x14ac:dyDescent="0.25">
      <c r="A206" s="2" t="s">
        <v>533</v>
      </c>
      <c r="B206" s="2" t="s">
        <v>534</v>
      </c>
      <c r="C206" s="2" t="s">
        <v>1196</v>
      </c>
      <c r="D206" s="8">
        <v>43831</v>
      </c>
      <c r="E206" s="5" t="str">
        <f t="shared" si="42"/>
        <v>Dunn, Eric &amp; Desiree_01-01-20</v>
      </c>
      <c r="F206" s="2" t="s">
        <v>1203</v>
      </c>
      <c r="G206" s="2" t="s">
        <v>1241</v>
      </c>
      <c r="H206" s="2" t="s">
        <v>1220</v>
      </c>
      <c r="I206" s="2" t="s">
        <v>1223</v>
      </c>
      <c r="J206" s="2" t="s">
        <v>1234</v>
      </c>
      <c r="M206" s="5" t="str">
        <f t="shared" si="33"/>
        <v>Basic</v>
      </c>
      <c r="N206" s="5" t="str">
        <f t="shared" si="34"/>
        <v>Tax-Staff-Basic</v>
      </c>
      <c r="O206" s="5" t="str">
        <f t="shared" si="35"/>
        <v>Tax-Reviewer-Basic</v>
      </c>
      <c r="P206" s="5" t="str">
        <f t="shared" si="36"/>
        <v>Tax-Signer-Basic</v>
      </c>
      <c r="Q206" s="6">
        <v>1.4675000000000016</v>
      </c>
      <c r="R206" s="6">
        <v>0.29350000000000032</v>
      </c>
      <c r="S206" s="6">
        <v>0.14675000000000016</v>
      </c>
      <c r="T206" s="7">
        <f t="shared" si="43"/>
        <v>1.9077500000000021</v>
      </c>
      <c r="U206" s="6" t="e">
        <f>SUMIFS([1]Sheet1!$L:$L,[1]Sheet1!$I:$I,AJ206,[1]Sheet1!$C:$C,A206)</f>
        <v>#VALUE!</v>
      </c>
      <c r="V206" s="6"/>
      <c r="W206" s="6"/>
      <c r="X206" s="7" t="e">
        <f t="shared" si="37"/>
        <v>#VALUE!</v>
      </c>
      <c r="Y206" s="6"/>
      <c r="AJ206" s="5" t="str">
        <f t="shared" si="38"/>
        <v>NM 1040 - Personal</v>
      </c>
      <c r="AK206" s="5" t="str">
        <f t="shared" si="39"/>
        <v>NM-Tax Services-ANN-1040 - Personal_Basic</v>
      </c>
      <c r="AL206" s="5" t="str">
        <f t="shared" si="40"/>
        <v>Dunn, _7084_NM 1040 - Personal</v>
      </c>
      <c r="AM206" s="5" t="str">
        <f t="shared" si="41"/>
        <v>Dunn, _7084_NM-Tax Services-ANN-1040 - Personal_Basic</v>
      </c>
    </row>
    <row r="207" spans="1:39" x14ac:dyDescent="0.25">
      <c r="A207" s="2" t="s">
        <v>537</v>
      </c>
      <c r="B207" s="2" t="s">
        <v>538</v>
      </c>
      <c r="C207" s="2" t="s">
        <v>1196</v>
      </c>
      <c r="D207" s="8">
        <v>43831</v>
      </c>
      <c r="E207" s="5" t="str">
        <f t="shared" si="42"/>
        <v>Dutton Donald_01-01-20</v>
      </c>
      <c r="F207" s="2" t="s">
        <v>1203</v>
      </c>
      <c r="G207" s="2" t="s">
        <v>1241</v>
      </c>
      <c r="H207" s="2" t="s">
        <v>1220</v>
      </c>
      <c r="I207" s="2" t="s">
        <v>1221</v>
      </c>
      <c r="J207" s="2" t="s">
        <v>1234</v>
      </c>
      <c r="M207" s="5" t="str">
        <f t="shared" si="33"/>
        <v>Mid</v>
      </c>
      <c r="N207" s="5" t="str">
        <f t="shared" si="34"/>
        <v>Tax-Staff-Mid</v>
      </c>
      <c r="O207" s="5" t="str">
        <f t="shared" si="35"/>
        <v>Tax-Reviewer-Mid</v>
      </c>
      <c r="P207" s="5" t="str">
        <f t="shared" si="36"/>
        <v>Tax-Signer-Mid</v>
      </c>
      <c r="Q207" s="6">
        <v>2.7401969696969677</v>
      </c>
      <c r="R207" s="6">
        <v>0.5480393939393936</v>
      </c>
      <c r="S207" s="6">
        <v>0.2740196969696968</v>
      </c>
      <c r="T207" s="7">
        <f t="shared" si="43"/>
        <v>3.562256060606058</v>
      </c>
      <c r="U207" s="6" t="e">
        <f>SUMIFS([1]Sheet1!$L:$L,[1]Sheet1!$I:$I,AJ207,[1]Sheet1!$C:$C,A207)</f>
        <v>#VALUE!</v>
      </c>
      <c r="V207" s="6"/>
      <c r="W207" s="6"/>
      <c r="X207" s="7" t="e">
        <f t="shared" si="37"/>
        <v>#VALUE!</v>
      </c>
      <c r="Y207" s="6"/>
      <c r="AJ207" s="5" t="str">
        <f t="shared" si="38"/>
        <v>NM 1040 - Personal</v>
      </c>
      <c r="AK207" s="5" t="str">
        <f t="shared" si="39"/>
        <v>NM-Tax Services-ANN-1040 - Personal_Mid</v>
      </c>
      <c r="AL207" s="5" t="str">
        <f t="shared" si="40"/>
        <v>Dutton_1434_NM 1040 - Personal</v>
      </c>
      <c r="AM207" s="5" t="str">
        <f t="shared" si="41"/>
        <v>Dutton_1434_NM-Tax Services-ANN-1040 - Personal_Mid</v>
      </c>
    </row>
    <row r="208" spans="1:39" x14ac:dyDescent="0.25">
      <c r="A208" s="2" t="s">
        <v>992</v>
      </c>
      <c r="B208" s="2" t="s">
        <v>993</v>
      </c>
      <c r="C208" s="2" t="s">
        <v>1196</v>
      </c>
      <c r="D208" s="8">
        <v>43831</v>
      </c>
      <c r="E208" s="5" t="str">
        <f t="shared" si="42"/>
        <v>DYC Commercial Services, LLC_01-01-20</v>
      </c>
      <c r="F208" s="2" t="s">
        <v>1200</v>
      </c>
      <c r="G208" s="2" t="s">
        <v>1241</v>
      </c>
      <c r="H208" s="2" t="s">
        <v>1220</v>
      </c>
      <c r="I208" s="2" t="s">
        <v>1223</v>
      </c>
      <c r="J208" s="2" t="s">
        <v>1234</v>
      </c>
      <c r="M208" s="5" t="str">
        <f t="shared" si="33"/>
        <v>Basic</v>
      </c>
      <c r="N208" s="5" t="str">
        <f t="shared" si="34"/>
        <v>Tax-Staff-Basic</v>
      </c>
      <c r="O208" s="5" t="str">
        <f t="shared" si="35"/>
        <v>Tax-Reviewer-Basic</v>
      </c>
      <c r="P208" s="5" t="str">
        <f t="shared" si="36"/>
        <v>Tax-Signer-Basic</v>
      </c>
      <c r="Q208" s="6">
        <v>0.5</v>
      </c>
      <c r="R208" s="6">
        <v>0.1</v>
      </c>
      <c r="S208" s="6">
        <v>0.05</v>
      </c>
      <c r="T208" s="7">
        <f t="shared" si="43"/>
        <v>0.65</v>
      </c>
      <c r="U208" s="6" t="e">
        <f>SUMIFS([1]Sheet1!$L:$L,[1]Sheet1!$I:$I,AJ208,[1]Sheet1!$C:$C,A208)</f>
        <v>#VALUE!</v>
      </c>
      <c r="V208" s="6"/>
      <c r="W208" s="6"/>
      <c r="X208" s="7" t="e">
        <f t="shared" si="37"/>
        <v>#VALUE!</v>
      </c>
      <c r="Y208" s="6"/>
      <c r="AJ208" s="5" t="str">
        <f t="shared" si="38"/>
        <v>NM Texas Franchise Tax Return</v>
      </c>
      <c r="AK208" s="5" t="str">
        <f t="shared" si="39"/>
        <v>NM-Tax Services-ANN-Texas Franchise Tax Return_Basic</v>
      </c>
      <c r="AL208" s="5" t="str">
        <f t="shared" si="40"/>
        <v>DYC Comm_TX-FTR_1_NM Texas Franchise Tax Return</v>
      </c>
      <c r="AM208" s="5" t="str">
        <f t="shared" si="41"/>
        <v>DYC Comm_TX-FTR_1_NM-Tax Services-ANN-Texas Franchise Tax Return_Basic</v>
      </c>
    </row>
    <row r="209" spans="1:39" x14ac:dyDescent="0.25">
      <c r="A209" s="2" t="s">
        <v>539</v>
      </c>
      <c r="B209" s="2" t="s">
        <v>540</v>
      </c>
      <c r="C209" s="2" t="s">
        <v>1196</v>
      </c>
      <c r="D209" s="8">
        <v>43831</v>
      </c>
      <c r="E209" s="5" t="str">
        <f t="shared" si="42"/>
        <v>Edmondson, Kenneth S &amp; Judith_01-01-20</v>
      </c>
      <c r="F209" s="2" t="s">
        <v>1203</v>
      </c>
      <c r="G209" s="2" t="s">
        <v>1241</v>
      </c>
      <c r="H209" s="2" t="s">
        <v>1220</v>
      </c>
      <c r="I209" s="2" t="s">
        <v>1223</v>
      </c>
      <c r="J209" s="2" t="s">
        <v>1234</v>
      </c>
      <c r="M209" s="5" t="str">
        <f t="shared" si="33"/>
        <v>Basic</v>
      </c>
      <c r="N209" s="5" t="str">
        <f t="shared" si="34"/>
        <v>Tax-Staff-Basic</v>
      </c>
      <c r="O209" s="5" t="str">
        <f t="shared" si="35"/>
        <v>Tax-Reviewer-Basic</v>
      </c>
      <c r="P209" s="5" t="str">
        <f t="shared" si="36"/>
        <v>Tax-Signer-Basic</v>
      </c>
      <c r="Q209" s="6">
        <v>1.4675000000000016</v>
      </c>
      <c r="R209" s="6">
        <v>0.29350000000000032</v>
      </c>
      <c r="S209" s="6">
        <v>0.14675000000000016</v>
      </c>
      <c r="T209" s="7">
        <f t="shared" si="43"/>
        <v>1.9077500000000021</v>
      </c>
      <c r="U209" s="6" t="e">
        <f>SUMIFS([1]Sheet1!$L:$L,[1]Sheet1!$I:$I,AJ209,[1]Sheet1!$C:$C,A209)</f>
        <v>#VALUE!</v>
      </c>
      <c r="V209" s="6"/>
      <c r="W209" s="6"/>
      <c r="X209" s="7" t="e">
        <f t="shared" si="37"/>
        <v>#VALUE!</v>
      </c>
      <c r="Y209" s="6"/>
      <c r="AJ209" s="5" t="str">
        <f t="shared" si="38"/>
        <v>NM 1040 - Personal</v>
      </c>
      <c r="AK209" s="5" t="str">
        <f t="shared" si="39"/>
        <v>NM-Tax Services-ANN-1040 - Personal_Basic</v>
      </c>
      <c r="AL209" s="5" t="str">
        <f t="shared" si="40"/>
        <v>Edmond_1824_NM 1040 - Personal</v>
      </c>
      <c r="AM209" s="5" t="str">
        <f t="shared" si="41"/>
        <v>Edmond_1824_NM-Tax Services-ANN-1040 - Personal_Basic</v>
      </c>
    </row>
    <row r="210" spans="1:39" x14ac:dyDescent="0.25">
      <c r="A210" s="2" t="s">
        <v>930</v>
      </c>
      <c r="B210" s="2" t="s">
        <v>931</v>
      </c>
      <c r="C210" s="2" t="s">
        <v>1196</v>
      </c>
      <c r="D210" s="8">
        <v>43831</v>
      </c>
      <c r="E210" s="5" t="str">
        <f t="shared" si="42"/>
        <v>Eisel, Brian_01-01-20</v>
      </c>
      <c r="F210" s="2" t="s">
        <v>1203</v>
      </c>
      <c r="G210" s="2" t="s">
        <v>1241</v>
      </c>
      <c r="H210" s="2" t="s">
        <v>1220</v>
      </c>
      <c r="I210" s="2" t="s">
        <v>1223</v>
      </c>
      <c r="J210" s="2" t="s">
        <v>1234</v>
      </c>
      <c r="M210" s="5" t="str">
        <f t="shared" si="33"/>
        <v>Basic</v>
      </c>
      <c r="N210" s="5" t="str">
        <f t="shared" si="34"/>
        <v>Tax-Staff-Basic</v>
      </c>
      <c r="O210" s="5" t="str">
        <f t="shared" si="35"/>
        <v>Tax-Reviewer-Basic</v>
      </c>
      <c r="P210" s="5" t="str">
        <f t="shared" si="36"/>
        <v>Tax-Signer-Basic</v>
      </c>
      <c r="Q210" s="6">
        <v>1.4675000000000016</v>
      </c>
      <c r="R210" s="6">
        <v>0.29350000000000032</v>
      </c>
      <c r="S210" s="6">
        <v>0.14675000000000016</v>
      </c>
      <c r="T210" s="7">
        <f t="shared" si="43"/>
        <v>1.9077500000000021</v>
      </c>
      <c r="U210" s="6" t="e">
        <f>SUMIFS([1]Sheet1!$L:$L,[1]Sheet1!$I:$I,AJ210,[1]Sheet1!$C:$C,A210)</f>
        <v>#VALUE!</v>
      </c>
      <c r="V210" s="6"/>
      <c r="W210" s="6"/>
      <c r="X210" s="7" t="e">
        <f t="shared" si="37"/>
        <v>#VALUE!</v>
      </c>
      <c r="Y210" s="6"/>
      <c r="AJ210" s="5" t="str">
        <f t="shared" si="38"/>
        <v>NM 1040 - Personal</v>
      </c>
      <c r="AK210" s="5" t="str">
        <f t="shared" si="39"/>
        <v>NM-Tax Services-ANN-1040 - Personal_Basic</v>
      </c>
      <c r="AL210" s="5" t="str">
        <f t="shared" si="40"/>
        <v>Eisel,_8581_NM 1040 - Personal</v>
      </c>
      <c r="AM210" s="5" t="str">
        <f t="shared" si="41"/>
        <v>Eisel,_8581_NM-Tax Services-ANN-1040 - Personal_Basic</v>
      </c>
    </row>
    <row r="211" spans="1:39" x14ac:dyDescent="0.25">
      <c r="A211" s="2" t="s">
        <v>251</v>
      </c>
      <c r="B211" s="2" t="s">
        <v>252</v>
      </c>
      <c r="C211" s="2" t="s">
        <v>1196</v>
      </c>
      <c r="D211" s="8">
        <v>43831</v>
      </c>
      <c r="E211" s="5" t="str">
        <f t="shared" si="42"/>
        <v>Elho Design LLC_01-01-20</v>
      </c>
      <c r="F211" s="2" t="s">
        <v>1204</v>
      </c>
      <c r="G211" s="2" t="s">
        <v>1241</v>
      </c>
      <c r="H211" s="2" t="s">
        <v>1220</v>
      </c>
      <c r="I211" s="2" t="s">
        <v>1221</v>
      </c>
      <c r="J211" s="2" t="s">
        <v>1234</v>
      </c>
      <c r="M211" s="5" t="str">
        <f t="shared" si="33"/>
        <v>Mid</v>
      </c>
      <c r="N211" s="5" t="str">
        <f t="shared" si="34"/>
        <v>Tax-Staff-Mid</v>
      </c>
      <c r="O211" s="5" t="str">
        <f t="shared" si="35"/>
        <v>Tax-Reviewer-Mid</v>
      </c>
      <c r="P211" s="5" t="str">
        <f t="shared" si="36"/>
        <v>Tax-Signer-Mid</v>
      </c>
      <c r="Q211" s="6">
        <v>2.7401969696969677</v>
      </c>
      <c r="R211" s="6">
        <v>0.5480393939393936</v>
      </c>
      <c r="S211" s="6">
        <v>0.2740196969696968</v>
      </c>
      <c r="T211" s="7">
        <f t="shared" si="43"/>
        <v>3.562256060606058</v>
      </c>
      <c r="U211" s="6" t="e">
        <f>SUMIFS([1]Sheet1!$L:$L,[1]Sheet1!$I:$I,AJ211,[1]Sheet1!$C:$C,A211)</f>
        <v>#VALUE!</v>
      </c>
      <c r="V211" s="6"/>
      <c r="W211" s="6"/>
      <c r="X211" s="7" t="e">
        <f t="shared" si="37"/>
        <v>#VALUE!</v>
      </c>
      <c r="Y211" s="6"/>
      <c r="AJ211" s="5" t="str">
        <f t="shared" si="38"/>
        <v>NM 1120S - S Corporation</v>
      </c>
      <c r="AK211" s="5" t="str">
        <f t="shared" si="39"/>
        <v>NM-Tax Services-ANN-1120S - S Corporation_Mid</v>
      </c>
      <c r="AL211" s="5" t="str">
        <f t="shared" si="40"/>
        <v>Elho Des_1120S_45-3802350_NM 1120S - S Corporation</v>
      </c>
      <c r="AM211" s="5" t="str">
        <f t="shared" si="41"/>
        <v>Elho Des_1120S_45-3802350_NM-Tax Services-ANN-1120S - S Corporation_Mid</v>
      </c>
    </row>
    <row r="212" spans="1:39" x14ac:dyDescent="0.25">
      <c r="A212" s="2" t="s">
        <v>541</v>
      </c>
      <c r="B212" s="2" t="s">
        <v>542</v>
      </c>
      <c r="C212" s="2" t="s">
        <v>1196</v>
      </c>
      <c r="D212" s="8">
        <v>43831</v>
      </c>
      <c r="E212" s="5" t="str">
        <f t="shared" si="42"/>
        <v>Elkind, Stephen_01-01-20</v>
      </c>
      <c r="F212" s="2" t="s">
        <v>1203</v>
      </c>
      <c r="G212" s="2" t="s">
        <v>1241</v>
      </c>
      <c r="H212" s="2" t="s">
        <v>1220</v>
      </c>
      <c r="I212" s="2" t="s">
        <v>1223</v>
      </c>
      <c r="J212" s="2" t="s">
        <v>1234</v>
      </c>
      <c r="M212" s="5" t="str">
        <f t="shared" si="33"/>
        <v>Basic</v>
      </c>
      <c r="N212" s="5" t="str">
        <f t="shared" si="34"/>
        <v>Tax-Staff-Basic</v>
      </c>
      <c r="O212" s="5" t="str">
        <f t="shared" si="35"/>
        <v>Tax-Reviewer-Basic</v>
      </c>
      <c r="P212" s="5" t="str">
        <f t="shared" si="36"/>
        <v>Tax-Signer-Basic</v>
      </c>
      <c r="Q212" s="6">
        <v>1.4675000000000016</v>
      </c>
      <c r="R212" s="6">
        <v>0.29350000000000032</v>
      </c>
      <c r="S212" s="6">
        <v>0.14675000000000016</v>
      </c>
      <c r="T212" s="7">
        <f t="shared" si="43"/>
        <v>1.9077500000000021</v>
      </c>
      <c r="U212" s="6" t="e">
        <f>SUMIFS([1]Sheet1!$L:$L,[1]Sheet1!$I:$I,AJ212,[1]Sheet1!$C:$C,A212)</f>
        <v>#VALUE!</v>
      </c>
      <c r="V212" s="6"/>
      <c r="W212" s="6"/>
      <c r="X212" s="7" t="e">
        <f t="shared" si="37"/>
        <v>#VALUE!</v>
      </c>
      <c r="Y212" s="6"/>
      <c r="AJ212" s="5" t="str">
        <f t="shared" si="38"/>
        <v>NM 1040 - Personal</v>
      </c>
      <c r="AK212" s="5" t="str">
        <f t="shared" si="39"/>
        <v>NM-Tax Services-ANN-1040 - Personal_Basic</v>
      </c>
      <c r="AL212" s="5" t="str">
        <f t="shared" si="40"/>
        <v>Elkind_5028_NM 1040 - Personal</v>
      </c>
      <c r="AM212" s="5" t="str">
        <f t="shared" si="41"/>
        <v>Elkind_5028_NM-Tax Services-ANN-1040 - Personal_Basic</v>
      </c>
    </row>
    <row r="213" spans="1:39" x14ac:dyDescent="0.25">
      <c r="A213" s="2" t="s">
        <v>543</v>
      </c>
      <c r="B213" s="2" t="s">
        <v>544</v>
      </c>
      <c r="C213" s="2" t="s">
        <v>1196</v>
      </c>
      <c r="D213" s="8">
        <v>43831</v>
      </c>
      <c r="E213" s="5" t="str">
        <f t="shared" si="42"/>
        <v>Elliot, Rebecca Elgin_01-01-20</v>
      </c>
      <c r="F213" s="2" t="s">
        <v>1203</v>
      </c>
      <c r="G213" s="2" t="s">
        <v>1241</v>
      </c>
      <c r="H213" s="2" t="s">
        <v>1220</v>
      </c>
      <c r="I213" s="2" t="s">
        <v>1223</v>
      </c>
      <c r="J213" s="2" t="s">
        <v>1234</v>
      </c>
      <c r="M213" s="5" t="str">
        <f t="shared" si="33"/>
        <v>Basic</v>
      </c>
      <c r="N213" s="5" t="str">
        <f t="shared" si="34"/>
        <v>Tax-Staff-Basic</v>
      </c>
      <c r="O213" s="5" t="str">
        <f t="shared" si="35"/>
        <v>Tax-Reviewer-Basic</v>
      </c>
      <c r="P213" s="5" t="str">
        <f t="shared" si="36"/>
        <v>Tax-Signer-Basic</v>
      </c>
      <c r="Q213" s="6">
        <v>1.4675000000000016</v>
      </c>
      <c r="R213" s="6">
        <v>0.29350000000000032</v>
      </c>
      <c r="S213" s="6">
        <v>0.14675000000000016</v>
      </c>
      <c r="T213" s="7">
        <f t="shared" si="43"/>
        <v>1.9077500000000021</v>
      </c>
      <c r="U213" s="6" t="e">
        <f>SUMIFS([1]Sheet1!$L:$L,[1]Sheet1!$I:$I,AJ213,[1]Sheet1!$C:$C,A213)</f>
        <v>#VALUE!</v>
      </c>
      <c r="V213" s="6"/>
      <c r="W213" s="6"/>
      <c r="X213" s="7" t="e">
        <f t="shared" si="37"/>
        <v>#VALUE!</v>
      </c>
      <c r="Y213" s="6"/>
      <c r="AJ213" s="5" t="str">
        <f t="shared" si="38"/>
        <v>NM 1040 - Personal</v>
      </c>
      <c r="AK213" s="5" t="str">
        <f t="shared" si="39"/>
        <v>NM-Tax Services-ANN-1040 - Personal_Basic</v>
      </c>
      <c r="AL213" s="5" t="str">
        <f t="shared" si="40"/>
        <v>Elliot_6388_NM 1040 - Personal</v>
      </c>
      <c r="AM213" s="5" t="str">
        <f t="shared" si="41"/>
        <v>Elliot_6388_NM-Tax Services-ANN-1040 - Personal_Basic</v>
      </c>
    </row>
    <row r="214" spans="1:39" x14ac:dyDescent="0.25">
      <c r="A214" s="2" t="s">
        <v>51</v>
      </c>
      <c r="B214" s="2" t="s">
        <v>52</v>
      </c>
      <c r="C214" s="2" t="s">
        <v>1197</v>
      </c>
      <c r="D214" s="8">
        <v>43831</v>
      </c>
      <c r="E214" s="5" t="str">
        <f t="shared" si="42"/>
        <v>EPE Innovations LLC_01-01-20</v>
      </c>
      <c r="F214" s="2" t="s">
        <v>1204</v>
      </c>
      <c r="G214" s="2" t="s">
        <v>1241</v>
      </c>
      <c r="H214" s="2" t="s">
        <v>1220</v>
      </c>
      <c r="I214" s="2" t="s">
        <v>1222</v>
      </c>
      <c r="J214" s="2" t="s">
        <v>1234</v>
      </c>
      <c r="M214" s="5" t="str">
        <f t="shared" si="33"/>
        <v>Adv</v>
      </c>
      <c r="N214" s="5" t="str">
        <f t="shared" si="34"/>
        <v>Tax-Staff-Adv</v>
      </c>
      <c r="O214" s="5" t="str">
        <f t="shared" si="35"/>
        <v>Tax-Reviewer-Adv</v>
      </c>
      <c r="P214" s="5" t="str">
        <f t="shared" si="36"/>
        <v>Tax-Signer-Adv</v>
      </c>
      <c r="Q214" s="6">
        <v>4.5832500000000005</v>
      </c>
      <c r="R214" s="6">
        <v>0.91665000000000019</v>
      </c>
      <c r="S214" s="6">
        <v>0.45832500000000009</v>
      </c>
      <c r="T214" s="7">
        <f t="shared" si="43"/>
        <v>5.9582250000000005</v>
      </c>
      <c r="U214" s="6" t="e">
        <f>SUMIFS([1]Sheet1!$L:$L,[1]Sheet1!$I:$I,AJ214,[1]Sheet1!$C:$C,A214)</f>
        <v>#VALUE!</v>
      </c>
      <c r="V214" s="6"/>
      <c r="W214" s="6"/>
      <c r="X214" s="7" t="e">
        <f t="shared" si="37"/>
        <v>#VALUE!</v>
      </c>
      <c r="Y214" s="6"/>
      <c r="AJ214" s="5" t="str">
        <f t="shared" si="38"/>
        <v>MO 1120S - S Corporation</v>
      </c>
      <c r="AK214" s="5" t="str">
        <f t="shared" si="39"/>
        <v>MO-Tax Services-ANN-1120S - S Corporation_Adv</v>
      </c>
      <c r="AL214" s="5" t="str">
        <f t="shared" si="40"/>
        <v>EPE Inno_1120S_46-5139552_MO 1120S - S Corporation</v>
      </c>
      <c r="AM214" s="5" t="str">
        <f t="shared" si="41"/>
        <v>EPE Inno_1120S_46-5139552_MO-Tax Services-ANN-1120S - S Corporation_Adv</v>
      </c>
    </row>
    <row r="215" spans="1:39" x14ac:dyDescent="0.25">
      <c r="A215" s="2" t="s">
        <v>51</v>
      </c>
      <c r="B215" s="2" t="s">
        <v>52</v>
      </c>
      <c r="C215" s="2" t="s">
        <v>1197</v>
      </c>
      <c r="D215" s="8">
        <v>43831</v>
      </c>
      <c r="E215" s="5" t="str">
        <f t="shared" si="42"/>
        <v>EPE Innovations LLC_01-01-20</v>
      </c>
      <c r="F215" s="2" t="s">
        <v>1201</v>
      </c>
      <c r="G215" s="2" t="s">
        <v>1201</v>
      </c>
      <c r="H215" s="2" t="s">
        <v>1197</v>
      </c>
      <c r="I215" s="2" t="s">
        <v>1223</v>
      </c>
      <c r="J215" s="2" t="s">
        <v>1235</v>
      </c>
      <c r="M215" s="5" t="str">
        <f t="shared" si="33"/>
        <v>Basic</v>
      </c>
      <c r="N215" s="5" t="str">
        <f t="shared" si="34"/>
        <v>Accountant-Staff-Basic</v>
      </c>
      <c r="O215" s="5" t="str">
        <f t="shared" si="35"/>
        <v>Accountant-Reviewer-Basic</v>
      </c>
      <c r="P215" s="5" t="str">
        <f t="shared" si="36"/>
        <v>Accountant-Signer-Basic</v>
      </c>
      <c r="Q215" s="6">
        <v>1.47</v>
      </c>
      <c r="R215" s="6">
        <v>0.29399999999999998</v>
      </c>
      <c r="S215" s="6">
        <v>0.14699999999999999</v>
      </c>
      <c r="T215" s="7">
        <f t="shared" si="43"/>
        <v>1.911</v>
      </c>
      <c r="U215" s="6" t="e">
        <f>SUMIFS([1]Sheet1!$L:$L,[1]Sheet1!$I:$I,AJ215,[1]Sheet1!$C:$C,A215)</f>
        <v>#VALUE!</v>
      </c>
      <c r="V215" s="6"/>
      <c r="W215" s="6"/>
      <c r="X215" s="7" t="e">
        <f t="shared" si="37"/>
        <v>#VALUE!</v>
      </c>
      <c r="Y215" s="6"/>
      <c r="AJ215" s="5" t="str">
        <f t="shared" si="38"/>
        <v>MO Accounting Services</v>
      </c>
      <c r="AK215" s="5" t="str">
        <f t="shared" si="39"/>
        <v>MO-Accounting Services-MO-Accounting Services_Basic</v>
      </c>
      <c r="AL215" s="5" t="str">
        <f t="shared" si="40"/>
        <v>EPE Inno_1120S_46-5139552_MO Accounting Services</v>
      </c>
      <c r="AM215" s="5" t="str">
        <f t="shared" si="41"/>
        <v>EPE Inno_1120S_46-5139552_MO-Accounting Services-MO-Accounting Services_Basic</v>
      </c>
    </row>
    <row r="216" spans="1:39" x14ac:dyDescent="0.25">
      <c r="A216" s="2" t="s">
        <v>51</v>
      </c>
      <c r="B216" s="2" t="s">
        <v>52</v>
      </c>
      <c r="C216" s="2" t="s">
        <v>1197</v>
      </c>
      <c r="D216" s="8">
        <v>43831</v>
      </c>
      <c r="E216" s="5" t="str">
        <f t="shared" si="42"/>
        <v>EPE Innovations LLC_01-01-20</v>
      </c>
      <c r="F216" s="2" t="s">
        <v>1205</v>
      </c>
      <c r="G216" s="2" t="s">
        <v>1201</v>
      </c>
      <c r="H216" s="2" t="s">
        <v>1224</v>
      </c>
      <c r="I216" s="2" t="s">
        <v>1223</v>
      </c>
      <c r="J216" s="2" t="s">
        <v>1235</v>
      </c>
      <c r="M216" s="5" t="str">
        <f t="shared" si="33"/>
        <v>Basic</v>
      </c>
      <c r="N216" s="5" t="str">
        <f t="shared" si="34"/>
        <v>Accountant-Staff-Basic</v>
      </c>
      <c r="O216" s="5" t="str">
        <f t="shared" si="35"/>
        <v>Accountant-Reviewer-Basic</v>
      </c>
      <c r="P216" s="5" t="str">
        <f t="shared" si="36"/>
        <v>Accountant-Signer-Basic</v>
      </c>
      <c r="Q216" s="6">
        <v>0.5</v>
      </c>
      <c r="R216" s="6">
        <v>0.1</v>
      </c>
      <c r="S216" s="6">
        <v>0.05</v>
      </c>
      <c r="T216" s="7">
        <f t="shared" si="43"/>
        <v>0.65</v>
      </c>
      <c r="U216" s="6" t="e">
        <f>SUMIFS([1]Sheet1!$L:$L,[1]Sheet1!$I:$I,AJ216,[1]Sheet1!$C:$C,A216)</f>
        <v>#VALUE!</v>
      </c>
      <c r="V216" s="6"/>
      <c r="W216" s="6"/>
      <c r="X216" s="7" t="e">
        <f t="shared" si="37"/>
        <v>#VALUE!</v>
      </c>
      <c r="Y216" s="6"/>
      <c r="AJ216" s="5" t="str">
        <f t="shared" si="38"/>
        <v>MO Payroll Services</v>
      </c>
      <c r="AK216" s="5" t="str">
        <f t="shared" si="39"/>
        <v>MO-Accounting Services-QTR-Payroll Services_Basic</v>
      </c>
      <c r="AL216" s="5" t="str">
        <f t="shared" si="40"/>
        <v>EPE Inno_1120S_46-5139552_MO Payroll Services</v>
      </c>
      <c r="AM216" s="5" t="str">
        <f t="shared" si="41"/>
        <v>EPE Inno_1120S_46-5139552_MO-Accounting Services-QTR-Payroll Services_Basic</v>
      </c>
    </row>
    <row r="217" spans="1:39" x14ac:dyDescent="0.25">
      <c r="A217" s="2" t="s">
        <v>253</v>
      </c>
      <c r="B217" s="2" t="s">
        <v>254</v>
      </c>
      <c r="C217" s="2" t="s">
        <v>1196</v>
      </c>
      <c r="D217" s="8">
        <v>43831</v>
      </c>
      <c r="E217" s="5" t="str">
        <f t="shared" si="42"/>
        <v>ER Contract Services, LLC_01-01-20</v>
      </c>
      <c r="F217" s="2" t="s">
        <v>1204</v>
      </c>
      <c r="G217" s="2" t="s">
        <v>1241</v>
      </c>
      <c r="H217" s="2" t="s">
        <v>1220</v>
      </c>
      <c r="I217" s="2" t="s">
        <v>1221</v>
      </c>
      <c r="J217" s="2" t="s">
        <v>1234</v>
      </c>
      <c r="M217" s="5" t="str">
        <f t="shared" si="33"/>
        <v>Mid</v>
      </c>
      <c r="N217" s="5" t="str">
        <f t="shared" si="34"/>
        <v>Tax-Staff-Mid</v>
      </c>
      <c r="O217" s="5" t="str">
        <f t="shared" si="35"/>
        <v>Tax-Reviewer-Mid</v>
      </c>
      <c r="P217" s="5" t="str">
        <f t="shared" si="36"/>
        <v>Tax-Signer-Mid</v>
      </c>
      <c r="Q217" s="6">
        <v>2.7401969696969677</v>
      </c>
      <c r="R217" s="6">
        <v>0.5480393939393936</v>
      </c>
      <c r="S217" s="6">
        <v>0.2740196969696968</v>
      </c>
      <c r="T217" s="7">
        <f t="shared" si="43"/>
        <v>3.562256060606058</v>
      </c>
      <c r="U217" s="6" t="e">
        <f>SUMIFS([1]Sheet1!$L:$L,[1]Sheet1!$I:$I,AJ217,[1]Sheet1!$C:$C,A217)</f>
        <v>#VALUE!</v>
      </c>
      <c r="V217" s="6"/>
      <c r="W217" s="6"/>
      <c r="X217" s="7" t="e">
        <f t="shared" si="37"/>
        <v>#VALUE!</v>
      </c>
      <c r="Y217" s="6"/>
      <c r="AJ217" s="5" t="str">
        <f t="shared" si="38"/>
        <v>NM 1120S - S Corporation</v>
      </c>
      <c r="AK217" s="5" t="str">
        <f t="shared" si="39"/>
        <v>NM-Tax Services-ANN-1120S - S Corporation_Mid</v>
      </c>
      <c r="AL217" s="5" t="str">
        <f t="shared" si="40"/>
        <v>ER Contr_1120S_46-1662149_NM 1120S - S Corporation</v>
      </c>
      <c r="AM217" s="5" t="str">
        <f t="shared" si="41"/>
        <v>ER Contr_1120S_46-1662149_NM-Tax Services-ANN-1120S - S Corporation_Mid</v>
      </c>
    </row>
    <row r="218" spans="1:39" x14ac:dyDescent="0.25">
      <c r="A218" s="2" t="s">
        <v>253</v>
      </c>
      <c r="B218" s="2" t="s">
        <v>254</v>
      </c>
      <c r="C218" s="2" t="s">
        <v>1196</v>
      </c>
      <c r="D218" s="8">
        <v>43831</v>
      </c>
      <c r="E218" s="5" t="str">
        <f t="shared" si="42"/>
        <v>ER Contract Services, LLC_01-01-20</v>
      </c>
      <c r="F218" s="2" t="s">
        <v>1200</v>
      </c>
      <c r="G218" s="2" t="s">
        <v>1241</v>
      </c>
      <c r="H218" s="2" t="s">
        <v>1220</v>
      </c>
      <c r="I218" s="2" t="s">
        <v>1223</v>
      </c>
      <c r="J218" s="2" t="s">
        <v>1234</v>
      </c>
      <c r="M218" s="5" t="str">
        <f t="shared" si="33"/>
        <v>Basic</v>
      </c>
      <c r="N218" s="5" t="str">
        <f t="shared" si="34"/>
        <v>Tax-Staff-Basic</v>
      </c>
      <c r="O218" s="5" t="str">
        <f t="shared" si="35"/>
        <v>Tax-Reviewer-Basic</v>
      </c>
      <c r="P218" s="5" t="str">
        <f t="shared" si="36"/>
        <v>Tax-Signer-Basic</v>
      </c>
      <c r="Q218" s="6">
        <v>0.5</v>
      </c>
      <c r="R218" s="6">
        <v>0.1</v>
      </c>
      <c r="S218" s="6">
        <v>0.05</v>
      </c>
      <c r="T218" s="7">
        <f t="shared" si="43"/>
        <v>0.65</v>
      </c>
      <c r="U218" s="6" t="e">
        <f>SUMIFS([1]Sheet1!$L:$L,[1]Sheet1!$I:$I,AJ218,[1]Sheet1!$C:$C,A218)</f>
        <v>#VALUE!</v>
      </c>
      <c r="V218" s="6"/>
      <c r="W218" s="6"/>
      <c r="X218" s="7" t="e">
        <f t="shared" si="37"/>
        <v>#VALUE!</v>
      </c>
      <c r="Y218" s="6"/>
      <c r="AJ218" s="5" t="str">
        <f t="shared" si="38"/>
        <v>NM Texas Franchise Tax Return</v>
      </c>
      <c r="AK218" s="5" t="str">
        <f t="shared" si="39"/>
        <v>NM-Tax Services-ANN-Texas Franchise Tax Return_Basic</v>
      </c>
      <c r="AL218" s="5" t="str">
        <f t="shared" si="40"/>
        <v>ER Contr_1120S_46-1662149_NM Texas Franchise Tax Return</v>
      </c>
      <c r="AM218" s="5" t="str">
        <f t="shared" si="41"/>
        <v>ER Contr_1120S_46-1662149_NM-Tax Services-ANN-Texas Franchise Tax Return_Basic</v>
      </c>
    </row>
    <row r="219" spans="1:39" x14ac:dyDescent="0.25">
      <c r="A219" s="2" t="s">
        <v>545</v>
      </c>
      <c r="B219" s="2" t="s">
        <v>546</v>
      </c>
      <c r="C219" s="2" t="s">
        <v>1196</v>
      </c>
      <c r="D219" s="8">
        <v>43831</v>
      </c>
      <c r="E219" s="5" t="str">
        <f t="shared" si="42"/>
        <v>Espinosa, Juan P &amp; Amber_01-01-20</v>
      </c>
      <c r="F219" s="2" t="s">
        <v>1203</v>
      </c>
      <c r="G219" s="2" t="s">
        <v>1241</v>
      </c>
      <c r="H219" s="2" t="s">
        <v>1220</v>
      </c>
      <c r="I219" s="2" t="s">
        <v>1221</v>
      </c>
      <c r="J219" s="2" t="s">
        <v>1234</v>
      </c>
      <c r="M219" s="5" t="str">
        <f t="shared" si="33"/>
        <v>Mid</v>
      </c>
      <c r="N219" s="5" t="str">
        <f t="shared" si="34"/>
        <v>Tax-Staff-Mid</v>
      </c>
      <c r="O219" s="5" t="str">
        <f t="shared" si="35"/>
        <v>Tax-Reviewer-Mid</v>
      </c>
      <c r="P219" s="5" t="str">
        <f t="shared" si="36"/>
        <v>Tax-Signer-Mid</v>
      </c>
      <c r="Q219" s="6">
        <v>2.7401969696969677</v>
      </c>
      <c r="R219" s="6">
        <v>0.5480393939393936</v>
      </c>
      <c r="S219" s="6">
        <v>0.2740196969696968</v>
      </c>
      <c r="T219" s="7">
        <f t="shared" si="43"/>
        <v>3.562256060606058</v>
      </c>
      <c r="U219" s="6" t="e">
        <f>SUMIFS([1]Sheet1!$L:$L,[1]Sheet1!$I:$I,AJ219,[1]Sheet1!$C:$C,A219)</f>
        <v>#VALUE!</v>
      </c>
      <c r="V219" s="6"/>
      <c r="W219" s="6"/>
      <c r="X219" s="7" t="e">
        <f t="shared" si="37"/>
        <v>#VALUE!</v>
      </c>
      <c r="Y219" s="6"/>
      <c r="AJ219" s="5" t="str">
        <f t="shared" si="38"/>
        <v>NM 1040 - Personal</v>
      </c>
      <c r="AK219" s="5" t="str">
        <f t="shared" si="39"/>
        <v>NM-Tax Services-ANN-1040 - Personal_Mid</v>
      </c>
      <c r="AL219" s="5" t="str">
        <f t="shared" si="40"/>
        <v>Espino_5685_NM 1040 - Personal</v>
      </c>
      <c r="AM219" s="5" t="str">
        <f t="shared" si="41"/>
        <v>Espino_5685_NM-Tax Services-ANN-1040 - Personal_Mid</v>
      </c>
    </row>
    <row r="220" spans="1:39" x14ac:dyDescent="0.25">
      <c r="A220" s="2" t="s">
        <v>547</v>
      </c>
      <c r="B220" s="2" t="s">
        <v>548</v>
      </c>
      <c r="C220" s="2" t="s">
        <v>1196</v>
      </c>
      <c r="D220" s="8">
        <v>43831</v>
      </c>
      <c r="E220" s="5" t="str">
        <f t="shared" si="42"/>
        <v>Evans, Josh_01-01-20</v>
      </c>
      <c r="F220" s="2" t="s">
        <v>1203</v>
      </c>
      <c r="G220" s="2" t="s">
        <v>1241</v>
      </c>
      <c r="H220" s="2" t="s">
        <v>1220</v>
      </c>
      <c r="I220" s="2" t="s">
        <v>1223</v>
      </c>
      <c r="J220" s="2" t="s">
        <v>1234</v>
      </c>
      <c r="M220" s="5" t="str">
        <f t="shared" si="33"/>
        <v>Basic</v>
      </c>
      <c r="N220" s="5" t="str">
        <f t="shared" si="34"/>
        <v>Tax-Staff-Basic</v>
      </c>
      <c r="O220" s="5" t="str">
        <f t="shared" si="35"/>
        <v>Tax-Reviewer-Basic</v>
      </c>
      <c r="P220" s="5" t="str">
        <f t="shared" si="36"/>
        <v>Tax-Signer-Basic</v>
      </c>
      <c r="Q220" s="6">
        <v>1.4675000000000016</v>
      </c>
      <c r="R220" s="6">
        <v>0.29350000000000032</v>
      </c>
      <c r="S220" s="6">
        <v>0.14675000000000016</v>
      </c>
      <c r="T220" s="7">
        <f t="shared" si="43"/>
        <v>1.9077500000000021</v>
      </c>
      <c r="U220" s="6" t="e">
        <f>SUMIFS([1]Sheet1!$L:$L,[1]Sheet1!$I:$I,AJ220,[1]Sheet1!$C:$C,A220)</f>
        <v>#VALUE!</v>
      </c>
      <c r="V220" s="6"/>
      <c r="W220" s="6"/>
      <c r="X220" s="7" t="e">
        <f t="shared" si="37"/>
        <v>#VALUE!</v>
      </c>
      <c r="Y220" s="6"/>
      <c r="AJ220" s="5" t="str">
        <f t="shared" si="38"/>
        <v>NM 1040 - Personal</v>
      </c>
      <c r="AK220" s="5" t="str">
        <f t="shared" si="39"/>
        <v>NM-Tax Services-ANN-1040 - Personal_Basic</v>
      </c>
      <c r="AL220" s="5" t="str">
        <f t="shared" si="40"/>
        <v>Evans,_8447_NM 1040 - Personal</v>
      </c>
      <c r="AM220" s="5" t="str">
        <f t="shared" si="41"/>
        <v>Evans,_8447_NM-Tax Services-ANN-1040 - Personal_Basic</v>
      </c>
    </row>
    <row r="221" spans="1:39" x14ac:dyDescent="0.25">
      <c r="A221" s="2" t="s">
        <v>255</v>
      </c>
      <c r="B221" s="2" t="s">
        <v>256</v>
      </c>
      <c r="C221" s="2" t="s">
        <v>1196</v>
      </c>
      <c r="D221" s="8">
        <v>43831</v>
      </c>
      <c r="E221" s="5" t="str">
        <f t="shared" si="42"/>
        <v>Excellence Ecological Services LLC_01-01-20</v>
      </c>
      <c r="F221" s="2" t="s">
        <v>1204</v>
      </c>
      <c r="G221" s="2" t="s">
        <v>1241</v>
      </c>
      <c r="H221" s="2" t="s">
        <v>1220</v>
      </c>
      <c r="I221" s="2" t="s">
        <v>1221</v>
      </c>
      <c r="J221" s="2" t="s">
        <v>1234</v>
      </c>
      <c r="M221" s="5" t="str">
        <f t="shared" si="33"/>
        <v>Mid</v>
      </c>
      <c r="N221" s="5" t="str">
        <f t="shared" si="34"/>
        <v>Tax-Staff-Mid</v>
      </c>
      <c r="O221" s="5" t="str">
        <f t="shared" si="35"/>
        <v>Tax-Reviewer-Mid</v>
      </c>
      <c r="P221" s="5" t="str">
        <f t="shared" si="36"/>
        <v>Tax-Signer-Mid</v>
      </c>
      <c r="Q221" s="6">
        <v>2.7401969696969677</v>
      </c>
      <c r="R221" s="6">
        <v>0.5480393939393936</v>
      </c>
      <c r="S221" s="6">
        <v>0.2740196969696968</v>
      </c>
      <c r="T221" s="7">
        <f t="shared" si="43"/>
        <v>3.562256060606058</v>
      </c>
      <c r="U221" s="6" t="e">
        <f>SUMIFS([1]Sheet1!$L:$L,[1]Sheet1!$I:$I,AJ221,[1]Sheet1!$C:$C,A221)</f>
        <v>#VALUE!</v>
      </c>
      <c r="V221" s="6"/>
      <c r="W221" s="6"/>
      <c r="X221" s="7" t="e">
        <f t="shared" si="37"/>
        <v>#VALUE!</v>
      </c>
      <c r="Y221" s="6"/>
      <c r="AJ221" s="5" t="str">
        <f t="shared" si="38"/>
        <v>NM 1120S - S Corporation</v>
      </c>
      <c r="AK221" s="5" t="str">
        <f t="shared" si="39"/>
        <v>NM-Tax Services-ANN-1120S - S Corporation_Mid</v>
      </c>
      <c r="AL221" s="5" t="str">
        <f t="shared" si="40"/>
        <v>Excellen_1120S_46-1992917_NM 1120S - S Corporation</v>
      </c>
      <c r="AM221" s="5" t="str">
        <f t="shared" si="41"/>
        <v>Excellen_1120S_46-1992917_NM-Tax Services-ANN-1120S - S Corporation_Mid</v>
      </c>
    </row>
    <row r="222" spans="1:39" x14ac:dyDescent="0.25">
      <c r="A222" s="2" t="s">
        <v>255</v>
      </c>
      <c r="B222" s="2" t="s">
        <v>256</v>
      </c>
      <c r="C222" s="2" t="s">
        <v>1196</v>
      </c>
      <c r="D222" s="8">
        <v>43831</v>
      </c>
      <c r="E222" s="5" t="str">
        <f t="shared" si="42"/>
        <v>Excellence Ecological Services LLC_01-01-20</v>
      </c>
      <c r="F222" s="2" t="s">
        <v>1200</v>
      </c>
      <c r="G222" s="2" t="s">
        <v>1241</v>
      </c>
      <c r="H222" s="2" t="s">
        <v>1220</v>
      </c>
      <c r="I222" s="2" t="s">
        <v>1223</v>
      </c>
      <c r="J222" s="2" t="s">
        <v>1234</v>
      </c>
      <c r="M222" s="5" t="str">
        <f t="shared" si="33"/>
        <v>Basic</v>
      </c>
      <c r="N222" s="5" t="str">
        <f t="shared" si="34"/>
        <v>Tax-Staff-Basic</v>
      </c>
      <c r="O222" s="5" t="str">
        <f t="shared" si="35"/>
        <v>Tax-Reviewer-Basic</v>
      </c>
      <c r="P222" s="5" t="str">
        <f t="shared" si="36"/>
        <v>Tax-Signer-Basic</v>
      </c>
      <c r="Q222" s="6">
        <v>0.5</v>
      </c>
      <c r="R222" s="6">
        <v>0.1</v>
      </c>
      <c r="S222" s="6">
        <v>0.05</v>
      </c>
      <c r="T222" s="7">
        <f t="shared" si="43"/>
        <v>0.65</v>
      </c>
      <c r="U222" s="6" t="e">
        <f>SUMIFS([1]Sheet1!$L:$L,[1]Sheet1!$I:$I,AJ222,[1]Sheet1!$C:$C,A222)</f>
        <v>#VALUE!</v>
      </c>
      <c r="V222" s="6"/>
      <c r="W222" s="6"/>
      <c r="X222" s="7" t="e">
        <f t="shared" si="37"/>
        <v>#VALUE!</v>
      </c>
      <c r="Y222" s="6"/>
      <c r="AJ222" s="5" t="str">
        <f t="shared" si="38"/>
        <v>NM Texas Franchise Tax Return</v>
      </c>
      <c r="AK222" s="5" t="str">
        <f t="shared" si="39"/>
        <v>NM-Tax Services-ANN-Texas Franchise Tax Return_Basic</v>
      </c>
      <c r="AL222" s="5" t="str">
        <f t="shared" si="40"/>
        <v>Excellen_1120S_46-1992917_NM Texas Franchise Tax Return</v>
      </c>
      <c r="AM222" s="5" t="str">
        <f t="shared" si="41"/>
        <v>Excellen_1120S_46-1992917_NM-Tax Services-ANN-Texas Franchise Tax Return_Basic</v>
      </c>
    </row>
    <row r="223" spans="1:39" x14ac:dyDescent="0.25">
      <c r="A223" s="2" t="s">
        <v>53</v>
      </c>
      <c r="B223" s="2" t="s">
        <v>54</v>
      </c>
      <c r="C223" s="2" t="s">
        <v>1197</v>
      </c>
      <c r="D223" s="8">
        <v>43831</v>
      </c>
      <c r="E223" s="5" t="str">
        <f t="shared" si="42"/>
        <v>Explosive Concepts, Inc._01-01-20</v>
      </c>
      <c r="F223" s="2" t="s">
        <v>1204</v>
      </c>
      <c r="G223" s="2" t="s">
        <v>1241</v>
      </c>
      <c r="H223" s="2" t="s">
        <v>1220</v>
      </c>
      <c r="I223" s="2" t="s">
        <v>1221</v>
      </c>
      <c r="J223" s="2" t="s">
        <v>1234</v>
      </c>
      <c r="M223" s="5" t="str">
        <f t="shared" si="33"/>
        <v>Mid</v>
      </c>
      <c r="N223" s="5" t="str">
        <f t="shared" si="34"/>
        <v>Tax-Staff-Mid</v>
      </c>
      <c r="O223" s="5" t="str">
        <f t="shared" si="35"/>
        <v>Tax-Reviewer-Mid</v>
      </c>
      <c r="P223" s="5" t="str">
        <f t="shared" si="36"/>
        <v>Tax-Signer-Mid</v>
      </c>
      <c r="Q223" s="6">
        <v>2.7401969696969677</v>
      </c>
      <c r="R223" s="6">
        <v>0.5480393939393936</v>
      </c>
      <c r="S223" s="6">
        <v>0.2740196969696968</v>
      </c>
      <c r="T223" s="7">
        <f t="shared" si="43"/>
        <v>3.562256060606058</v>
      </c>
      <c r="U223" s="6" t="e">
        <f>SUMIFS([1]Sheet1!$L:$L,[1]Sheet1!$I:$I,AJ223,[1]Sheet1!$C:$C,A223)</f>
        <v>#VALUE!</v>
      </c>
      <c r="V223" s="6"/>
      <c r="W223" s="6"/>
      <c r="X223" s="7" t="e">
        <f t="shared" si="37"/>
        <v>#VALUE!</v>
      </c>
      <c r="Y223" s="6"/>
      <c r="AJ223" s="5" t="str">
        <f t="shared" si="38"/>
        <v>MO 1120S - S Corporation</v>
      </c>
      <c r="AK223" s="5" t="str">
        <f t="shared" si="39"/>
        <v>MO-Tax Services-ANN-1120S - S Corporation_Mid</v>
      </c>
      <c r="AL223" s="5" t="str">
        <f t="shared" si="40"/>
        <v>Explosiv_1120S_20-1867377_MO 1120S - S Corporation</v>
      </c>
      <c r="AM223" s="5" t="str">
        <f t="shared" si="41"/>
        <v>Explosiv_1120S_20-1867377_MO-Tax Services-ANN-1120S - S Corporation_Mid</v>
      </c>
    </row>
    <row r="224" spans="1:39" x14ac:dyDescent="0.25">
      <c r="A224" s="2" t="s">
        <v>53</v>
      </c>
      <c r="B224" s="2" t="s">
        <v>54</v>
      </c>
      <c r="C224" s="2" t="s">
        <v>1197</v>
      </c>
      <c r="D224" s="8">
        <v>43831</v>
      </c>
      <c r="E224" s="5" t="str">
        <f t="shared" si="42"/>
        <v>Explosive Concepts, Inc._01-01-20</v>
      </c>
      <c r="F224" s="2" t="s">
        <v>1201</v>
      </c>
      <c r="G224" s="2" t="s">
        <v>1201</v>
      </c>
      <c r="H224" s="2" t="s">
        <v>1197</v>
      </c>
      <c r="I224" s="2" t="s">
        <v>1223</v>
      </c>
      <c r="J224" s="2" t="s">
        <v>1235</v>
      </c>
      <c r="M224" s="5" t="str">
        <f t="shared" si="33"/>
        <v>Basic</v>
      </c>
      <c r="N224" s="5" t="str">
        <f t="shared" si="34"/>
        <v>Accountant-Staff-Basic</v>
      </c>
      <c r="O224" s="5" t="str">
        <f t="shared" si="35"/>
        <v>Accountant-Reviewer-Basic</v>
      </c>
      <c r="P224" s="5" t="str">
        <f t="shared" si="36"/>
        <v>Accountant-Signer-Basic</v>
      </c>
      <c r="Q224" s="6">
        <v>1.47</v>
      </c>
      <c r="R224" s="6">
        <v>0.29399999999999998</v>
      </c>
      <c r="S224" s="6">
        <v>0.14699999999999999</v>
      </c>
      <c r="T224" s="7">
        <f t="shared" si="43"/>
        <v>1.911</v>
      </c>
      <c r="U224" s="6" t="e">
        <f>SUMIFS([1]Sheet1!$L:$L,[1]Sheet1!$I:$I,AJ224,[1]Sheet1!$C:$C,A224)</f>
        <v>#VALUE!</v>
      </c>
      <c r="V224" s="6"/>
      <c r="W224" s="6"/>
      <c r="X224" s="7" t="e">
        <f t="shared" si="37"/>
        <v>#VALUE!</v>
      </c>
      <c r="Y224" s="6"/>
      <c r="AJ224" s="5" t="str">
        <f t="shared" si="38"/>
        <v>MO Accounting Services</v>
      </c>
      <c r="AK224" s="5" t="str">
        <f t="shared" si="39"/>
        <v>MO-Accounting Services-MO-Accounting Services_Basic</v>
      </c>
      <c r="AL224" s="5" t="str">
        <f t="shared" si="40"/>
        <v>Explosiv_1120S_20-1867377_MO Accounting Services</v>
      </c>
      <c r="AM224" s="5" t="str">
        <f t="shared" si="41"/>
        <v>Explosiv_1120S_20-1867377_MO-Accounting Services-MO-Accounting Services_Basic</v>
      </c>
    </row>
    <row r="225" spans="1:39" x14ac:dyDescent="0.25">
      <c r="A225" s="2" t="s">
        <v>53</v>
      </c>
      <c r="B225" s="2" t="s">
        <v>54</v>
      </c>
      <c r="C225" s="2" t="s">
        <v>1197</v>
      </c>
      <c r="D225" s="8">
        <v>43831</v>
      </c>
      <c r="E225" s="5" t="str">
        <f t="shared" si="42"/>
        <v>Explosive Concepts, Inc._01-01-20</v>
      </c>
      <c r="F225" s="2" t="s">
        <v>1200</v>
      </c>
      <c r="G225" s="2" t="s">
        <v>1241</v>
      </c>
      <c r="H225" s="2" t="s">
        <v>1220</v>
      </c>
      <c r="I225" s="2" t="s">
        <v>1223</v>
      </c>
      <c r="J225" s="2" t="s">
        <v>1234</v>
      </c>
      <c r="M225" s="5" t="str">
        <f t="shared" si="33"/>
        <v>Basic</v>
      </c>
      <c r="N225" s="5" t="str">
        <f t="shared" si="34"/>
        <v>Tax-Staff-Basic</v>
      </c>
      <c r="O225" s="5" t="str">
        <f t="shared" si="35"/>
        <v>Tax-Reviewer-Basic</v>
      </c>
      <c r="P225" s="5" t="str">
        <f t="shared" si="36"/>
        <v>Tax-Signer-Basic</v>
      </c>
      <c r="Q225" s="6">
        <v>0.5</v>
      </c>
      <c r="R225" s="6">
        <v>0.1</v>
      </c>
      <c r="S225" s="6">
        <v>0.05</v>
      </c>
      <c r="T225" s="7">
        <f t="shared" si="43"/>
        <v>0.65</v>
      </c>
      <c r="U225" s="6" t="e">
        <f>SUMIFS([1]Sheet1!$L:$L,[1]Sheet1!$I:$I,AJ225,[1]Sheet1!$C:$C,A225)</f>
        <v>#VALUE!</v>
      </c>
      <c r="V225" s="6"/>
      <c r="W225" s="6"/>
      <c r="X225" s="7" t="e">
        <f t="shared" si="37"/>
        <v>#VALUE!</v>
      </c>
      <c r="Y225" s="6"/>
      <c r="AJ225" s="5" t="str">
        <f t="shared" si="38"/>
        <v>MO Texas Franchise Tax Return</v>
      </c>
      <c r="AK225" s="5" t="str">
        <f t="shared" si="39"/>
        <v>MO-Tax Services-ANN-Texas Franchise Tax Return_Basic</v>
      </c>
      <c r="AL225" s="5" t="str">
        <f t="shared" si="40"/>
        <v>Explosiv_1120S_20-1867377_MO Texas Franchise Tax Return</v>
      </c>
      <c r="AM225" s="5" t="str">
        <f t="shared" si="41"/>
        <v>Explosiv_1120S_20-1867377_MO-Tax Services-ANN-Texas Franchise Tax Return_Basic</v>
      </c>
    </row>
    <row r="226" spans="1:39" x14ac:dyDescent="0.25">
      <c r="A226" s="2" t="s">
        <v>86</v>
      </c>
      <c r="B226" s="2" t="s">
        <v>87</v>
      </c>
      <c r="C226" s="2" t="s">
        <v>1197</v>
      </c>
      <c r="D226" s="8">
        <v>43831</v>
      </c>
      <c r="E226" s="5" t="str">
        <f t="shared" si="42"/>
        <v>Fatter III, Mervin E &amp; Daphne_01-01-20</v>
      </c>
      <c r="F226" s="2" t="s">
        <v>1203</v>
      </c>
      <c r="G226" s="2" t="s">
        <v>1241</v>
      </c>
      <c r="H226" s="2" t="s">
        <v>1220</v>
      </c>
      <c r="I226" s="2" t="s">
        <v>1221</v>
      </c>
      <c r="J226" s="2" t="s">
        <v>1234</v>
      </c>
      <c r="M226" s="5" t="str">
        <f t="shared" si="33"/>
        <v>Mid</v>
      </c>
      <c r="N226" s="5" t="str">
        <f t="shared" si="34"/>
        <v>Tax-Staff-Mid</v>
      </c>
      <c r="O226" s="5" t="str">
        <f t="shared" si="35"/>
        <v>Tax-Reviewer-Mid</v>
      </c>
      <c r="P226" s="5" t="str">
        <f t="shared" si="36"/>
        <v>Tax-Signer-Mid</v>
      </c>
      <c r="Q226" s="6">
        <v>2.7401969696969677</v>
      </c>
      <c r="R226" s="6">
        <v>0.5480393939393936</v>
      </c>
      <c r="S226" s="6">
        <v>0.2740196969696968</v>
      </c>
      <c r="T226" s="7">
        <f t="shared" si="43"/>
        <v>3.562256060606058</v>
      </c>
      <c r="U226" s="6" t="e">
        <f>SUMIFS([1]Sheet1!$L:$L,[1]Sheet1!$I:$I,AJ226,[1]Sheet1!$C:$C,A226)</f>
        <v>#VALUE!</v>
      </c>
      <c r="V226" s="6"/>
      <c r="W226" s="6"/>
      <c r="X226" s="7" t="e">
        <f t="shared" si="37"/>
        <v>#VALUE!</v>
      </c>
      <c r="Y226" s="6"/>
      <c r="AJ226" s="5" t="str">
        <f t="shared" si="38"/>
        <v>MO 1040 - Personal</v>
      </c>
      <c r="AK226" s="5" t="str">
        <f t="shared" si="39"/>
        <v>MO-Tax Services-ANN-1040 - Personal_Mid</v>
      </c>
      <c r="AL226" s="5" t="str">
        <f t="shared" si="40"/>
        <v>Fatter_5786_MO 1040 - Personal</v>
      </c>
      <c r="AM226" s="5" t="str">
        <f t="shared" si="41"/>
        <v>Fatter_5786_MO-Tax Services-ANN-1040 - Personal_Mid</v>
      </c>
    </row>
    <row r="227" spans="1:39" x14ac:dyDescent="0.25">
      <c r="A227" s="2" t="s">
        <v>86</v>
      </c>
      <c r="B227" s="2" t="s">
        <v>87</v>
      </c>
      <c r="C227" s="2" t="s">
        <v>1196</v>
      </c>
      <c r="D227" s="8">
        <v>43831</v>
      </c>
      <c r="E227" s="5" t="str">
        <f t="shared" si="42"/>
        <v>Fatter III, Mervin E &amp; Daphne_01-01-20</v>
      </c>
      <c r="F227" s="2" t="s">
        <v>1203</v>
      </c>
      <c r="G227" s="2" t="s">
        <v>1241</v>
      </c>
      <c r="H227" s="2" t="s">
        <v>1220</v>
      </c>
      <c r="I227" s="2" t="s">
        <v>1221</v>
      </c>
      <c r="J227" s="2" t="s">
        <v>1234</v>
      </c>
      <c r="M227" s="5" t="str">
        <f t="shared" si="33"/>
        <v>Mid</v>
      </c>
      <c r="N227" s="5" t="str">
        <f t="shared" si="34"/>
        <v>Tax-Staff-Mid</v>
      </c>
      <c r="O227" s="5" t="str">
        <f t="shared" si="35"/>
        <v>Tax-Reviewer-Mid</v>
      </c>
      <c r="P227" s="5" t="str">
        <f t="shared" si="36"/>
        <v>Tax-Signer-Mid</v>
      </c>
      <c r="Q227" s="6">
        <v>2.7401969696969677</v>
      </c>
      <c r="R227" s="6">
        <v>0.5480393939393936</v>
      </c>
      <c r="S227" s="6">
        <v>0.2740196969696968</v>
      </c>
      <c r="T227" s="7">
        <f t="shared" si="43"/>
        <v>3.562256060606058</v>
      </c>
      <c r="U227" s="6" t="e">
        <f>SUMIFS([1]Sheet1!$L:$L,[1]Sheet1!$I:$I,AJ227,[1]Sheet1!$C:$C,A227)</f>
        <v>#VALUE!</v>
      </c>
      <c r="V227" s="6"/>
      <c r="W227" s="6"/>
      <c r="X227" s="7" t="e">
        <f t="shared" si="37"/>
        <v>#VALUE!</v>
      </c>
      <c r="Y227" s="6"/>
      <c r="AJ227" s="5" t="str">
        <f t="shared" si="38"/>
        <v>NM 1040 - Personal</v>
      </c>
      <c r="AK227" s="5" t="str">
        <f t="shared" si="39"/>
        <v>NM-Tax Services-ANN-1040 - Personal_Mid</v>
      </c>
      <c r="AL227" s="5" t="str">
        <f t="shared" si="40"/>
        <v>Fatter_5786_NM 1040 - Personal</v>
      </c>
      <c r="AM227" s="5" t="str">
        <f t="shared" si="41"/>
        <v>Fatter_5786_NM-Tax Services-ANN-1040 - Personal_Mid</v>
      </c>
    </row>
    <row r="228" spans="1:39" x14ac:dyDescent="0.25">
      <c r="A228" s="2" t="s">
        <v>932</v>
      </c>
      <c r="B228" s="2" t="s">
        <v>933</v>
      </c>
      <c r="C228" s="2" t="s">
        <v>1196</v>
      </c>
      <c r="D228" s="8">
        <v>43831</v>
      </c>
      <c r="E228" s="5" t="str">
        <f t="shared" si="42"/>
        <v>Feiro, Brian &amp; Katherine_01-01-20</v>
      </c>
      <c r="F228" s="2" t="s">
        <v>1203</v>
      </c>
      <c r="G228" s="2" t="s">
        <v>1241</v>
      </c>
      <c r="H228" s="2" t="s">
        <v>1220</v>
      </c>
      <c r="I228" s="2" t="s">
        <v>1221</v>
      </c>
      <c r="J228" s="2" t="s">
        <v>1234</v>
      </c>
      <c r="M228" s="5" t="str">
        <f t="shared" si="33"/>
        <v>Mid</v>
      </c>
      <c r="N228" s="5" t="str">
        <f t="shared" si="34"/>
        <v>Tax-Staff-Mid</v>
      </c>
      <c r="O228" s="5" t="str">
        <f t="shared" si="35"/>
        <v>Tax-Reviewer-Mid</v>
      </c>
      <c r="P228" s="5" t="str">
        <f t="shared" si="36"/>
        <v>Tax-Signer-Mid</v>
      </c>
      <c r="Q228" s="6">
        <v>2.7401969696969677</v>
      </c>
      <c r="R228" s="6">
        <v>0.5480393939393936</v>
      </c>
      <c r="S228" s="6">
        <v>0.2740196969696968</v>
      </c>
      <c r="T228" s="7">
        <f t="shared" si="43"/>
        <v>3.562256060606058</v>
      </c>
      <c r="U228" s="6" t="e">
        <f>SUMIFS([1]Sheet1!$L:$L,[1]Sheet1!$I:$I,AJ228,[1]Sheet1!$C:$C,A228)</f>
        <v>#VALUE!</v>
      </c>
      <c r="V228" s="6"/>
      <c r="W228" s="6"/>
      <c r="X228" s="7" t="e">
        <f t="shared" si="37"/>
        <v>#VALUE!</v>
      </c>
      <c r="Y228" s="6"/>
      <c r="AJ228" s="5" t="str">
        <f t="shared" si="38"/>
        <v>NM 1040 - Personal</v>
      </c>
      <c r="AK228" s="5" t="str">
        <f t="shared" si="39"/>
        <v>NM-Tax Services-ANN-1040 - Personal_Mid</v>
      </c>
      <c r="AL228" s="5" t="str">
        <f t="shared" si="40"/>
        <v>Feiro,_8877_NM 1040 - Personal</v>
      </c>
      <c r="AM228" s="5" t="str">
        <f t="shared" si="41"/>
        <v>Feiro,_8877_NM-Tax Services-ANN-1040 - Personal_Mid</v>
      </c>
    </row>
    <row r="229" spans="1:39" x14ac:dyDescent="0.25">
      <c r="A229" s="2" t="s">
        <v>551</v>
      </c>
      <c r="B229" s="2" t="s">
        <v>552</v>
      </c>
      <c r="C229" s="2" t="s">
        <v>1196</v>
      </c>
      <c r="D229" s="8">
        <v>43831</v>
      </c>
      <c r="E229" s="5" t="str">
        <f t="shared" si="42"/>
        <v>Fellman, Cameran_01-01-20</v>
      </c>
      <c r="F229" s="2" t="s">
        <v>1203</v>
      </c>
      <c r="G229" s="2" t="s">
        <v>1241</v>
      </c>
      <c r="H229" s="2" t="s">
        <v>1220</v>
      </c>
      <c r="I229" s="2" t="s">
        <v>1223</v>
      </c>
      <c r="J229" s="2" t="s">
        <v>1234</v>
      </c>
      <c r="M229" s="5" t="str">
        <f t="shared" si="33"/>
        <v>Basic</v>
      </c>
      <c r="N229" s="5" t="str">
        <f t="shared" si="34"/>
        <v>Tax-Staff-Basic</v>
      </c>
      <c r="O229" s="5" t="str">
        <f t="shared" si="35"/>
        <v>Tax-Reviewer-Basic</v>
      </c>
      <c r="P229" s="5" t="str">
        <f t="shared" si="36"/>
        <v>Tax-Signer-Basic</v>
      </c>
      <c r="Q229" s="6">
        <v>1.4675000000000016</v>
      </c>
      <c r="R229" s="6">
        <v>0.29350000000000032</v>
      </c>
      <c r="S229" s="6">
        <v>0.14675000000000016</v>
      </c>
      <c r="T229" s="7">
        <f t="shared" si="43"/>
        <v>1.9077500000000021</v>
      </c>
      <c r="U229" s="6" t="e">
        <f>SUMIFS([1]Sheet1!$L:$L,[1]Sheet1!$I:$I,AJ229,[1]Sheet1!$C:$C,A229)</f>
        <v>#VALUE!</v>
      </c>
      <c r="V229" s="6"/>
      <c r="W229" s="6"/>
      <c r="X229" s="7" t="e">
        <f t="shared" si="37"/>
        <v>#VALUE!</v>
      </c>
      <c r="Y229" s="6"/>
      <c r="AJ229" s="5" t="str">
        <f t="shared" si="38"/>
        <v>NM 1040 - Personal</v>
      </c>
      <c r="AK229" s="5" t="str">
        <f t="shared" si="39"/>
        <v>NM-Tax Services-ANN-1040 - Personal_Basic</v>
      </c>
      <c r="AL229" s="5" t="str">
        <f t="shared" si="40"/>
        <v>Fellma_1826_NM 1040 - Personal</v>
      </c>
      <c r="AM229" s="5" t="str">
        <f t="shared" si="41"/>
        <v>Fellma_1826_NM-Tax Services-ANN-1040 - Personal_Basic</v>
      </c>
    </row>
    <row r="230" spans="1:39" x14ac:dyDescent="0.25">
      <c r="A230" s="2" t="s">
        <v>553</v>
      </c>
      <c r="B230" s="2" t="s">
        <v>554</v>
      </c>
      <c r="C230" s="2" t="s">
        <v>1196</v>
      </c>
      <c r="D230" s="8">
        <v>43831</v>
      </c>
      <c r="E230" s="5" t="str">
        <f t="shared" si="42"/>
        <v>Fellman, Hayden_01-01-20</v>
      </c>
      <c r="F230" s="2" t="s">
        <v>1203</v>
      </c>
      <c r="G230" s="2" t="s">
        <v>1241</v>
      </c>
      <c r="H230" s="2" t="s">
        <v>1220</v>
      </c>
      <c r="I230" s="2" t="s">
        <v>1223</v>
      </c>
      <c r="J230" s="2" t="s">
        <v>1234</v>
      </c>
      <c r="M230" s="5" t="str">
        <f t="shared" si="33"/>
        <v>Basic</v>
      </c>
      <c r="N230" s="5" t="str">
        <f t="shared" si="34"/>
        <v>Tax-Staff-Basic</v>
      </c>
      <c r="O230" s="5" t="str">
        <f t="shared" si="35"/>
        <v>Tax-Reviewer-Basic</v>
      </c>
      <c r="P230" s="5" t="str">
        <f t="shared" si="36"/>
        <v>Tax-Signer-Basic</v>
      </c>
      <c r="Q230" s="6">
        <v>1.4675000000000016</v>
      </c>
      <c r="R230" s="6">
        <v>0.29350000000000032</v>
      </c>
      <c r="S230" s="6">
        <v>0.14675000000000016</v>
      </c>
      <c r="T230" s="7">
        <f t="shared" si="43"/>
        <v>1.9077500000000021</v>
      </c>
      <c r="U230" s="6" t="e">
        <f>SUMIFS([1]Sheet1!$L:$L,[1]Sheet1!$I:$I,AJ230,[1]Sheet1!$C:$C,A230)</f>
        <v>#VALUE!</v>
      </c>
      <c r="V230" s="6"/>
      <c r="W230" s="6"/>
      <c r="X230" s="7" t="e">
        <f t="shared" si="37"/>
        <v>#VALUE!</v>
      </c>
      <c r="Y230" s="6"/>
      <c r="AJ230" s="5" t="str">
        <f t="shared" si="38"/>
        <v>NM 1040 - Personal</v>
      </c>
      <c r="AK230" s="5" t="str">
        <f t="shared" si="39"/>
        <v>NM-Tax Services-ANN-1040 - Personal_Basic</v>
      </c>
      <c r="AL230" s="5" t="str">
        <f t="shared" si="40"/>
        <v>Fellma_2152_NM 1040 - Personal</v>
      </c>
      <c r="AM230" s="5" t="str">
        <f t="shared" si="41"/>
        <v>Fellma_2152_NM-Tax Services-ANN-1040 - Personal_Basic</v>
      </c>
    </row>
    <row r="231" spans="1:39" x14ac:dyDescent="0.25">
      <c r="A231" s="2" t="s">
        <v>90</v>
      </c>
      <c r="B231" s="2" t="s">
        <v>91</v>
      </c>
      <c r="C231" s="2" t="s">
        <v>1197</v>
      </c>
      <c r="D231" s="8">
        <v>43831</v>
      </c>
      <c r="E231" s="5" t="str">
        <f t="shared" si="42"/>
        <v>Fellman, Jeremy_01-01-20</v>
      </c>
      <c r="F231" s="2" t="s">
        <v>1203</v>
      </c>
      <c r="G231" s="2" t="s">
        <v>1241</v>
      </c>
      <c r="H231" s="2" t="s">
        <v>1220</v>
      </c>
      <c r="I231" s="2" t="s">
        <v>1221</v>
      </c>
      <c r="J231" s="2" t="s">
        <v>1234</v>
      </c>
      <c r="M231" s="5" t="str">
        <f t="shared" si="33"/>
        <v>Mid</v>
      </c>
      <c r="N231" s="5" t="str">
        <f t="shared" si="34"/>
        <v>Tax-Staff-Mid</v>
      </c>
      <c r="O231" s="5" t="str">
        <f t="shared" si="35"/>
        <v>Tax-Reviewer-Mid</v>
      </c>
      <c r="P231" s="5" t="str">
        <f t="shared" si="36"/>
        <v>Tax-Signer-Mid</v>
      </c>
      <c r="Q231" s="6">
        <v>2.7401969696969677</v>
      </c>
      <c r="R231" s="6">
        <v>0.5480393939393936</v>
      </c>
      <c r="S231" s="6">
        <v>0.2740196969696968</v>
      </c>
      <c r="T231" s="7">
        <f t="shared" si="43"/>
        <v>3.562256060606058</v>
      </c>
      <c r="U231" s="6" t="e">
        <f>SUMIFS([1]Sheet1!$L:$L,[1]Sheet1!$I:$I,AJ231,[1]Sheet1!$C:$C,A231)</f>
        <v>#VALUE!</v>
      </c>
      <c r="V231" s="6"/>
      <c r="W231" s="6"/>
      <c r="X231" s="7" t="e">
        <f t="shared" si="37"/>
        <v>#VALUE!</v>
      </c>
      <c r="Y231" s="6"/>
      <c r="AJ231" s="5" t="str">
        <f t="shared" si="38"/>
        <v>MO 1040 - Personal</v>
      </c>
      <c r="AK231" s="5" t="str">
        <f t="shared" si="39"/>
        <v>MO-Tax Services-ANN-1040 - Personal_Mid</v>
      </c>
      <c r="AL231" s="5" t="str">
        <f t="shared" si="40"/>
        <v>Fellma_5357_MO 1040 - Personal</v>
      </c>
      <c r="AM231" s="5" t="str">
        <f t="shared" si="41"/>
        <v>Fellma_5357_MO-Tax Services-ANN-1040 - Personal_Mid</v>
      </c>
    </row>
    <row r="232" spans="1:39" x14ac:dyDescent="0.25">
      <c r="A232" s="2" t="s">
        <v>90</v>
      </c>
      <c r="B232" s="2" t="s">
        <v>91</v>
      </c>
      <c r="C232" s="2" t="s">
        <v>1196</v>
      </c>
      <c r="D232" s="8">
        <v>43831</v>
      </c>
      <c r="E232" s="5" t="str">
        <f t="shared" si="42"/>
        <v>Fellman, Jeremy_01-01-20</v>
      </c>
      <c r="F232" s="2" t="s">
        <v>1203</v>
      </c>
      <c r="G232" s="2" t="s">
        <v>1241</v>
      </c>
      <c r="H232" s="2" t="s">
        <v>1220</v>
      </c>
      <c r="I232" s="2" t="s">
        <v>1221</v>
      </c>
      <c r="J232" s="2" t="s">
        <v>1234</v>
      </c>
      <c r="M232" s="5" t="str">
        <f t="shared" si="33"/>
        <v>Mid</v>
      </c>
      <c r="N232" s="5" t="str">
        <f t="shared" si="34"/>
        <v>Tax-Staff-Mid</v>
      </c>
      <c r="O232" s="5" t="str">
        <f t="shared" si="35"/>
        <v>Tax-Reviewer-Mid</v>
      </c>
      <c r="P232" s="5" t="str">
        <f t="shared" si="36"/>
        <v>Tax-Signer-Mid</v>
      </c>
      <c r="Q232" s="6">
        <v>2.7401969696969677</v>
      </c>
      <c r="R232" s="6">
        <v>0.5480393939393936</v>
      </c>
      <c r="S232" s="6">
        <v>0.2740196969696968</v>
      </c>
      <c r="T232" s="7">
        <f t="shared" si="43"/>
        <v>3.562256060606058</v>
      </c>
      <c r="U232" s="6" t="e">
        <f>SUMIFS([1]Sheet1!$L:$L,[1]Sheet1!$I:$I,AJ232,[1]Sheet1!$C:$C,A232)</f>
        <v>#VALUE!</v>
      </c>
      <c r="V232" s="6"/>
      <c r="W232" s="6"/>
      <c r="X232" s="7" t="e">
        <f t="shared" si="37"/>
        <v>#VALUE!</v>
      </c>
      <c r="Y232" s="6"/>
      <c r="AJ232" s="5" t="str">
        <f t="shared" si="38"/>
        <v>NM 1040 - Personal</v>
      </c>
      <c r="AK232" s="5" t="str">
        <f t="shared" si="39"/>
        <v>NM-Tax Services-ANN-1040 - Personal_Mid</v>
      </c>
      <c r="AL232" s="5" t="str">
        <f t="shared" si="40"/>
        <v>Fellma_5357_NM 1040 - Personal</v>
      </c>
      <c r="AM232" s="5" t="str">
        <f t="shared" si="41"/>
        <v>Fellma_5357_NM-Tax Services-ANN-1040 - Personal_Mid</v>
      </c>
    </row>
    <row r="233" spans="1:39" x14ac:dyDescent="0.25">
      <c r="A233" s="2" t="s">
        <v>555</v>
      </c>
      <c r="B233" s="2" t="s">
        <v>556</v>
      </c>
      <c r="C233" s="2" t="s">
        <v>1196</v>
      </c>
      <c r="D233" s="8">
        <v>43831</v>
      </c>
      <c r="E233" s="5" t="str">
        <f t="shared" si="42"/>
        <v>Fellman, Tess_01-01-20</v>
      </c>
      <c r="F233" s="2" t="s">
        <v>1203</v>
      </c>
      <c r="G233" s="2" t="s">
        <v>1241</v>
      </c>
      <c r="H233" s="2" t="s">
        <v>1220</v>
      </c>
      <c r="I233" s="2" t="s">
        <v>1223</v>
      </c>
      <c r="J233" s="2" t="s">
        <v>1234</v>
      </c>
      <c r="M233" s="5" t="str">
        <f t="shared" si="33"/>
        <v>Basic</v>
      </c>
      <c r="N233" s="5" t="str">
        <f t="shared" si="34"/>
        <v>Tax-Staff-Basic</v>
      </c>
      <c r="O233" s="5" t="str">
        <f t="shared" si="35"/>
        <v>Tax-Reviewer-Basic</v>
      </c>
      <c r="P233" s="5" t="str">
        <f t="shared" si="36"/>
        <v>Tax-Signer-Basic</v>
      </c>
      <c r="Q233" s="6">
        <v>1.4675000000000016</v>
      </c>
      <c r="R233" s="6">
        <v>0.29350000000000032</v>
      </c>
      <c r="S233" s="6">
        <v>0.14675000000000016</v>
      </c>
      <c r="T233" s="7">
        <f t="shared" si="43"/>
        <v>1.9077500000000021</v>
      </c>
      <c r="U233" s="6" t="e">
        <f>SUMIFS([1]Sheet1!$L:$L,[1]Sheet1!$I:$I,AJ233,[1]Sheet1!$C:$C,A233)</f>
        <v>#VALUE!</v>
      </c>
      <c r="V233" s="6"/>
      <c r="W233" s="6"/>
      <c r="X233" s="7" t="e">
        <f t="shared" si="37"/>
        <v>#VALUE!</v>
      </c>
      <c r="Y233" s="6"/>
      <c r="AJ233" s="5" t="str">
        <f t="shared" si="38"/>
        <v>NM 1040 - Personal</v>
      </c>
      <c r="AK233" s="5" t="str">
        <f t="shared" si="39"/>
        <v>NM-Tax Services-ANN-1040 - Personal_Basic</v>
      </c>
      <c r="AL233" s="5" t="str">
        <f t="shared" si="40"/>
        <v>Fellma_9631_NM 1040 - Personal</v>
      </c>
      <c r="AM233" s="5" t="str">
        <f t="shared" si="41"/>
        <v>Fellma_9631_NM-Tax Services-ANN-1040 - Personal_Basic</v>
      </c>
    </row>
    <row r="234" spans="1:39" x14ac:dyDescent="0.25">
      <c r="A234" s="2" t="s">
        <v>557</v>
      </c>
      <c r="B234" s="2" t="s">
        <v>558</v>
      </c>
      <c r="C234" s="2" t="s">
        <v>1196</v>
      </c>
      <c r="D234" s="8">
        <v>43831</v>
      </c>
      <c r="E234" s="5" t="str">
        <f t="shared" si="42"/>
        <v>Ferguson, Patrick J &amp; Stacey R_01-01-20</v>
      </c>
      <c r="F234" s="2" t="s">
        <v>1203</v>
      </c>
      <c r="G234" s="2" t="s">
        <v>1241</v>
      </c>
      <c r="H234" s="2" t="s">
        <v>1220</v>
      </c>
      <c r="I234" s="2" t="s">
        <v>1223</v>
      </c>
      <c r="J234" s="2" t="s">
        <v>1234</v>
      </c>
      <c r="M234" s="5" t="str">
        <f t="shared" si="33"/>
        <v>Basic</v>
      </c>
      <c r="N234" s="5" t="str">
        <f t="shared" si="34"/>
        <v>Tax-Staff-Basic</v>
      </c>
      <c r="O234" s="5" t="str">
        <f t="shared" si="35"/>
        <v>Tax-Reviewer-Basic</v>
      </c>
      <c r="P234" s="5" t="str">
        <f t="shared" si="36"/>
        <v>Tax-Signer-Basic</v>
      </c>
      <c r="Q234" s="6">
        <v>1.4675000000000016</v>
      </c>
      <c r="R234" s="6">
        <v>0.29350000000000032</v>
      </c>
      <c r="S234" s="6">
        <v>0.14675000000000016</v>
      </c>
      <c r="T234" s="7">
        <f t="shared" si="43"/>
        <v>1.9077500000000021</v>
      </c>
      <c r="U234" s="6" t="e">
        <f>SUMIFS([1]Sheet1!$L:$L,[1]Sheet1!$I:$I,AJ234,[1]Sheet1!$C:$C,A234)</f>
        <v>#VALUE!</v>
      </c>
      <c r="V234" s="6"/>
      <c r="W234" s="6"/>
      <c r="X234" s="7" t="e">
        <f t="shared" si="37"/>
        <v>#VALUE!</v>
      </c>
      <c r="Y234" s="6"/>
      <c r="AJ234" s="5" t="str">
        <f t="shared" si="38"/>
        <v>NM 1040 - Personal</v>
      </c>
      <c r="AK234" s="5" t="str">
        <f t="shared" si="39"/>
        <v>NM-Tax Services-ANN-1040 - Personal_Basic</v>
      </c>
      <c r="AL234" s="5" t="str">
        <f t="shared" si="40"/>
        <v>Fergus_9171_NM 1040 - Personal</v>
      </c>
      <c r="AM234" s="5" t="str">
        <f t="shared" si="41"/>
        <v>Fergus_9171_NM-Tax Services-ANN-1040 - Personal_Basic</v>
      </c>
    </row>
    <row r="235" spans="1:39" x14ac:dyDescent="0.25">
      <c r="A235" s="2" t="s">
        <v>55</v>
      </c>
      <c r="B235" s="2" t="s">
        <v>56</v>
      </c>
      <c r="C235" s="2" t="s">
        <v>1197</v>
      </c>
      <c r="D235" s="8">
        <v>43831</v>
      </c>
      <c r="E235" s="5" t="str">
        <f t="shared" si="42"/>
        <v>Ferguson Residential Real Estate_01-01-20</v>
      </c>
      <c r="F235" s="2" t="s">
        <v>1201</v>
      </c>
      <c r="G235" s="2" t="s">
        <v>1201</v>
      </c>
      <c r="H235" s="2" t="s">
        <v>1197</v>
      </c>
      <c r="I235" s="2" t="s">
        <v>1223</v>
      </c>
      <c r="J235" s="2" t="s">
        <v>1235</v>
      </c>
      <c r="M235" s="5" t="str">
        <f t="shared" si="33"/>
        <v>Basic</v>
      </c>
      <c r="N235" s="5" t="str">
        <f t="shared" si="34"/>
        <v>Accountant-Staff-Basic</v>
      </c>
      <c r="O235" s="5" t="str">
        <f t="shared" si="35"/>
        <v>Accountant-Reviewer-Basic</v>
      </c>
      <c r="P235" s="5" t="str">
        <f t="shared" si="36"/>
        <v>Accountant-Signer-Basic</v>
      </c>
      <c r="Q235" s="6">
        <v>1.47</v>
      </c>
      <c r="R235" s="6">
        <v>0.29399999999999998</v>
      </c>
      <c r="S235" s="6">
        <v>0.14699999999999999</v>
      </c>
      <c r="T235" s="7">
        <f t="shared" si="43"/>
        <v>1.911</v>
      </c>
      <c r="U235" s="6" t="e">
        <f>SUMIFS([1]Sheet1!$L:$L,[1]Sheet1!$I:$I,AJ235,[1]Sheet1!$C:$C,A235)</f>
        <v>#VALUE!</v>
      </c>
      <c r="V235" s="6"/>
      <c r="W235" s="6"/>
      <c r="X235" s="7" t="e">
        <f t="shared" si="37"/>
        <v>#VALUE!</v>
      </c>
      <c r="Y235" s="6"/>
      <c r="AJ235" s="5" t="str">
        <f t="shared" si="38"/>
        <v>MO Accounting Services</v>
      </c>
      <c r="AK235" s="5" t="str">
        <f t="shared" si="39"/>
        <v>MO-Accounting Services-MO-Accounting Services_Basic</v>
      </c>
      <c r="AL235" s="5" t="str">
        <f t="shared" si="40"/>
        <v>Ferguson_1040_1_MO Accounting Services</v>
      </c>
      <c r="AM235" s="5" t="str">
        <f t="shared" si="41"/>
        <v>Ferguson_1040_1_MO-Accounting Services-MO-Accounting Services_Basic</v>
      </c>
    </row>
    <row r="236" spans="1:39" x14ac:dyDescent="0.25">
      <c r="A236" s="2" t="s">
        <v>1157</v>
      </c>
      <c r="B236" s="2" t="s">
        <v>1158</v>
      </c>
      <c r="C236" s="2" t="s">
        <v>1196</v>
      </c>
      <c r="D236" s="8">
        <v>43831</v>
      </c>
      <c r="E236" s="5" t="str">
        <f t="shared" si="42"/>
        <v>Field, David_01-01-20</v>
      </c>
      <c r="F236" s="2" t="s">
        <v>1203</v>
      </c>
      <c r="G236" s="2" t="s">
        <v>1241</v>
      </c>
      <c r="H236" s="2" t="s">
        <v>1220</v>
      </c>
      <c r="I236" s="2" t="s">
        <v>1223</v>
      </c>
      <c r="J236" s="2" t="s">
        <v>1234</v>
      </c>
      <c r="M236" s="5" t="str">
        <f t="shared" si="33"/>
        <v>Basic</v>
      </c>
      <c r="N236" s="5" t="str">
        <f t="shared" si="34"/>
        <v>Tax-Staff-Basic</v>
      </c>
      <c r="O236" s="5" t="str">
        <f t="shared" si="35"/>
        <v>Tax-Reviewer-Basic</v>
      </c>
      <c r="P236" s="5" t="str">
        <f t="shared" si="36"/>
        <v>Tax-Signer-Basic</v>
      </c>
      <c r="Q236" s="6">
        <v>1.4675000000000016</v>
      </c>
      <c r="R236" s="6">
        <v>0.29350000000000032</v>
      </c>
      <c r="S236" s="6">
        <v>0.14675000000000016</v>
      </c>
      <c r="T236" s="7">
        <f t="shared" si="43"/>
        <v>1.9077500000000021</v>
      </c>
      <c r="U236" s="6" t="e">
        <f>SUMIFS([1]Sheet1!$L:$L,[1]Sheet1!$I:$I,AJ236,[1]Sheet1!$C:$C,A236)</f>
        <v>#VALUE!</v>
      </c>
      <c r="V236" s="6"/>
      <c r="W236" s="6"/>
      <c r="X236" s="7" t="e">
        <f t="shared" si="37"/>
        <v>#VALUE!</v>
      </c>
      <c r="Y236" s="6"/>
      <c r="AJ236" s="5" t="str">
        <f t="shared" si="38"/>
        <v>NM 1040 - Personal</v>
      </c>
      <c r="AK236" s="5" t="str">
        <f t="shared" si="39"/>
        <v>NM-Tax Services-ANN-1040 - Personal_Basic</v>
      </c>
      <c r="AL236" s="5" t="str">
        <f t="shared" si="40"/>
        <v>Field,_4734_NM 1040 - Personal</v>
      </c>
      <c r="AM236" s="5" t="str">
        <f t="shared" si="41"/>
        <v>Field,_4734_NM-Tax Services-ANN-1040 - Personal_Basic</v>
      </c>
    </row>
    <row r="237" spans="1:39" x14ac:dyDescent="0.25">
      <c r="A237" s="2" t="s">
        <v>1032</v>
      </c>
      <c r="B237" s="2" t="s">
        <v>1033</v>
      </c>
      <c r="C237" s="2" t="s">
        <v>1196</v>
      </c>
      <c r="D237" s="8">
        <v>43831</v>
      </c>
      <c r="E237" s="5" t="str">
        <f t="shared" si="42"/>
        <v>Fine and Well, LLC_01-01-20</v>
      </c>
      <c r="F237" s="2" t="s">
        <v>1204</v>
      </c>
      <c r="G237" s="2" t="s">
        <v>1241</v>
      </c>
      <c r="H237" s="2" t="s">
        <v>1220</v>
      </c>
      <c r="I237" s="2" t="s">
        <v>1223</v>
      </c>
      <c r="J237" s="2" t="s">
        <v>1234</v>
      </c>
      <c r="M237" s="5" t="str">
        <f t="shared" si="33"/>
        <v>Basic</v>
      </c>
      <c r="N237" s="5" t="str">
        <f t="shared" si="34"/>
        <v>Tax-Staff-Basic</v>
      </c>
      <c r="O237" s="5" t="str">
        <f t="shared" si="35"/>
        <v>Tax-Reviewer-Basic</v>
      </c>
      <c r="P237" s="5" t="str">
        <f t="shared" si="36"/>
        <v>Tax-Signer-Basic</v>
      </c>
      <c r="Q237" s="6">
        <v>1.4675000000000016</v>
      </c>
      <c r="R237" s="6">
        <v>0.29350000000000032</v>
      </c>
      <c r="S237" s="6">
        <v>0.14675000000000016</v>
      </c>
      <c r="T237" s="7">
        <f t="shared" si="43"/>
        <v>1.9077500000000021</v>
      </c>
      <c r="U237" s="6" t="e">
        <f>SUMIFS([1]Sheet1!$L:$L,[1]Sheet1!$I:$I,AJ237,[1]Sheet1!$C:$C,A237)</f>
        <v>#VALUE!</v>
      </c>
      <c r="V237" s="6"/>
      <c r="W237" s="6"/>
      <c r="X237" s="7" t="e">
        <f t="shared" si="37"/>
        <v>#VALUE!</v>
      </c>
      <c r="Y237" s="6"/>
      <c r="AJ237" s="5" t="str">
        <f t="shared" si="38"/>
        <v>NM 1120S - S Corporation</v>
      </c>
      <c r="AK237" s="5" t="str">
        <f t="shared" si="39"/>
        <v>NM-Tax Services-ANN-1120S - S Corporation_Basic</v>
      </c>
      <c r="AL237" s="5" t="str">
        <f t="shared" si="40"/>
        <v>Fine and_1120S_1_NM 1120S - S Corporation</v>
      </c>
      <c r="AM237" s="5" t="str">
        <f t="shared" si="41"/>
        <v>Fine and_1120S_1_NM-Tax Services-ANN-1120S - S Corporation_Basic</v>
      </c>
    </row>
    <row r="238" spans="1:39" x14ac:dyDescent="0.25">
      <c r="A238" s="2" t="s">
        <v>1032</v>
      </c>
      <c r="B238" s="2" t="s">
        <v>1033</v>
      </c>
      <c r="C238" s="2" t="s">
        <v>1196</v>
      </c>
      <c r="D238" s="8">
        <v>43831</v>
      </c>
      <c r="E238" s="5" t="str">
        <f t="shared" si="42"/>
        <v>Fine and Well, LLC_01-01-20</v>
      </c>
      <c r="F238" s="2" t="s">
        <v>1200</v>
      </c>
      <c r="G238" s="2" t="s">
        <v>1241</v>
      </c>
      <c r="H238" s="2" t="s">
        <v>1220</v>
      </c>
      <c r="I238" s="2" t="s">
        <v>1223</v>
      </c>
      <c r="J238" s="2" t="s">
        <v>1234</v>
      </c>
      <c r="M238" s="5" t="str">
        <f t="shared" si="33"/>
        <v>Basic</v>
      </c>
      <c r="N238" s="5" t="str">
        <f t="shared" si="34"/>
        <v>Tax-Staff-Basic</v>
      </c>
      <c r="O238" s="5" t="str">
        <f t="shared" si="35"/>
        <v>Tax-Reviewer-Basic</v>
      </c>
      <c r="P238" s="5" t="str">
        <f t="shared" si="36"/>
        <v>Tax-Signer-Basic</v>
      </c>
      <c r="Q238" s="6">
        <v>0.5</v>
      </c>
      <c r="R238" s="6">
        <v>0.1</v>
      </c>
      <c r="S238" s="6">
        <v>0.05</v>
      </c>
      <c r="T238" s="7">
        <f t="shared" si="43"/>
        <v>0.65</v>
      </c>
      <c r="U238" s="6" t="e">
        <f>SUMIFS([1]Sheet1!$L:$L,[1]Sheet1!$I:$I,AJ238,[1]Sheet1!$C:$C,A238)</f>
        <v>#VALUE!</v>
      </c>
      <c r="V238" s="6"/>
      <c r="W238" s="6"/>
      <c r="X238" s="7" t="e">
        <f t="shared" si="37"/>
        <v>#VALUE!</v>
      </c>
      <c r="Y238" s="6"/>
      <c r="AJ238" s="5" t="str">
        <f t="shared" si="38"/>
        <v>NM Texas Franchise Tax Return</v>
      </c>
      <c r="AK238" s="5" t="str">
        <f t="shared" si="39"/>
        <v>NM-Tax Services-ANN-Texas Franchise Tax Return_Basic</v>
      </c>
      <c r="AL238" s="5" t="str">
        <f t="shared" si="40"/>
        <v>Fine and_1120S_1_NM Texas Franchise Tax Return</v>
      </c>
      <c r="AM238" s="5" t="str">
        <f t="shared" si="41"/>
        <v>Fine and_1120S_1_NM-Tax Services-ANN-Texas Franchise Tax Return_Basic</v>
      </c>
    </row>
    <row r="239" spans="1:39" x14ac:dyDescent="0.25">
      <c r="A239" s="2" t="s">
        <v>307</v>
      </c>
      <c r="B239" s="2" t="s">
        <v>308</v>
      </c>
      <c r="C239" s="2" t="s">
        <v>1197</v>
      </c>
      <c r="D239" s="8">
        <v>43831</v>
      </c>
      <c r="E239" s="5" t="str">
        <f t="shared" si="42"/>
        <v>First Texas Roofing LLC_01-01-20</v>
      </c>
      <c r="F239" s="2" t="s">
        <v>1204</v>
      </c>
      <c r="G239" s="2" t="s">
        <v>1241</v>
      </c>
      <c r="H239" s="2" t="s">
        <v>1220</v>
      </c>
      <c r="I239" s="2" t="s">
        <v>1221</v>
      </c>
      <c r="J239" s="2" t="s">
        <v>1234</v>
      </c>
      <c r="M239" s="5" t="str">
        <f t="shared" si="33"/>
        <v>Mid</v>
      </c>
      <c r="N239" s="5" t="str">
        <f t="shared" si="34"/>
        <v>Tax-Staff-Mid</v>
      </c>
      <c r="O239" s="5" t="str">
        <f t="shared" si="35"/>
        <v>Tax-Reviewer-Mid</v>
      </c>
      <c r="P239" s="5" t="str">
        <f t="shared" si="36"/>
        <v>Tax-Signer-Mid</v>
      </c>
      <c r="Q239" s="6">
        <v>2.7401969696969677</v>
      </c>
      <c r="R239" s="6">
        <v>0.5480393939393936</v>
      </c>
      <c r="S239" s="6">
        <v>0.2740196969696968</v>
      </c>
      <c r="T239" s="7">
        <f t="shared" si="43"/>
        <v>3.562256060606058</v>
      </c>
      <c r="U239" s="6" t="e">
        <f>SUMIFS([1]Sheet1!$L:$L,[1]Sheet1!$I:$I,AJ239,[1]Sheet1!$C:$C,A239)</f>
        <v>#VALUE!</v>
      </c>
      <c r="V239" s="6"/>
      <c r="W239" s="6"/>
      <c r="X239" s="7" t="e">
        <f t="shared" si="37"/>
        <v>#VALUE!</v>
      </c>
      <c r="Y239" s="6"/>
      <c r="AJ239" s="5" t="str">
        <f t="shared" si="38"/>
        <v>MO 1120S - S Corporation</v>
      </c>
      <c r="AK239" s="5" t="str">
        <f t="shared" si="39"/>
        <v>MO-Tax Services-ANN-1120S - S Corporation_Mid</v>
      </c>
      <c r="AL239" s="5" t="str">
        <f t="shared" si="40"/>
        <v>First Te_1120S_83-2791581_MO 1120S - S Corporation</v>
      </c>
      <c r="AM239" s="5" t="str">
        <f t="shared" si="41"/>
        <v>First Te_1120S_83-2791581_MO-Tax Services-ANN-1120S - S Corporation_Mid</v>
      </c>
    </row>
    <row r="240" spans="1:39" x14ac:dyDescent="0.25">
      <c r="A240" s="2" t="s">
        <v>1115</v>
      </c>
      <c r="B240" s="2" t="s">
        <v>1116</v>
      </c>
      <c r="C240" s="2" t="s">
        <v>1196</v>
      </c>
      <c r="D240" s="8">
        <v>43831</v>
      </c>
      <c r="E240" s="5" t="str">
        <f t="shared" si="42"/>
        <v>Fitzgerald, Douglas S. &amp; Anne M._01-01-20</v>
      </c>
      <c r="F240" s="2" t="s">
        <v>1203</v>
      </c>
      <c r="G240" s="2" t="s">
        <v>1241</v>
      </c>
      <c r="H240" s="2" t="s">
        <v>1220</v>
      </c>
      <c r="I240" s="2" t="s">
        <v>1221</v>
      </c>
      <c r="J240" s="2" t="s">
        <v>1234</v>
      </c>
      <c r="M240" s="5" t="str">
        <f t="shared" si="33"/>
        <v>Mid</v>
      </c>
      <c r="N240" s="5" t="str">
        <f t="shared" si="34"/>
        <v>Tax-Staff-Mid</v>
      </c>
      <c r="O240" s="5" t="str">
        <f t="shared" si="35"/>
        <v>Tax-Reviewer-Mid</v>
      </c>
      <c r="P240" s="5" t="str">
        <f t="shared" si="36"/>
        <v>Tax-Signer-Mid</v>
      </c>
      <c r="Q240" s="6">
        <v>2.7401969696969677</v>
      </c>
      <c r="R240" s="6">
        <v>0.5480393939393936</v>
      </c>
      <c r="S240" s="6">
        <v>0.2740196969696968</v>
      </c>
      <c r="T240" s="7">
        <f t="shared" si="43"/>
        <v>3.562256060606058</v>
      </c>
      <c r="U240" s="6" t="e">
        <f>SUMIFS([1]Sheet1!$L:$L,[1]Sheet1!$I:$I,AJ240,[1]Sheet1!$C:$C,A240)</f>
        <v>#VALUE!</v>
      </c>
      <c r="V240" s="6"/>
      <c r="W240" s="6"/>
      <c r="X240" s="7" t="e">
        <f t="shared" si="37"/>
        <v>#VALUE!</v>
      </c>
      <c r="Y240" s="6"/>
      <c r="AJ240" s="5" t="str">
        <f t="shared" si="38"/>
        <v>NM 1040 - Personal</v>
      </c>
      <c r="AK240" s="5" t="str">
        <f t="shared" si="39"/>
        <v>NM-Tax Services-ANN-1040 - Personal_Mid</v>
      </c>
      <c r="AL240" s="5" t="str">
        <f t="shared" si="40"/>
        <v>Fitzge_1479_NM 1040 - Personal</v>
      </c>
      <c r="AM240" s="5" t="str">
        <f t="shared" si="41"/>
        <v>Fitzge_1479_NM-Tax Services-ANN-1040 - Personal_Mid</v>
      </c>
    </row>
    <row r="241" spans="1:39" x14ac:dyDescent="0.25">
      <c r="A241" s="2" t="s">
        <v>57</v>
      </c>
      <c r="B241" s="2" t="s">
        <v>58</v>
      </c>
      <c r="C241" s="2" t="s">
        <v>1197</v>
      </c>
      <c r="D241" s="8">
        <v>43831</v>
      </c>
      <c r="E241" s="5" t="str">
        <f t="shared" si="42"/>
        <v>Five Phase LLC_01-01-20</v>
      </c>
      <c r="F241" s="2" t="s">
        <v>1199</v>
      </c>
      <c r="G241" s="2" t="s">
        <v>1241</v>
      </c>
      <c r="H241" s="2" t="s">
        <v>1220</v>
      </c>
      <c r="I241" s="2" t="s">
        <v>1223</v>
      </c>
      <c r="J241" s="2" t="s">
        <v>1234</v>
      </c>
      <c r="M241" s="5" t="str">
        <f t="shared" si="33"/>
        <v>Basic</v>
      </c>
      <c r="N241" s="5" t="str">
        <f t="shared" si="34"/>
        <v>Tax-Staff-Basic</v>
      </c>
      <c r="O241" s="5" t="str">
        <f t="shared" si="35"/>
        <v>Tax-Reviewer-Basic</v>
      </c>
      <c r="P241" s="5" t="str">
        <f t="shared" si="36"/>
        <v>Tax-Signer-Basic</v>
      </c>
      <c r="Q241" s="6">
        <v>1.4675000000000016</v>
      </c>
      <c r="R241" s="6">
        <v>0.29350000000000032</v>
      </c>
      <c r="S241" s="6">
        <v>0.14675000000000016</v>
      </c>
      <c r="T241" s="7">
        <f t="shared" si="43"/>
        <v>1.9077500000000021</v>
      </c>
      <c r="U241" s="6" t="e">
        <f>SUMIFS([1]Sheet1!$L:$L,[1]Sheet1!$I:$I,AJ241,[1]Sheet1!$C:$C,A241)</f>
        <v>#VALUE!</v>
      </c>
      <c r="V241" s="6"/>
      <c r="W241" s="6"/>
      <c r="X241" s="7" t="e">
        <f t="shared" si="37"/>
        <v>#VALUE!</v>
      </c>
      <c r="Y241" s="6"/>
      <c r="AJ241" s="5" t="str">
        <f t="shared" si="38"/>
        <v>MO 1065 - Partnership</v>
      </c>
      <c r="AK241" s="5" t="str">
        <f t="shared" si="39"/>
        <v>MO-Tax Services-ANN-1065 - Partnership_Basic</v>
      </c>
      <c r="AL241" s="5" t="str">
        <f t="shared" si="40"/>
        <v>Five Pha_1065_83-3528383_MO 1065 - Partnership</v>
      </c>
      <c r="AM241" s="5" t="str">
        <f t="shared" si="41"/>
        <v>Five Pha_1065_83-3528383_MO-Tax Services-ANN-1065 - Partnership_Basic</v>
      </c>
    </row>
    <row r="242" spans="1:39" x14ac:dyDescent="0.25">
      <c r="A242" s="2" t="s">
        <v>57</v>
      </c>
      <c r="B242" s="2" t="s">
        <v>58</v>
      </c>
      <c r="C242" s="2" t="s">
        <v>1197</v>
      </c>
      <c r="D242" s="8">
        <v>43831</v>
      </c>
      <c r="E242" s="5" t="str">
        <f t="shared" si="42"/>
        <v>Five Phase LLC_01-01-20</v>
      </c>
      <c r="F242" s="2" t="s">
        <v>1200</v>
      </c>
      <c r="G242" s="2" t="s">
        <v>1241</v>
      </c>
      <c r="H242" s="2" t="s">
        <v>1220</v>
      </c>
      <c r="I242" s="2" t="s">
        <v>1223</v>
      </c>
      <c r="J242" s="2" t="s">
        <v>1234</v>
      </c>
      <c r="M242" s="5" t="str">
        <f t="shared" si="33"/>
        <v>Basic</v>
      </c>
      <c r="N242" s="5" t="str">
        <f t="shared" si="34"/>
        <v>Tax-Staff-Basic</v>
      </c>
      <c r="O242" s="5" t="str">
        <f t="shared" si="35"/>
        <v>Tax-Reviewer-Basic</v>
      </c>
      <c r="P242" s="5" t="str">
        <f t="shared" si="36"/>
        <v>Tax-Signer-Basic</v>
      </c>
      <c r="Q242" s="6">
        <v>0.5</v>
      </c>
      <c r="R242" s="6">
        <v>0.1</v>
      </c>
      <c r="S242" s="6">
        <v>0.05</v>
      </c>
      <c r="T242" s="7">
        <f t="shared" si="43"/>
        <v>0.65</v>
      </c>
      <c r="U242" s="6" t="e">
        <f>SUMIFS([1]Sheet1!$L:$L,[1]Sheet1!$I:$I,AJ242,[1]Sheet1!$C:$C,A242)</f>
        <v>#VALUE!</v>
      </c>
      <c r="V242" s="6"/>
      <c r="W242" s="6"/>
      <c r="X242" s="7" t="e">
        <f t="shared" si="37"/>
        <v>#VALUE!</v>
      </c>
      <c r="Y242" s="6"/>
      <c r="AJ242" s="5" t="str">
        <f t="shared" si="38"/>
        <v>MO Texas Franchise Tax Return</v>
      </c>
      <c r="AK242" s="5" t="str">
        <f t="shared" si="39"/>
        <v>MO-Tax Services-ANN-Texas Franchise Tax Return_Basic</v>
      </c>
      <c r="AL242" s="5" t="str">
        <f t="shared" si="40"/>
        <v>Five Pha_1065_83-3528383_MO Texas Franchise Tax Return</v>
      </c>
      <c r="AM242" s="5" t="str">
        <f t="shared" si="41"/>
        <v>Five Pha_1065_83-3528383_MO-Tax Services-ANN-Texas Franchise Tax Return_Basic</v>
      </c>
    </row>
    <row r="243" spans="1:39" x14ac:dyDescent="0.25">
      <c r="A243" s="2" t="s">
        <v>1016</v>
      </c>
      <c r="B243" s="2" t="s">
        <v>1017</v>
      </c>
      <c r="C243" s="2" t="s">
        <v>1196</v>
      </c>
      <c r="D243" s="8">
        <v>43831</v>
      </c>
      <c r="E243" s="5" t="str">
        <f t="shared" si="42"/>
        <v>Ford, Steven_01-01-20</v>
      </c>
      <c r="F243" s="2" t="s">
        <v>1203</v>
      </c>
      <c r="G243" s="2" t="s">
        <v>1241</v>
      </c>
      <c r="H243" s="2" t="s">
        <v>1220</v>
      </c>
      <c r="I243" s="2" t="s">
        <v>1223</v>
      </c>
      <c r="J243" s="2" t="s">
        <v>1234</v>
      </c>
      <c r="M243" s="5" t="str">
        <f t="shared" si="33"/>
        <v>Basic</v>
      </c>
      <c r="N243" s="5" t="str">
        <f t="shared" si="34"/>
        <v>Tax-Staff-Basic</v>
      </c>
      <c r="O243" s="5" t="str">
        <f t="shared" si="35"/>
        <v>Tax-Reviewer-Basic</v>
      </c>
      <c r="P243" s="5" t="str">
        <f t="shared" si="36"/>
        <v>Tax-Signer-Basic</v>
      </c>
      <c r="Q243" s="6">
        <v>1.4675000000000016</v>
      </c>
      <c r="R243" s="6">
        <v>0.29350000000000032</v>
      </c>
      <c r="S243" s="6">
        <v>0.14675000000000016</v>
      </c>
      <c r="T243" s="7">
        <f t="shared" si="43"/>
        <v>1.9077500000000021</v>
      </c>
      <c r="U243" s="6" t="e">
        <f>SUMIFS([1]Sheet1!$L:$L,[1]Sheet1!$I:$I,AJ243,[1]Sheet1!$C:$C,A243)</f>
        <v>#VALUE!</v>
      </c>
      <c r="V243" s="6"/>
      <c r="W243" s="6"/>
      <c r="X243" s="7" t="e">
        <f t="shared" si="37"/>
        <v>#VALUE!</v>
      </c>
      <c r="Y243" s="6"/>
      <c r="AJ243" s="5" t="str">
        <f t="shared" si="38"/>
        <v>NM 1040 - Personal</v>
      </c>
      <c r="AK243" s="5" t="str">
        <f t="shared" si="39"/>
        <v>NM-Tax Services-ANN-1040 - Personal_Basic</v>
      </c>
      <c r="AL243" s="5" t="str">
        <f t="shared" si="40"/>
        <v>Ford, St_1040_1_NM 1040 - Personal</v>
      </c>
      <c r="AM243" s="5" t="str">
        <f t="shared" si="41"/>
        <v>Ford, St_1040_1_NM-Tax Services-ANN-1040 - Personal_Basic</v>
      </c>
    </row>
    <row r="244" spans="1:39" x14ac:dyDescent="0.25">
      <c r="A244" s="2" t="s">
        <v>1149</v>
      </c>
      <c r="B244" s="2" t="s">
        <v>1150</v>
      </c>
      <c r="C244" s="2" t="s">
        <v>1197</v>
      </c>
      <c r="D244" s="8">
        <v>43831</v>
      </c>
      <c r="E244" s="5" t="str">
        <f t="shared" si="42"/>
        <v>Fordinal, Michael_01-01-20</v>
      </c>
      <c r="F244" s="2" t="s">
        <v>1203</v>
      </c>
      <c r="G244" s="2" t="s">
        <v>1241</v>
      </c>
      <c r="H244" s="2" t="s">
        <v>1220</v>
      </c>
      <c r="I244" s="2" t="s">
        <v>1221</v>
      </c>
      <c r="J244" s="2" t="s">
        <v>1234</v>
      </c>
      <c r="M244" s="5" t="str">
        <f t="shared" si="33"/>
        <v>Mid</v>
      </c>
      <c r="N244" s="5" t="str">
        <f t="shared" si="34"/>
        <v>Tax-Staff-Mid</v>
      </c>
      <c r="O244" s="5" t="str">
        <f t="shared" si="35"/>
        <v>Tax-Reviewer-Mid</v>
      </c>
      <c r="P244" s="5" t="str">
        <f t="shared" si="36"/>
        <v>Tax-Signer-Mid</v>
      </c>
      <c r="Q244" s="6">
        <v>2.7401969696969677</v>
      </c>
      <c r="R244" s="6">
        <v>0.5480393939393936</v>
      </c>
      <c r="S244" s="6">
        <v>0.2740196969696968</v>
      </c>
      <c r="T244" s="7">
        <f t="shared" si="43"/>
        <v>3.562256060606058</v>
      </c>
      <c r="U244" s="6" t="e">
        <f>SUMIFS([1]Sheet1!$L:$L,[1]Sheet1!$I:$I,AJ244,[1]Sheet1!$C:$C,A244)</f>
        <v>#VALUE!</v>
      </c>
      <c r="V244" s="6"/>
      <c r="W244" s="6"/>
      <c r="X244" s="7" t="e">
        <f t="shared" si="37"/>
        <v>#VALUE!</v>
      </c>
      <c r="Y244" s="6"/>
      <c r="AJ244" s="5" t="str">
        <f t="shared" si="38"/>
        <v>MO 1040 - Personal</v>
      </c>
      <c r="AK244" s="5" t="str">
        <f t="shared" si="39"/>
        <v>MO-Tax Services-ANN-1040 - Personal_Mid</v>
      </c>
      <c r="AL244" s="5" t="str">
        <f t="shared" si="40"/>
        <v>Fordin_1150_MO 1040 - Personal</v>
      </c>
      <c r="AM244" s="5" t="str">
        <f t="shared" si="41"/>
        <v>Fordin_1150_MO-Tax Services-ANN-1040 - Personal_Mid</v>
      </c>
    </row>
    <row r="245" spans="1:39" x14ac:dyDescent="0.25">
      <c r="A245" s="2" t="s">
        <v>559</v>
      </c>
      <c r="B245" s="2" t="s">
        <v>560</v>
      </c>
      <c r="C245" s="2" t="s">
        <v>1196</v>
      </c>
      <c r="D245" s="8">
        <v>43831</v>
      </c>
      <c r="E245" s="5" t="str">
        <f t="shared" si="42"/>
        <v>Forshee, Jessica_01-01-20</v>
      </c>
      <c r="F245" s="2" t="s">
        <v>1203</v>
      </c>
      <c r="G245" s="2" t="s">
        <v>1241</v>
      </c>
      <c r="H245" s="2" t="s">
        <v>1220</v>
      </c>
      <c r="I245" s="2" t="s">
        <v>1223</v>
      </c>
      <c r="J245" s="2" t="s">
        <v>1234</v>
      </c>
      <c r="M245" s="5" t="str">
        <f t="shared" si="33"/>
        <v>Basic</v>
      </c>
      <c r="N245" s="5" t="str">
        <f t="shared" si="34"/>
        <v>Tax-Staff-Basic</v>
      </c>
      <c r="O245" s="5" t="str">
        <f t="shared" si="35"/>
        <v>Tax-Reviewer-Basic</v>
      </c>
      <c r="P245" s="5" t="str">
        <f t="shared" si="36"/>
        <v>Tax-Signer-Basic</v>
      </c>
      <c r="Q245" s="6">
        <v>1.4675000000000016</v>
      </c>
      <c r="R245" s="6">
        <v>0.29350000000000032</v>
      </c>
      <c r="S245" s="6">
        <v>0.14675000000000016</v>
      </c>
      <c r="T245" s="7">
        <f t="shared" si="43"/>
        <v>1.9077500000000021</v>
      </c>
      <c r="U245" s="6" t="e">
        <f>SUMIFS([1]Sheet1!$L:$L,[1]Sheet1!$I:$I,AJ245,[1]Sheet1!$C:$C,A245)</f>
        <v>#VALUE!</v>
      </c>
      <c r="V245" s="6"/>
      <c r="W245" s="6"/>
      <c r="X245" s="7" t="e">
        <f t="shared" si="37"/>
        <v>#VALUE!</v>
      </c>
      <c r="Y245" s="6"/>
      <c r="AJ245" s="5" t="str">
        <f t="shared" si="38"/>
        <v>NM 1040 - Personal</v>
      </c>
      <c r="AK245" s="5" t="str">
        <f t="shared" si="39"/>
        <v>NM-Tax Services-ANN-1040 - Personal_Basic</v>
      </c>
      <c r="AL245" s="5" t="str">
        <f t="shared" si="40"/>
        <v>Forshe_8870_NM 1040 - Personal</v>
      </c>
      <c r="AM245" s="5" t="str">
        <f t="shared" si="41"/>
        <v>Forshe_8870_NM-Tax Services-ANN-1040 - Personal_Basic</v>
      </c>
    </row>
    <row r="246" spans="1:39" x14ac:dyDescent="0.25">
      <c r="A246" s="2" t="s">
        <v>561</v>
      </c>
      <c r="B246" s="2" t="s">
        <v>562</v>
      </c>
      <c r="C246" s="2" t="s">
        <v>1196</v>
      </c>
      <c r="D246" s="8">
        <v>43831</v>
      </c>
      <c r="E246" s="5" t="str">
        <f t="shared" si="42"/>
        <v>Fowler, Dennis_01-01-20</v>
      </c>
      <c r="F246" s="2" t="s">
        <v>1203</v>
      </c>
      <c r="G246" s="2" t="s">
        <v>1241</v>
      </c>
      <c r="H246" s="2" t="s">
        <v>1220</v>
      </c>
      <c r="I246" s="2" t="s">
        <v>1223</v>
      </c>
      <c r="J246" s="2" t="s">
        <v>1234</v>
      </c>
      <c r="M246" s="5" t="str">
        <f t="shared" si="33"/>
        <v>Basic</v>
      </c>
      <c r="N246" s="5" t="str">
        <f t="shared" si="34"/>
        <v>Tax-Staff-Basic</v>
      </c>
      <c r="O246" s="5" t="str">
        <f t="shared" si="35"/>
        <v>Tax-Reviewer-Basic</v>
      </c>
      <c r="P246" s="5" t="str">
        <f t="shared" si="36"/>
        <v>Tax-Signer-Basic</v>
      </c>
      <c r="Q246" s="6">
        <v>1.4675000000000016</v>
      </c>
      <c r="R246" s="6">
        <v>0.29350000000000032</v>
      </c>
      <c r="S246" s="6">
        <v>0.14675000000000016</v>
      </c>
      <c r="T246" s="7">
        <f t="shared" si="43"/>
        <v>1.9077500000000021</v>
      </c>
      <c r="U246" s="6" t="e">
        <f>SUMIFS([1]Sheet1!$L:$L,[1]Sheet1!$I:$I,AJ246,[1]Sheet1!$C:$C,A246)</f>
        <v>#VALUE!</v>
      </c>
      <c r="V246" s="6"/>
      <c r="W246" s="6"/>
      <c r="X246" s="7" t="e">
        <f t="shared" si="37"/>
        <v>#VALUE!</v>
      </c>
      <c r="Y246" s="6"/>
      <c r="AJ246" s="5" t="str">
        <f t="shared" si="38"/>
        <v>NM 1040 - Personal</v>
      </c>
      <c r="AK246" s="5" t="str">
        <f t="shared" si="39"/>
        <v>NM-Tax Services-ANN-1040 - Personal_Basic</v>
      </c>
      <c r="AL246" s="5" t="str">
        <f t="shared" si="40"/>
        <v>Fowler_0076_NM 1040 - Personal</v>
      </c>
      <c r="AM246" s="5" t="str">
        <f t="shared" si="41"/>
        <v>Fowler_0076_NM-Tax Services-ANN-1040 - Personal_Basic</v>
      </c>
    </row>
    <row r="247" spans="1:39" x14ac:dyDescent="0.25">
      <c r="A247" s="2" t="s">
        <v>563</v>
      </c>
      <c r="B247" s="2" t="s">
        <v>564</v>
      </c>
      <c r="C247" s="2" t="s">
        <v>1196</v>
      </c>
      <c r="D247" s="8">
        <v>43831</v>
      </c>
      <c r="E247" s="5" t="str">
        <f t="shared" si="42"/>
        <v>Frankel, Adam_01-01-20</v>
      </c>
      <c r="F247" s="2" t="s">
        <v>1203</v>
      </c>
      <c r="G247" s="2" t="s">
        <v>1241</v>
      </c>
      <c r="H247" s="2" t="s">
        <v>1220</v>
      </c>
      <c r="I247" s="2" t="s">
        <v>1223</v>
      </c>
      <c r="J247" s="2" t="s">
        <v>1234</v>
      </c>
      <c r="M247" s="5" t="str">
        <f t="shared" si="33"/>
        <v>Basic</v>
      </c>
      <c r="N247" s="5" t="str">
        <f t="shared" si="34"/>
        <v>Tax-Staff-Basic</v>
      </c>
      <c r="O247" s="5" t="str">
        <f t="shared" si="35"/>
        <v>Tax-Reviewer-Basic</v>
      </c>
      <c r="P247" s="5" t="str">
        <f t="shared" si="36"/>
        <v>Tax-Signer-Basic</v>
      </c>
      <c r="Q247" s="6">
        <v>1.4675000000000016</v>
      </c>
      <c r="R247" s="6">
        <v>0.29350000000000032</v>
      </c>
      <c r="S247" s="6">
        <v>0.14675000000000016</v>
      </c>
      <c r="T247" s="7">
        <f t="shared" si="43"/>
        <v>1.9077500000000021</v>
      </c>
      <c r="U247" s="6" t="e">
        <f>SUMIFS([1]Sheet1!$L:$L,[1]Sheet1!$I:$I,AJ247,[1]Sheet1!$C:$C,A247)</f>
        <v>#VALUE!</v>
      </c>
      <c r="V247" s="6"/>
      <c r="W247" s="6"/>
      <c r="X247" s="7" t="e">
        <f t="shared" si="37"/>
        <v>#VALUE!</v>
      </c>
      <c r="Y247" s="6"/>
      <c r="AJ247" s="5" t="str">
        <f t="shared" si="38"/>
        <v>NM 1040 - Personal</v>
      </c>
      <c r="AK247" s="5" t="str">
        <f t="shared" si="39"/>
        <v>NM-Tax Services-ANN-1040 - Personal_Basic</v>
      </c>
      <c r="AL247" s="5" t="str">
        <f t="shared" si="40"/>
        <v>Franke_0666_NM 1040 - Personal</v>
      </c>
      <c r="AM247" s="5" t="str">
        <f t="shared" si="41"/>
        <v>Franke_0666_NM-Tax Services-ANN-1040 - Personal_Basic</v>
      </c>
    </row>
    <row r="248" spans="1:39" x14ac:dyDescent="0.25">
      <c r="A248" s="2" t="s">
        <v>59</v>
      </c>
      <c r="B248" s="2" t="s">
        <v>60</v>
      </c>
      <c r="C248" s="2" t="s">
        <v>1197</v>
      </c>
      <c r="D248" s="8">
        <v>43831</v>
      </c>
      <c r="E248" s="5" t="str">
        <f t="shared" si="42"/>
        <v>Franklin Media, LLC_01-01-20</v>
      </c>
      <c r="F248" s="2" t="s">
        <v>1201</v>
      </c>
      <c r="G248" s="2" t="s">
        <v>1201</v>
      </c>
      <c r="H248" s="2" t="s">
        <v>1197</v>
      </c>
      <c r="I248" s="2" t="s">
        <v>1223</v>
      </c>
      <c r="J248" s="2" t="s">
        <v>1235</v>
      </c>
      <c r="M248" s="5" t="str">
        <f t="shared" si="33"/>
        <v>Basic</v>
      </c>
      <c r="N248" s="5" t="str">
        <f t="shared" si="34"/>
        <v>Accountant-Staff-Basic</v>
      </c>
      <c r="O248" s="5" t="str">
        <f t="shared" si="35"/>
        <v>Accountant-Reviewer-Basic</v>
      </c>
      <c r="P248" s="5" t="str">
        <f t="shared" si="36"/>
        <v>Accountant-Signer-Basic</v>
      </c>
      <c r="Q248" s="6">
        <v>1.47</v>
      </c>
      <c r="R248" s="6">
        <v>0.29399999999999998</v>
      </c>
      <c r="S248" s="6">
        <v>0.14699999999999999</v>
      </c>
      <c r="T248" s="7">
        <f t="shared" si="43"/>
        <v>1.911</v>
      </c>
      <c r="U248" s="6" t="e">
        <f>SUMIFS([1]Sheet1!$L:$L,[1]Sheet1!$I:$I,AJ248,[1]Sheet1!$C:$C,A248)</f>
        <v>#VALUE!</v>
      </c>
      <c r="V248" s="6"/>
      <c r="W248" s="6"/>
      <c r="X248" s="7" t="e">
        <f t="shared" si="37"/>
        <v>#VALUE!</v>
      </c>
      <c r="Y248" s="6"/>
      <c r="AJ248" s="5" t="str">
        <f t="shared" si="38"/>
        <v>MO Accounting Services</v>
      </c>
      <c r="AK248" s="5" t="str">
        <f t="shared" si="39"/>
        <v>MO-Accounting Services-MO-Accounting Services_Basic</v>
      </c>
      <c r="AL248" s="5" t="str">
        <f t="shared" si="40"/>
        <v>Franklin_1120S_46-4526089_MO Accounting Services</v>
      </c>
      <c r="AM248" s="5" t="str">
        <f t="shared" si="41"/>
        <v>Franklin_1120S_46-4526089_MO-Accounting Services-MO-Accounting Services_Basic</v>
      </c>
    </row>
    <row r="249" spans="1:39" x14ac:dyDescent="0.25">
      <c r="A249" s="2" t="s">
        <v>59</v>
      </c>
      <c r="B249" s="2" t="s">
        <v>60</v>
      </c>
      <c r="C249" s="2" t="s">
        <v>1197</v>
      </c>
      <c r="D249" s="8">
        <v>43831</v>
      </c>
      <c r="E249" s="5" t="str">
        <f t="shared" si="42"/>
        <v>Franklin Media, LLC_01-01-20</v>
      </c>
      <c r="F249" s="2" t="s">
        <v>1205</v>
      </c>
      <c r="G249" s="2" t="s">
        <v>1201</v>
      </c>
      <c r="H249" s="2" t="s">
        <v>1224</v>
      </c>
      <c r="I249" s="2" t="s">
        <v>1223</v>
      </c>
      <c r="J249" s="2" t="s">
        <v>1235</v>
      </c>
      <c r="M249" s="5" t="str">
        <f t="shared" si="33"/>
        <v>Basic</v>
      </c>
      <c r="N249" s="5" t="str">
        <f t="shared" si="34"/>
        <v>Accountant-Staff-Basic</v>
      </c>
      <c r="O249" s="5" t="str">
        <f t="shared" si="35"/>
        <v>Accountant-Reviewer-Basic</v>
      </c>
      <c r="P249" s="5" t="str">
        <f t="shared" si="36"/>
        <v>Accountant-Signer-Basic</v>
      </c>
      <c r="Q249" s="6">
        <v>0.5</v>
      </c>
      <c r="R249" s="6">
        <v>0.1</v>
      </c>
      <c r="S249" s="6">
        <v>0.05</v>
      </c>
      <c r="T249" s="7">
        <f t="shared" si="43"/>
        <v>0.65</v>
      </c>
      <c r="U249" s="6" t="e">
        <f>SUMIFS([1]Sheet1!$L:$L,[1]Sheet1!$I:$I,AJ249,[1]Sheet1!$C:$C,A249)</f>
        <v>#VALUE!</v>
      </c>
      <c r="V249" s="6"/>
      <c r="W249" s="6"/>
      <c r="X249" s="7" t="e">
        <f t="shared" si="37"/>
        <v>#VALUE!</v>
      </c>
      <c r="Y249" s="6"/>
      <c r="AJ249" s="5" t="str">
        <f t="shared" si="38"/>
        <v>MO Payroll Services</v>
      </c>
      <c r="AK249" s="5" t="str">
        <f t="shared" si="39"/>
        <v>MO-Accounting Services-QTR-Payroll Services_Basic</v>
      </c>
      <c r="AL249" s="5" t="str">
        <f t="shared" si="40"/>
        <v>Franklin_1120S_46-4526089_MO Payroll Services</v>
      </c>
      <c r="AM249" s="5" t="str">
        <f t="shared" si="41"/>
        <v>Franklin_1120S_46-4526089_MO-Accounting Services-QTR-Payroll Services_Basic</v>
      </c>
    </row>
    <row r="250" spans="1:39" x14ac:dyDescent="0.25">
      <c r="A250" s="2" t="s">
        <v>59</v>
      </c>
      <c r="B250" s="2" t="s">
        <v>60</v>
      </c>
      <c r="C250" s="2" t="s">
        <v>1197</v>
      </c>
      <c r="D250" s="8">
        <v>43831</v>
      </c>
      <c r="E250" s="5" t="str">
        <f t="shared" si="42"/>
        <v>Franklin Media, LLC_01-01-20</v>
      </c>
      <c r="F250" s="2" t="s">
        <v>1200</v>
      </c>
      <c r="G250" s="2" t="s">
        <v>1241</v>
      </c>
      <c r="H250" s="2" t="s">
        <v>1220</v>
      </c>
      <c r="I250" s="2" t="s">
        <v>1223</v>
      </c>
      <c r="J250" s="2" t="s">
        <v>1234</v>
      </c>
      <c r="M250" s="5" t="str">
        <f t="shared" si="33"/>
        <v>Basic</v>
      </c>
      <c r="N250" s="5" t="str">
        <f t="shared" si="34"/>
        <v>Tax-Staff-Basic</v>
      </c>
      <c r="O250" s="5" t="str">
        <f t="shared" si="35"/>
        <v>Tax-Reviewer-Basic</v>
      </c>
      <c r="P250" s="5" t="str">
        <f t="shared" si="36"/>
        <v>Tax-Signer-Basic</v>
      </c>
      <c r="Q250" s="6">
        <v>0.5</v>
      </c>
      <c r="R250" s="6">
        <v>0.1</v>
      </c>
      <c r="S250" s="6">
        <v>0.05</v>
      </c>
      <c r="T250" s="7">
        <f t="shared" si="43"/>
        <v>0.65</v>
      </c>
      <c r="U250" s="6" t="e">
        <f>SUMIFS([1]Sheet1!$L:$L,[1]Sheet1!$I:$I,AJ250,[1]Sheet1!$C:$C,A250)</f>
        <v>#VALUE!</v>
      </c>
      <c r="V250" s="6"/>
      <c r="W250" s="6"/>
      <c r="X250" s="7" t="e">
        <f t="shared" si="37"/>
        <v>#VALUE!</v>
      </c>
      <c r="Y250" s="6"/>
      <c r="AJ250" s="5" t="str">
        <f t="shared" si="38"/>
        <v>MO Texas Franchise Tax Return</v>
      </c>
      <c r="AK250" s="5" t="str">
        <f t="shared" si="39"/>
        <v>MO-Tax Services-ANN-Texas Franchise Tax Return_Basic</v>
      </c>
      <c r="AL250" s="5" t="str">
        <f t="shared" si="40"/>
        <v>Franklin_1120S_46-4526089_MO Texas Franchise Tax Return</v>
      </c>
      <c r="AM250" s="5" t="str">
        <f t="shared" si="41"/>
        <v>Franklin_1120S_46-4526089_MO-Tax Services-ANN-Texas Franchise Tax Return_Basic</v>
      </c>
    </row>
    <row r="251" spans="1:39" x14ac:dyDescent="0.25">
      <c r="A251" s="2" t="s">
        <v>61</v>
      </c>
      <c r="B251" s="2" t="s">
        <v>62</v>
      </c>
      <c r="C251" s="2" t="s">
        <v>1197</v>
      </c>
      <c r="D251" s="8">
        <v>43831</v>
      </c>
      <c r="E251" s="5" t="str">
        <f t="shared" si="42"/>
        <v>Fredshots Photography_01-01-20</v>
      </c>
      <c r="F251" s="2" t="s">
        <v>1201</v>
      </c>
      <c r="G251" s="2" t="s">
        <v>1201</v>
      </c>
      <c r="H251" s="2" t="s">
        <v>1197</v>
      </c>
      <c r="I251" s="2" t="s">
        <v>1223</v>
      </c>
      <c r="J251" s="2" t="s">
        <v>1235</v>
      </c>
      <c r="M251" s="5" t="str">
        <f t="shared" si="33"/>
        <v>Basic</v>
      </c>
      <c r="N251" s="5" t="str">
        <f t="shared" si="34"/>
        <v>Accountant-Staff-Basic</v>
      </c>
      <c r="O251" s="5" t="str">
        <f t="shared" si="35"/>
        <v>Accountant-Reviewer-Basic</v>
      </c>
      <c r="P251" s="5" t="str">
        <f t="shared" si="36"/>
        <v>Accountant-Signer-Basic</v>
      </c>
      <c r="Q251" s="6">
        <v>1.47</v>
      </c>
      <c r="R251" s="6">
        <v>0.29399999999999998</v>
      </c>
      <c r="S251" s="6">
        <v>0.14699999999999999</v>
      </c>
      <c r="T251" s="7">
        <f t="shared" si="43"/>
        <v>1.911</v>
      </c>
      <c r="U251" s="6" t="e">
        <f>SUMIFS([1]Sheet1!$L:$L,[1]Sheet1!$I:$I,AJ251,[1]Sheet1!$C:$C,A251)</f>
        <v>#VALUE!</v>
      </c>
      <c r="V251" s="6"/>
      <c r="W251" s="6"/>
      <c r="X251" s="7" t="e">
        <f t="shared" si="37"/>
        <v>#VALUE!</v>
      </c>
      <c r="Y251" s="6"/>
      <c r="AJ251" s="5" t="str">
        <f t="shared" si="38"/>
        <v>MO Accounting Services</v>
      </c>
      <c r="AK251" s="5" t="str">
        <f t="shared" si="39"/>
        <v>MO-Accounting Services-MO-Accounting Services_Basic</v>
      </c>
      <c r="AL251" s="5" t="str">
        <f t="shared" si="40"/>
        <v>Fredshot_0_1_MO Accounting Services</v>
      </c>
      <c r="AM251" s="5" t="str">
        <f t="shared" si="41"/>
        <v>Fredshot_0_1_MO-Accounting Services-MO-Accounting Services_Basic</v>
      </c>
    </row>
    <row r="252" spans="1:39" x14ac:dyDescent="0.25">
      <c r="A252" s="2" t="s">
        <v>63</v>
      </c>
      <c r="B252" s="2" t="s">
        <v>64</v>
      </c>
      <c r="C252" s="2" t="s">
        <v>1197</v>
      </c>
      <c r="D252" s="8">
        <v>43831</v>
      </c>
      <c r="E252" s="5" t="str">
        <f t="shared" si="42"/>
        <v>Frisco Area Listening and Learning_01-01-20</v>
      </c>
      <c r="F252" s="2" t="s">
        <v>1204</v>
      </c>
      <c r="G252" s="2" t="s">
        <v>1241</v>
      </c>
      <c r="H252" s="2" t="s">
        <v>1220</v>
      </c>
      <c r="I252" s="2" t="s">
        <v>1221</v>
      </c>
      <c r="J252" s="2" t="s">
        <v>1234</v>
      </c>
      <c r="M252" s="5" t="str">
        <f t="shared" si="33"/>
        <v>Mid</v>
      </c>
      <c r="N252" s="5" t="str">
        <f t="shared" si="34"/>
        <v>Tax-Staff-Mid</v>
      </c>
      <c r="O252" s="5" t="str">
        <f t="shared" si="35"/>
        <v>Tax-Reviewer-Mid</v>
      </c>
      <c r="P252" s="5" t="str">
        <f t="shared" si="36"/>
        <v>Tax-Signer-Mid</v>
      </c>
      <c r="Q252" s="6">
        <v>2.7401969696969677</v>
      </c>
      <c r="R252" s="6">
        <v>0.5480393939393936</v>
      </c>
      <c r="S252" s="6">
        <v>0.2740196969696968</v>
      </c>
      <c r="T252" s="7">
        <f t="shared" si="43"/>
        <v>3.562256060606058</v>
      </c>
      <c r="U252" s="6" t="e">
        <f>SUMIFS([1]Sheet1!$L:$L,[1]Sheet1!$I:$I,AJ252,[1]Sheet1!$C:$C,A252)</f>
        <v>#VALUE!</v>
      </c>
      <c r="V252" s="6"/>
      <c r="W252" s="6"/>
      <c r="X252" s="7" t="e">
        <f t="shared" si="37"/>
        <v>#VALUE!</v>
      </c>
      <c r="Y252" s="6"/>
      <c r="AJ252" s="5" t="str">
        <f t="shared" si="38"/>
        <v>MO 1120S - S Corporation</v>
      </c>
      <c r="AK252" s="5" t="str">
        <f t="shared" si="39"/>
        <v>MO-Tax Services-ANN-1120S - S Corporation_Mid</v>
      </c>
      <c r="AL252" s="5" t="str">
        <f t="shared" si="40"/>
        <v>Frisco A_1120S_45-4493332_MO 1120S - S Corporation</v>
      </c>
      <c r="AM252" s="5" t="str">
        <f t="shared" si="41"/>
        <v>Frisco A_1120S_45-4493332_MO-Tax Services-ANN-1120S - S Corporation_Mid</v>
      </c>
    </row>
    <row r="253" spans="1:39" x14ac:dyDescent="0.25">
      <c r="A253" s="2" t="s">
        <v>63</v>
      </c>
      <c r="B253" s="2" t="s">
        <v>64</v>
      </c>
      <c r="C253" s="2" t="s">
        <v>1197</v>
      </c>
      <c r="D253" s="8">
        <v>43831</v>
      </c>
      <c r="E253" s="5" t="str">
        <f t="shared" si="42"/>
        <v>Frisco Area Listening and Learning_01-01-20</v>
      </c>
      <c r="F253" s="2" t="s">
        <v>1201</v>
      </c>
      <c r="G253" s="2" t="s">
        <v>1201</v>
      </c>
      <c r="H253" s="2" t="s">
        <v>1197</v>
      </c>
      <c r="I253" s="2" t="s">
        <v>1223</v>
      </c>
      <c r="J253" s="2" t="s">
        <v>1235</v>
      </c>
      <c r="M253" s="5" t="str">
        <f t="shared" si="33"/>
        <v>Basic</v>
      </c>
      <c r="N253" s="5" t="str">
        <f t="shared" si="34"/>
        <v>Accountant-Staff-Basic</v>
      </c>
      <c r="O253" s="5" t="str">
        <f t="shared" si="35"/>
        <v>Accountant-Reviewer-Basic</v>
      </c>
      <c r="P253" s="5" t="str">
        <f t="shared" si="36"/>
        <v>Accountant-Signer-Basic</v>
      </c>
      <c r="Q253" s="6">
        <v>1.47</v>
      </c>
      <c r="R253" s="6">
        <v>0.29399999999999998</v>
      </c>
      <c r="S253" s="6">
        <v>0.14699999999999999</v>
      </c>
      <c r="T253" s="7">
        <f t="shared" si="43"/>
        <v>1.911</v>
      </c>
      <c r="U253" s="6" t="e">
        <f>SUMIFS([1]Sheet1!$L:$L,[1]Sheet1!$I:$I,AJ253,[1]Sheet1!$C:$C,A253)</f>
        <v>#VALUE!</v>
      </c>
      <c r="V253" s="6"/>
      <c r="W253" s="6"/>
      <c r="X253" s="7" t="e">
        <f t="shared" si="37"/>
        <v>#VALUE!</v>
      </c>
      <c r="Y253" s="6"/>
      <c r="AJ253" s="5" t="str">
        <f t="shared" si="38"/>
        <v>MO Accounting Services</v>
      </c>
      <c r="AK253" s="5" t="str">
        <f t="shared" si="39"/>
        <v>MO-Accounting Services-MO-Accounting Services_Basic</v>
      </c>
      <c r="AL253" s="5" t="str">
        <f t="shared" si="40"/>
        <v>Frisco A_1120S_45-4493332_MO Accounting Services</v>
      </c>
      <c r="AM253" s="5" t="str">
        <f t="shared" si="41"/>
        <v>Frisco A_1120S_45-4493332_MO-Accounting Services-MO-Accounting Services_Basic</v>
      </c>
    </row>
    <row r="254" spans="1:39" x14ac:dyDescent="0.25">
      <c r="A254" s="2" t="s">
        <v>63</v>
      </c>
      <c r="B254" s="2" t="s">
        <v>64</v>
      </c>
      <c r="C254" s="2" t="s">
        <v>1197</v>
      </c>
      <c r="D254" s="8">
        <v>43831</v>
      </c>
      <c r="E254" s="5" t="str">
        <f t="shared" si="42"/>
        <v>Frisco Area Listening and Learning_01-01-20</v>
      </c>
      <c r="F254" s="2" t="s">
        <v>1200</v>
      </c>
      <c r="G254" s="2" t="s">
        <v>1241</v>
      </c>
      <c r="H254" s="2" t="s">
        <v>1220</v>
      </c>
      <c r="I254" s="2" t="s">
        <v>1221</v>
      </c>
      <c r="J254" s="2" t="s">
        <v>1234</v>
      </c>
      <c r="M254" s="5" t="str">
        <f t="shared" si="33"/>
        <v>Mid</v>
      </c>
      <c r="N254" s="5" t="str">
        <f t="shared" si="34"/>
        <v>Tax-Staff-Mid</v>
      </c>
      <c r="O254" s="5" t="str">
        <f t="shared" si="35"/>
        <v>Tax-Reviewer-Mid</v>
      </c>
      <c r="P254" s="5" t="str">
        <f t="shared" si="36"/>
        <v>Tax-Signer-Mid</v>
      </c>
      <c r="Q254" s="6">
        <v>0.75</v>
      </c>
      <c r="R254" s="6">
        <v>0.15000000000000002</v>
      </c>
      <c r="S254" s="6">
        <v>7.5000000000000011E-2</v>
      </c>
      <c r="T254" s="7">
        <f t="shared" si="43"/>
        <v>0.97500000000000009</v>
      </c>
      <c r="U254" s="6" t="e">
        <f>SUMIFS([1]Sheet1!$L:$L,[1]Sheet1!$I:$I,AJ254,[1]Sheet1!$C:$C,A254)</f>
        <v>#VALUE!</v>
      </c>
      <c r="V254" s="6"/>
      <c r="W254" s="6"/>
      <c r="X254" s="7" t="e">
        <f t="shared" si="37"/>
        <v>#VALUE!</v>
      </c>
      <c r="Y254" s="6"/>
      <c r="AJ254" s="5" t="str">
        <f t="shared" si="38"/>
        <v>MO Texas Franchise Tax Return</v>
      </c>
      <c r="AK254" s="5" t="str">
        <f t="shared" si="39"/>
        <v>MO-Tax Services-ANN-Texas Franchise Tax Return_Mid</v>
      </c>
      <c r="AL254" s="5" t="str">
        <f t="shared" si="40"/>
        <v>Frisco A_1120S_45-4493332_MO Texas Franchise Tax Return</v>
      </c>
      <c r="AM254" s="5" t="str">
        <f t="shared" si="41"/>
        <v>Frisco A_1120S_45-4493332_MO-Tax Services-ANN-Texas Franchise Tax Return_Mid</v>
      </c>
    </row>
    <row r="255" spans="1:39" x14ac:dyDescent="0.25">
      <c r="A255" s="2" t="s">
        <v>1042</v>
      </c>
      <c r="B255" s="2" t="s">
        <v>1043</v>
      </c>
      <c r="C255" s="2" t="s">
        <v>1196</v>
      </c>
      <c r="D255" s="8">
        <v>43831</v>
      </c>
      <c r="E255" s="5" t="str">
        <f t="shared" si="42"/>
        <v>Futura LLC_01-01-20</v>
      </c>
      <c r="F255" s="2" t="s">
        <v>1204</v>
      </c>
      <c r="G255" s="2" t="s">
        <v>1241</v>
      </c>
      <c r="H255" s="2" t="s">
        <v>1220</v>
      </c>
      <c r="I255" s="2" t="s">
        <v>1223</v>
      </c>
      <c r="J255" s="2" t="s">
        <v>1234</v>
      </c>
      <c r="M255" s="5" t="str">
        <f t="shared" si="33"/>
        <v>Basic</v>
      </c>
      <c r="N255" s="5" t="str">
        <f t="shared" si="34"/>
        <v>Tax-Staff-Basic</v>
      </c>
      <c r="O255" s="5" t="str">
        <f t="shared" si="35"/>
        <v>Tax-Reviewer-Basic</v>
      </c>
      <c r="P255" s="5" t="str">
        <f t="shared" si="36"/>
        <v>Tax-Signer-Basic</v>
      </c>
      <c r="Q255" s="6">
        <v>1.4675000000000016</v>
      </c>
      <c r="R255" s="6">
        <v>0.29350000000000032</v>
      </c>
      <c r="S255" s="6">
        <v>0.14675000000000016</v>
      </c>
      <c r="T255" s="7">
        <f t="shared" si="43"/>
        <v>1.9077500000000021</v>
      </c>
      <c r="U255" s="6" t="e">
        <f>SUMIFS([1]Sheet1!$L:$L,[1]Sheet1!$I:$I,AJ255,[1]Sheet1!$C:$C,A255)</f>
        <v>#VALUE!</v>
      </c>
      <c r="V255" s="6"/>
      <c r="W255" s="6"/>
      <c r="X255" s="7" t="e">
        <f t="shared" si="37"/>
        <v>#VALUE!</v>
      </c>
      <c r="Y255" s="6"/>
      <c r="AJ255" s="5" t="str">
        <f t="shared" si="38"/>
        <v>NM 1120S - S Corporation</v>
      </c>
      <c r="AK255" s="5" t="str">
        <f t="shared" si="39"/>
        <v>NM-Tax Services-ANN-1120S - S Corporation_Basic</v>
      </c>
      <c r="AL255" s="5" t="str">
        <f t="shared" si="40"/>
        <v>Futura L_1120S_01-0722876_NM 1120S - S Corporation</v>
      </c>
      <c r="AM255" s="5" t="str">
        <f t="shared" si="41"/>
        <v>Futura L_1120S_01-0722876_NM-Tax Services-ANN-1120S - S Corporation_Basic</v>
      </c>
    </row>
    <row r="256" spans="1:39" x14ac:dyDescent="0.25">
      <c r="A256" s="2" t="s">
        <v>1042</v>
      </c>
      <c r="B256" s="2" t="s">
        <v>1043</v>
      </c>
      <c r="C256" s="2" t="s">
        <v>1196</v>
      </c>
      <c r="D256" s="8">
        <v>43831</v>
      </c>
      <c r="E256" s="5" t="str">
        <f t="shared" si="42"/>
        <v>Futura LLC_01-01-20</v>
      </c>
      <c r="F256" s="2" t="s">
        <v>1200</v>
      </c>
      <c r="G256" s="2" t="s">
        <v>1241</v>
      </c>
      <c r="H256" s="2" t="s">
        <v>1220</v>
      </c>
      <c r="I256" s="2" t="s">
        <v>1223</v>
      </c>
      <c r="J256" s="2" t="s">
        <v>1234</v>
      </c>
      <c r="M256" s="5" t="str">
        <f t="shared" si="33"/>
        <v>Basic</v>
      </c>
      <c r="N256" s="5" t="str">
        <f t="shared" si="34"/>
        <v>Tax-Staff-Basic</v>
      </c>
      <c r="O256" s="5" t="str">
        <f t="shared" si="35"/>
        <v>Tax-Reviewer-Basic</v>
      </c>
      <c r="P256" s="5" t="str">
        <f t="shared" si="36"/>
        <v>Tax-Signer-Basic</v>
      </c>
      <c r="Q256" s="6">
        <v>0.5</v>
      </c>
      <c r="R256" s="6">
        <v>0.1</v>
      </c>
      <c r="S256" s="6">
        <v>0.05</v>
      </c>
      <c r="T256" s="7">
        <f t="shared" si="43"/>
        <v>0.65</v>
      </c>
      <c r="U256" s="6" t="e">
        <f>SUMIFS([1]Sheet1!$L:$L,[1]Sheet1!$I:$I,AJ256,[1]Sheet1!$C:$C,A256)</f>
        <v>#VALUE!</v>
      </c>
      <c r="V256" s="6"/>
      <c r="W256" s="6"/>
      <c r="X256" s="7" t="e">
        <f t="shared" si="37"/>
        <v>#VALUE!</v>
      </c>
      <c r="Y256" s="6"/>
      <c r="AJ256" s="5" t="str">
        <f t="shared" si="38"/>
        <v>NM Texas Franchise Tax Return</v>
      </c>
      <c r="AK256" s="5" t="str">
        <f t="shared" si="39"/>
        <v>NM-Tax Services-ANN-Texas Franchise Tax Return_Basic</v>
      </c>
      <c r="AL256" s="5" t="str">
        <f t="shared" si="40"/>
        <v>Futura L_1120S_01-0722876_NM Texas Franchise Tax Return</v>
      </c>
      <c r="AM256" s="5" t="str">
        <f t="shared" si="41"/>
        <v>Futura L_1120S_01-0722876_NM-Tax Services-ANN-Texas Franchise Tax Return_Basic</v>
      </c>
    </row>
    <row r="257" spans="1:39" x14ac:dyDescent="0.25">
      <c r="A257" s="2" t="s">
        <v>197</v>
      </c>
      <c r="B257" s="2" t="s">
        <v>198</v>
      </c>
      <c r="C257" s="2" t="s">
        <v>1196</v>
      </c>
      <c r="D257" s="8">
        <v>43831</v>
      </c>
      <c r="E257" s="5" t="str">
        <f t="shared" si="42"/>
        <v>Futura Risk Management, LTD_01-01-20</v>
      </c>
      <c r="F257" s="2" t="s">
        <v>1206</v>
      </c>
      <c r="G257" s="2" t="s">
        <v>1241</v>
      </c>
      <c r="H257" s="2" t="s">
        <v>1220</v>
      </c>
      <c r="I257" s="2" t="s">
        <v>1223</v>
      </c>
      <c r="J257" s="2" t="s">
        <v>1234</v>
      </c>
      <c r="M257" s="5" t="str">
        <f t="shared" si="33"/>
        <v>Basic</v>
      </c>
      <c r="N257" s="5" t="str">
        <f t="shared" si="34"/>
        <v>Tax-Staff-Basic</v>
      </c>
      <c r="O257" s="5" t="str">
        <f t="shared" si="35"/>
        <v>Tax-Reviewer-Basic</v>
      </c>
      <c r="P257" s="5" t="str">
        <f t="shared" si="36"/>
        <v>Tax-Signer-Basic</v>
      </c>
      <c r="Q257" s="6">
        <v>1.4675000000000016</v>
      </c>
      <c r="R257" s="6">
        <v>0.29350000000000032</v>
      </c>
      <c r="S257" s="6">
        <v>0.14675000000000016</v>
      </c>
      <c r="T257" s="7">
        <f t="shared" si="43"/>
        <v>1.9077500000000021</v>
      </c>
      <c r="U257" s="6" t="e">
        <f>SUMIFS([1]Sheet1!$L:$L,[1]Sheet1!$I:$I,AJ257,[1]Sheet1!$C:$C,A257)</f>
        <v>#VALUE!</v>
      </c>
      <c r="V257" s="6"/>
      <c r="W257" s="6"/>
      <c r="X257" s="7" t="e">
        <f t="shared" si="37"/>
        <v>#VALUE!</v>
      </c>
      <c r="Y257" s="6"/>
      <c r="AJ257" s="5" t="str">
        <f t="shared" si="38"/>
        <v>NM 1120 - C Corporation</v>
      </c>
      <c r="AK257" s="5" t="str">
        <f t="shared" si="39"/>
        <v>NM-Tax Services-ANN-1120 - C Corporation_Basic</v>
      </c>
      <c r="AL257" s="5" t="str">
        <f t="shared" si="40"/>
        <v>Futura R_1120C_98-1146213_NM 1120 - C Corporation</v>
      </c>
      <c r="AM257" s="5" t="str">
        <f t="shared" si="41"/>
        <v>Futura R_1120C_98-1146213_NM-Tax Services-ANN-1120 - C Corporation_Basic</v>
      </c>
    </row>
    <row r="258" spans="1:39" x14ac:dyDescent="0.25">
      <c r="A258" s="2" t="s">
        <v>65</v>
      </c>
      <c r="B258" s="2" t="s">
        <v>66</v>
      </c>
      <c r="C258" s="2" t="s">
        <v>1197</v>
      </c>
      <c r="D258" s="8">
        <v>43831</v>
      </c>
      <c r="E258" s="5" t="str">
        <f t="shared" si="42"/>
        <v>G Capital, LLC_01-01-20</v>
      </c>
      <c r="F258" s="2" t="s">
        <v>1201</v>
      </c>
      <c r="G258" s="2" t="s">
        <v>1201</v>
      </c>
      <c r="H258" s="2" t="s">
        <v>1197</v>
      </c>
      <c r="I258" s="2" t="s">
        <v>1222</v>
      </c>
      <c r="J258" s="2" t="s">
        <v>1235</v>
      </c>
      <c r="M258" s="5" t="str">
        <f t="shared" ref="M258:M321" si="44">I258</f>
        <v>Adv</v>
      </c>
      <c r="N258" s="5" t="str">
        <f t="shared" ref="N258:N321" si="45">$J258&amp;"-"&amp;"Staff"&amp;"-"&amp;$M258</f>
        <v>Accountant-Staff-Adv</v>
      </c>
      <c r="O258" s="5" t="str">
        <f t="shared" ref="O258:O321" si="46">$J258&amp;"-"&amp;"Reviewer"&amp;"-"&amp;$M258</f>
        <v>Accountant-Reviewer-Adv</v>
      </c>
      <c r="P258" s="5" t="str">
        <f t="shared" ref="P258:P321" si="47">$J258&amp;"-"&amp;"Signer"&amp;"-"&amp;$M258</f>
        <v>Accountant-Signer-Adv</v>
      </c>
      <c r="Q258" s="6">
        <v>1.47</v>
      </c>
      <c r="R258" s="6">
        <v>0.29399999999999998</v>
      </c>
      <c r="S258" s="6">
        <v>0.14699999999999999</v>
      </c>
      <c r="T258" s="7">
        <f t="shared" si="43"/>
        <v>1.911</v>
      </c>
      <c r="U258" s="6" t="e">
        <f>SUMIFS([1]Sheet1!$L:$L,[1]Sheet1!$I:$I,AJ258,[1]Sheet1!$C:$C,A258)</f>
        <v>#VALUE!</v>
      </c>
      <c r="V258" s="6"/>
      <c r="W258" s="6"/>
      <c r="X258" s="7" t="e">
        <f t="shared" ref="X258:X321" si="48">SUM(U258:W258)</f>
        <v>#VALUE!</v>
      </c>
      <c r="Y258" s="6"/>
      <c r="AJ258" s="5" t="str">
        <f t="shared" ref="AJ258:AJ321" si="49">C258&amp;" "&amp;F258</f>
        <v>MO Accounting Services</v>
      </c>
      <c r="AK258" s="5" t="str">
        <f t="shared" ref="AK258:AK321" si="50">C258&amp;"-"&amp;G258&amp;"-"&amp;H258&amp;"-"&amp;F258&amp;"_"&amp;I258</f>
        <v>MO-Accounting Services-MO-Accounting Services_Adv</v>
      </c>
      <c r="AL258" s="5" t="str">
        <f t="shared" ref="AL258:AL321" si="51">A258&amp;"_"&amp;AJ258</f>
        <v>G Capita_NoTax_1_MO Accounting Services</v>
      </c>
      <c r="AM258" s="5" t="str">
        <f t="shared" ref="AM258:AM321" si="52">A258&amp;"_"&amp;AK258</f>
        <v>G Capita_NoTax_1_MO-Accounting Services-MO-Accounting Services_Adv</v>
      </c>
    </row>
    <row r="259" spans="1:39" x14ac:dyDescent="0.25">
      <c r="A259" s="2" t="s">
        <v>565</v>
      </c>
      <c r="B259" s="2" t="s">
        <v>566</v>
      </c>
      <c r="C259" s="2" t="s">
        <v>1197</v>
      </c>
      <c r="D259" s="8">
        <v>43831</v>
      </c>
      <c r="E259" s="5" t="str">
        <f t="shared" ref="E259:E322" si="53">B259&amp;"_"&amp;TEXT(D259,"DD-MM-YY")</f>
        <v>Gaddy, David K_01-01-20</v>
      </c>
      <c r="F259" s="2" t="s">
        <v>1203</v>
      </c>
      <c r="G259" s="2" t="s">
        <v>1241</v>
      </c>
      <c r="H259" s="2" t="s">
        <v>1220</v>
      </c>
      <c r="I259" s="2" t="s">
        <v>1221</v>
      </c>
      <c r="J259" s="2" t="s">
        <v>1234</v>
      </c>
      <c r="M259" s="5" t="str">
        <f t="shared" si="44"/>
        <v>Mid</v>
      </c>
      <c r="N259" s="5" t="str">
        <f t="shared" si="45"/>
        <v>Tax-Staff-Mid</v>
      </c>
      <c r="O259" s="5" t="str">
        <f t="shared" si="46"/>
        <v>Tax-Reviewer-Mid</v>
      </c>
      <c r="P259" s="5" t="str">
        <f t="shared" si="47"/>
        <v>Tax-Signer-Mid</v>
      </c>
      <c r="Q259" s="6">
        <v>2.7401969696969677</v>
      </c>
      <c r="R259" s="6">
        <v>0.5480393939393936</v>
      </c>
      <c r="S259" s="6">
        <v>0.2740196969696968</v>
      </c>
      <c r="T259" s="7">
        <f t="shared" ref="T259:T322" si="54">SUM(Q259:S259)</f>
        <v>3.562256060606058</v>
      </c>
      <c r="U259" s="6" t="e">
        <f>SUMIFS([1]Sheet1!$L:$L,[1]Sheet1!$I:$I,AJ259,[1]Sheet1!$C:$C,A259)</f>
        <v>#VALUE!</v>
      </c>
      <c r="V259" s="6"/>
      <c r="W259" s="6"/>
      <c r="X259" s="7" t="e">
        <f t="shared" si="48"/>
        <v>#VALUE!</v>
      </c>
      <c r="Y259" s="6"/>
      <c r="AJ259" s="5" t="str">
        <f t="shared" si="49"/>
        <v>MO 1040 - Personal</v>
      </c>
      <c r="AK259" s="5" t="str">
        <f t="shared" si="50"/>
        <v>MO-Tax Services-ANN-1040 - Personal_Mid</v>
      </c>
      <c r="AL259" s="5" t="str">
        <f t="shared" si="51"/>
        <v>Gaddy,_4187_MO 1040 - Personal</v>
      </c>
      <c r="AM259" s="5" t="str">
        <f t="shared" si="52"/>
        <v>Gaddy,_4187_MO-Tax Services-ANN-1040 - Personal_Mid</v>
      </c>
    </row>
    <row r="260" spans="1:39" x14ac:dyDescent="0.25">
      <c r="A260" s="2" t="s">
        <v>67</v>
      </c>
      <c r="B260" s="2" t="s">
        <v>68</v>
      </c>
      <c r="C260" s="2" t="s">
        <v>1197</v>
      </c>
      <c r="D260" s="8">
        <v>43831</v>
      </c>
      <c r="E260" s="5" t="str">
        <f t="shared" si="53"/>
        <v>Gadles Development, LLC_01-01-20</v>
      </c>
      <c r="F260" s="2" t="s">
        <v>1201</v>
      </c>
      <c r="G260" s="2" t="s">
        <v>1201</v>
      </c>
      <c r="H260" s="2" t="s">
        <v>1197</v>
      </c>
      <c r="I260" s="2" t="s">
        <v>1222</v>
      </c>
      <c r="J260" s="2" t="s">
        <v>1235</v>
      </c>
      <c r="M260" s="5" t="str">
        <f t="shared" si="44"/>
        <v>Adv</v>
      </c>
      <c r="N260" s="5" t="str">
        <f t="shared" si="45"/>
        <v>Accountant-Staff-Adv</v>
      </c>
      <c r="O260" s="5" t="str">
        <f t="shared" si="46"/>
        <v>Accountant-Reviewer-Adv</v>
      </c>
      <c r="P260" s="5" t="str">
        <f t="shared" si="47"/>
        <v>Accountant-Signer-Adv</v>
      </c>
      <c r="Q260" s="6">
        <v>1.47</v>
      </c>
      <c r="R260" s="6">
        <v>0.29399999999999998</v>
      </c>
      <c r="S260" s="6">
        <v>0.14699999999999999</v>
      </c>
      <c r="T260" s="7">
        <f t="shared" si="54"/>
        <v>1.911</v>
      </c>
      <c r="U260" s="6" t="e">
        <f>SUMIFS([1]Sheet1!$L:$L,[1]Sheet1!$I:$I,AJ260,[1]Sheet1!$C:$C,A260)</f>
        <v>#VALUE!</v>
      </c>
      <c r="V260" s="6"/>
      <c r="W260" s="6"/>
      <c r="X260" s="7" t="e">
        <f t="shared" si="48"/>
        <v>#VALUE!</v>
      </c>
      <c r="Y260" s="6"/>
      <c r="AJ260" s="5" t="str">
        <f t="shared" si="49"/>
        <v>MO Accounting Services</v>
      </c>
      <c r="AK260" s="5" t="str">
        <f t="shared" si="50"/>
        <v>MO-Accounting Services-MO-Accounting Services_Adv</v>
      </c>
      <c r="AL260" s="5" t="str">
        <f t="shared" si="51"/>
        <v>Gadles D_NoTax_1_MO Accounting Services</v>
      </c>
      <c r="AM260" s="5" t="str">
        <f t="shared" si="52"/>
        <v>Gadles D_NoTax_1_MO-Accounting Services-MO-Accounting Services_Adv</v>
      </c>
    </row>
    <row r="261" spans="1:39" x14ac:dyDescent="0.25">
      <c r="A261" s="2" t="s">
        <v>225</v>
      </c>
      <c r="B261" s="2" t="s">
        <v>226</v>
      </c>
      <c r="C261" s="2" t="s">
        <v>1196</v>
      </c>
      <c r="D261" s="8">
        <v>43831</v>
      </c>
      <c r="E261" s="5" t="str">
        <f t="shared" si="53"/>
        <v>Gai Ly Enterprises, Inc._01-01-20</v>
      </c>
      <c r="F261" s="2" t="s">
        <v>1206</v>
      </c>
      <c r="G261" s="2" t="s">
        <v>1241</v>
      </c>
      <c r="H261" s="2" t="s">
        <v>1220</v>
      </c>
      <c r="I261" s="2" t="s">
        <v>1221</v>
      </c>
      <c r="J261" s="2" t="s">
        <v>1234</v>
      </c>
      <c r="M261" s="5" t="str">
        <f t="shared" si="44"/>
        <v>Mid</v>
      </c>
      <c r="N261" s="5" t="str">
        <f t="shared" si="45"/>
        <v>Tax-Staff-Mid</v>
      </c>
      <c r="O261" s="5" t="str">
        <f t="shared" si="46"/>
        <v>Tax-Reviewer-Mid</v>
      </c>
      <c r="P261" s="5" t="str">
        <f t="shared" si="47"/>
        <v>Tax-Signer-Mid</v>
      </c>
      <c r="Q261" s="6">
        <v>2.7401969696969677</v>
      </c>
      <c r="R261" s="6">
        <v>0.5480393939393936</v>
      </c>
      <c r="S261" s="6">
        <v>0.2740196969696968</v>
      </c>
      <c r="T261" s="7">
        <f t="shared" si="54"/>
        <v>3.562256060606058</v>
      </c>
      <c r="U261" s="6" t="e">
        <f>SUMIFS([1]Sheet1!$L:$L,[1]Sheet1!$I:$I,AJ261,[1]Sheet1!$C:$C,A261)</f>
        <v>#VALUE!</v>
      </c>
      <c r="V261" s="6"/>
      <c r="W261" s="6"/>
      <c r="X261" s="7" t="e">
        <f t="shared" si="48"/>
        <v>#VALUE!</v>
      </c>
      <c r="Y261" s="6"/>
      <c r="AJ261" s="5" t="str">
        <f t="shared" si="49"/>
        <v>NM 1120 - C Corporation</v>
      </c>
      <c r="AK261" s="5" t="str">
        <f t="shared" si="50"/>
        <v>NM-Tax Services-ANN-1120 - C Corporation_Mid</v>
      </c>
      <c r="AL261" s="5" t="str">
        <f t="shared" si="51"/>
        <v>Gai Ly E_1120C_26-1431987_NM 1120 - C Corporation</v>
      </c>
      <c r="AM261" s="5" t="str">
        <f t="shared" si="52"/>
        <v>Gai Ly E_1120C_26-1431987_NM-Tax Services-ANN-1120 - C Corporation_Mid</v>
      </c>
    </row>
    <row r="262" spans="1:39" x14ac:dyDescent="0.25">
      <c r="A262" s="2" t="s">
        <v>359</v>
      </c>
      <c r="B262" s="2" t="s">
        <v>360</v>
      </c>
      <c r="C262" s="2" t="s">
        <v>1196</v>
      </c>
      <c r="D262" s="8">
        <v>43831</v>
      </c>
      <c r="E262" s="5" t="str">
        <f t="shared" si="53"/>
        <v>Gai Phan Family Partners, LP_01-01-20</v>
      </c>
      <c r="F262" s="2" t="s">
        <v>1199</v>
      </c>
      <c r="G262" s="2" t="s">
        <v>1241</v>
      </c>
      <c r="H262" s="2" t="s">
        <v>1220</v>
      </c>
      <c r="I262" s="2" t="s">
        <v>1222</v>
      </c>
      <c r="J262" s="2" t="s">
        <v>1234</v>
      </c>
      <c r="M262" s="5" t="str">
        <f t="shared" si="44"/>
        <v>Adv</v>
      </c>
      <c r="N262" s="5" t="str">
        <f t="shared" si="45"/>
        <v>Tax-Staff-Adv</v>
      </c>
      <c r="O262" s="5" t="str">
        <f t="shared" si="46"/>
        <v>Tax-Reviewer-Adv</v>
      </c>
      <c r="P262" s="5" t="str">
        <f t="shared" si="47"/>
        <v>Tax-Signer-Adv</v>
      </c>
      <c r="Q262" s="6">
        <v>4.5832500000000005</v>
      </c>
      <c r="R262" s="6">
        <v>0.91665000000000019</v>
      </c>
      <c r="S262" s="6">
        <v>0.45832500000000009</v>
      </c>
      <c r="T262" s="7">
        <f t="shared" si="54"/>
        <v>5.9582250000000005</v>
      </c>
      <c r="U262" s="6" t="e">
        <f>SUMIFS([1]Sheet1!$L:$L,[1]Sheet1!$I:$I,AJ262,[1]Sheet1!$C:$C,A262)</f>
        <v>#VALUE!</v>
      </c>
      <c r="V262" s="6"/>
      <c r="W262" s="6"/>
      <c r="X262" s="7" t="e">
        <f t="shared" si="48"/>
        <v>#VALUE!</v>
      </c>
      <c r="Y262" s="6"/>
      <c r="AJ262" s="5" t="str">
        <f t="shared" si="49"/>
        <v>NM 1065 - Partnership</v>
      </c>
      <c r="AK262" s="5" t="str">
        <f t="shared" si="50"/>
        <v>NM-Tax Services-ANN-1065 - Partnership_Adv</v>
      </c>
      <c r="AL262" s="5" t="str">
        <f t="shared" si="51"/>
        <v>Gai Phan_1065_90-0483982_NM 1065 - Partnership</v>
      </c>
      <c r="AM262" s="5" t="str">
        <f t="shared" si="52"/>
        <v>Gai Phan_1065_90-0483982_NM-Tax Services-ANN-1065 - Partnership_Adv</v>
      </c>
    </row>
    <row r="263" spans="1:39" x14ac:dyDescent="0.25">
      <c r="A263" s="2" t="s">
        <v>359</v>
      </c>
      <c r="B263" s="2" t="s">
        <v>360</v>
      </c>
      <c r="C263" s="2" t="s">
        <v>1196</v>
      </c>
      <c r="D263" s="8">
        <v>43831</v>
      </c>
      <c r="E263" s="5" t="str">
        <f t="shared" si="53"/>
        <v>Gai Phan Family Partners, LP_01-01-20</v>
      </c>
      <c r="F263" s="2" t="s">
        <v>1200</v>
      </c>
      <c r="G263" s="2" t="s">
        <v>1241</v>
      </c>
      <c r="H263" s="2" t="s">
        <v>1220</v>
      </c>
      <c r="I263" s="2" t="s">
        <v>1223</v>
      </c>
      <c r="J263" s="2" t="s">
        <v>1234</v>
      </c>
      <c r="M263" s="5" t="str">
        <f t="shared" si="44"/>
        <v>Basic</v>
      </c>
      <c r="N263" s="5" t="str">
        <f t="shared" si="45"/>
        <v>Tax-Staff-Basic</v>
      </c>
      <c r="O263" s="5" t="str">
        <f t="shared" si="46"/>
        <v>Tax-Reviewer-Basic</v>
      </c>
      <c r="P263" s="5" t="str">
        <f t="shared" si="47"/>
        <v>Tax-Signer-Basic</v>
      </c>
      <c r="Q263" s="6">
        <v>0.5</v>
      </c>
      <c r="R263" s="6">
        <v>0.1</v>
      </c>
      <c r="S263" s="6">
        <v>0.05</v>
      </c>
      <c r="T263" s="7">
        <f t="shared" si="54"/>
        <v>0.65</v>
      </c>
      <c r="U263" s="6" t="e">
        <f>SUMIFS([1]Sheet1!$L:$L,[1]Sheet1!$I:$I,AJ263,[1]Sheet1!$C:$C,A263)</f>
        <v>#VALUE!</v>
      </c>
      <c r="V263" s="6"/>
      <c r="W263" s="6"/>
      <c r="X263" s="7" t="e">
        <f t="shared" si="48"/>
        <v>#VALUE!</v>
      </c>
      <c r="Y263" s="6"/>
      <c r="AJ263" s="5" t="str">
        <f t="shared" si="49"/>
        <v>NM Texas Franchise Tax Return</v>
      </c>
      <c r="AK263" s="5" t="str">
        <f t="shared" si="50"/>
        <v>NM-Tax Services-ANN-Texas Franchise Tax Return_Basic</v>
      </c>
      <c r="AL263" s="5" t="str">
        <f t="shared" si="51"/>
        <v>Gai Phan_1065_90-0483982_NM Texas Franchise Tax Return</v>
      </c>
      <c r="AM263" s="5" t="str">
        <f t="shared" si="52"/>
        <v>Gai Phan_1065_90-0483982_NM-Tax Services-ANN-Texas Franchise Tax Return_Basic</v>
      </c>
    </row>
    <row r="264" spans="1:39" x14ac:dyDescent="0.25">
      <c r="A264" s="2" t="s">
        <v>431</v>
      </c>
      <c r="B264" s="2" t="s">
        <v>432</v>
      </c>
      <c r="C264" s="2" t="s">
        <v>1196</v>
      </c>
      <c r="D264" s="8">
        <v>43831</v>
      </c>
      <c r="E264" s="5" t="str">
        <f t="shared" si="53"/>
        <v>Galindo, Carlos X &amp; Kimberly R_01-01-20</v>
      </c>
      <c r="F264" s="2" t="s">
        <v>1203</v>
      </c>
      <c r="G264" s="2" t="s">
        <v>1241</v>
      </c>
      <c r="H264" s="2" t="s">
        <v>1220</v>
      </c>
      <c r="I264" s="2" t="s">
        <v>1221</v>
      </c>
      <c r="J264" s="2" t="s">
        <v>1234</v>
      </c>
      <c r="M264" s="5" t="str">
        <f t="shared" si="44"/>
        <v>Mid</v>
      </c>
      <c r="N264" s="5" t="str">
        <f t="shared" si="45"/>
        <v>Tax-Staff-Mid</v>
      </c>
      <c r="O264" s="5" t="str">
        <f t="shared" si="46"/>
        <v>Tax-Reviewer-Mid</v>
      </c>
      <c r="P264" s="5" t="str">
        <f t="shared" si="47"/>
        <v>Tax-Signer-Mid</v>
      </c>
      <c r="Q264" s="6">
        <v>2.7401969696969677</v>
      </c>
      <c r="R264" s="6">
        <v>0.5480393939393936</v>
      </c>
      <c r="S264" s="6">
        <v>0.2740196969696968</v>
      </c>
      <c r="T264" s="7">
        <f t="shared" si="54"/>
        <v>3.562256060606058</v>
      </c>
      <c r="U264" s="6" t="e">
        <f>SUMIFS([1]Sheet1!$L:$L,[1]Sheet1!$I:$I,AJ264,[1]Sheet1!$C:$C,A264)</f>
        <v>#VALUE!</v>
      </c>
      <c r="V264" s="6"/>
      <c r="W264" s="6"/>
      <c r="X264" s="7" t="e">
        <f t="shared" si="48"/>
        <v>#VALUE!</v>
      </c>
      <c r="Y264" s="6"/>
      <c r="AJ264" s="5" t="str">
        <f t="shared" si="49"/>
        <v>NM 1040 - Personal</v>
      </c>
      <c r="AK264" s="5" t="str">
        <f t="shared" si="50"/>
        <v>NM-Tax Services-ANN-1040 - Personal_Mid</v>
      </c>
      <c r="AL264" s="5" t="str">
        <f t="shared" si="51"/>
        <v>Galind_7388_NM 1040 - Personal</v>
      </c>
      <c r="AM264" s="5" t="str">
        <f t="shared" si="52"/>
        <v>Galind_7388_NM-Tax Services-ANN-1040 - Personal_Mid</v>
      </c>
    </row>
    <row r="265" spans="1:39" x14ac:dyDescent="0.25">
      <c r="A265" s="2" t="s">
        <v>69</v>
      </c>
      <c r="B265" s="2" t="s">
        <v>70</v>
      </c>
      <c r="C265" s="2" t="s">
        <v>1197</v>
      </c>
      <c r="D265" s="8">
        <v>43831</v>
      </c>
      <c r="E265" s="5" t="str">
        <f t="shared" si="53"/>
        <v>Gallantry Global Logistics, LLC_01-01-20</v>
      </c>
      <c r="F265" s="2" t="s">
        <v>1199</v>
      </c>
      <c r="G265" s="2" t="s">
        <v>1241</v>
      </c>
      <c r="H265" s="2" t="s">
        <v>1220</v>
      </c>
      <c r="I265" s="2" t="s">
        <v>1221</v>
      </c>
      <c r="J265" s="2" t="s">
        <v>1234</v>
      </c>
      <c r="M265" s="5" t="str">
        <f t="shared" si="44"/>
        <v>Mid</v>
      </c>
      <c r="N265" s="5" t="str">
        <f t="shared" si="45"/>
        <v>Tax-Staff-Mid</v>
      </c>
      <c r="O265" s="5" t="str">
        <f t="shared" si="46"/>
        <v>Tax-Reviewer-Mid</v>
      </c>
      <c r="P265" s="5" t="str">
        <f t="shared" si="47"/>
        <v>Tax-Signer-Mid</v>
      </c>
      <c r="Q265" s="6">
        <v>2.7401969696969677</v>
      </c>
      <c r="R265" s="6">
        <v>0.5480393939393936</v>
      </c>
      <c r="S265" s="6">
        <v>0.2740196969696968</v>
      </c>
      <c r="T265" s="7">
        <f t="shared" si="54"/>
        <v>3.562256060606058</v>
      </c>
      <c r="U265" s="6" t="e">
        <f>SUMIFS([1]Sheet1!$L:$L,[1]Sheet1!$I:$I,AJ265,[1]Sheet1!$C:$C,A265)</f>
        <v>#VALUE!</v>
      </c>
      <c r="V265" s="6"/>
      <c r="W265" s="6"/>
      <c r="X265" s="7" t="e">
        <f t="shared" si="48"/>
        <v>#VALUE!</v>
      </c>
      <c r="Y265" s="6"/>
      <c r="AJ265" s="5" t="str">
        <f t="shared" si="49"/>
        <v>MO 1065 - Partnership</v>
      </c>
      <c r="AK265" s="5" t="str">
        <f t="shared" si="50"/>
        <v>MO-Tax Services-ANN-1065 - Partnership_Mid</v>
      </c>
      <c r="AL265" s="5" t="str">
        <f t="shared" si="51"/>
        <v>Gallantr_1065_82-4465506_MO 1065 - Partnership</v>
      </c>
      <c r="AM265" s="5" t="str">
        <f t="shared" si="52"/>
        <v>Gallantr_1065_82-4465506_MO-Tax Services-ANN-1065 - Partnership_Mid</v>
      </c>
    </row>
    <row r="266" spans="1:39" x14ac:dyDescent="0.25">
      <c r="A266" s="2" t="s">
        <v>69</v>
      </c>
      <c r="B266" s="2" t="s">
        <v>70</v>
      </c>
      <c r="C266" s="2" t="s">
        <v>1197</v>
      </c>
      <c r="D266" s="8">
        <v>43831</v>
      </c>
      <c r="E266" s="5" t="str">
        <f t="shared" si="53"/>
        <v>Gallantry Global Logistics, LLC_01-01-20</v>
      </c>
      <c r="F266" s="2" t="s">
        <v>1201</v>
      </c>
      <c r="G266" s="2" t="s">
        <v>1201</v>
      </c>
      <c r="H266" s="2" t="s">
        <v>1197</v>
      </c>
      <c r="I266" s="2" t="s">
        <v>1221</v>
      </c>
      <c r="J266" s="2" t="s">
        <v>1235</v>
      </c>
      <c r="M266" s="5" t="str">
        <f t="shared" si="44"/>
        <v>Mid</v>
      </c>
      <c r="N266" s="5" t="str">
        <f t="shared" si="45"/>
        <v>Accountant-Staff-Mid</v>
      </c>
      <c r="O266" s="5" t="str">
        <f t="shared" si="46"/>
        <v>Accountant-Reviewer-Mid</v>
      </c>
      <c r="P266" s="5" t="str">
        <f t="shared" si="47"/>
        <v>Accountant-Signer-Mid</v>
      </c>
      <c r="Q266" s="6">
        <v>1.47</v>
      </c>
      <c r="R266" s="6">
        <v>0.29399999999999998</v>
      </c>
      <c r="S266" s="6">
        <v>0.14699999999999999</v>
      </c>
      <c r="T266" s="7">
        <f t="shared" si="54"/>
        <v>1.911</v>
      </c>
      <c r="U266" s="6" t="e">
        <f>SUMIFS([1]Sheet1!$L:$L,[1]Sheet1!$I:$I,AJ266,[1]Sheet1!$C:$C,A266)</f>
        <v>#VALUE!</v>
      </c>
      <c r="V266" s="6"/>
      <c r="W266" s="6"/>
      <c r="X266" s="7" t="e">
        <f t="shared" si="48"/>
        <v>#VALUE!</v>
      </c>
      <c r="Y266" s="6"/>
      <c r="AJ266" s="5" t="str">
        <f t="shared" si="49"/>
        <v>MO Accounting Services</v>
      </c>
      <c r="AK266" s="5" t="str">
        <f t="shared" si="50"/>
        <v>MO-Accounting Services-MO-Accounting Services_Mid</v>
      </c>
      <c r="AL266" s="5" t="str">
        <f t="shared" si="51"/>
        <v>Gallantr_1065_82-4465506_MO Accounting Services</v>
      </c>
      <c r="AM266" s="5" t="str">
        <f t="shared" si="52"/>
        <v>Gallantr_1065_82-4465506_MO-Accounting Services-MO-Accounting Services_Mid</v>
      </c>
    </row>
    <row r="267" spans="1:39" x14ac:dyDescent="0.25">
      <c r="A267" s="2" t="s">
        <v>69</v>
      </c>
      <c r="B267" s="2" t="s">
        <v>70</v>
      </c>
      <c r="C267" s="2" t="s">
        <v>1197</v>
      </c>
      <c r="D267" s="8">
        <v>43831</v>
      </c>
      <c r="E267" s="5" t="str">
        <f t="shared" si="53"/>
        <v>Gallantry Global Logistics, LLC_01-01-20</v>
      </c>
      <c r="F267" s="2" t="s">
        <v>1200</v>
      </c>
      <c r="G267" s="2" t="s">
        <v>1241</v>
      </c>
      <c r="H267" s="2" t="s">
        <v>1220</v>
      </c>
      <c r="I267" s="2" t="s">
        <v>1223</v>
      </c>
      <c r="J267" s="2" t="s">
        <v>1234</v>
      </c>
      <c r="M267" s="5" t="str">
        <f t="shared" si="44"/>
        <v>Basic</v>
      </c>
      <c r="N267" s="5" t="str">
        <f t="shared" si="45"/>
        <v>Tax-Staff-Basic</v>
      </c>
      <c r="O267" s="5" t="str">
        <f t="shared" si="46"/>
        <v>Tax-Reviewer-Basic</v>
      </c>
      <c r="P267" s="5" t="str">
        <f t="shared" si="47"/>
        <v>Tax-Signer-Basic</v>
      </c>
      <c r="Q267" s="6">
        <v>0.5</v>
      </c>
      <c r="R267" s="6">
        <v>0.1</v>
      </c>
      <c r="S267" s="6">
        <v>0.05</v>
      </c>
      <c r="T267" s="7">
        <f t="shared" si="54"/>
        <v>0.65</v>
      </c>
      <c r="U267" s="6" t="e">
        <f>SUMIFS([1]Sheet1!$L:$L,[1]Sheet1!$I:$I,AJ267,[1]Sheet1!$C:$C,A267)</f>
        <v>#VALUE!</v>
      </c>
      <c r="V267" s="6"/>
      <c r="W267" s="6"/>
      <c r="X267" s="7" t="e">
        <f t="shared" si="48"/>
        <v>#VALUE!</v>
      </c>
      <c r="Y267" s="6"/>
      <c r="AJ267" s="5" t="str">
        <f t="shared" si="49"/>
        <v>MO Texas Franchise Tax Return</v>
      </c>
      <c r="AK267" s="5" t="str">
        <f t="shared" si="50"/>
        <v>MO-Tax Services-ANN-Texas Franchise Tax Return_Basic</v>
      </c>
      <c r="AL267" s="5" t="str">
        <f t="shared" si="51"/>
        <v>Gallantr_1065_82-4465506_MO Texas Franchise Tax Return</v>
      </c>
      <c r="AM267" s="5" t="str">
        <f t="shared" si="52"/>
        <v>Gallantr_1065_82-4465506_MO-Tax Services-ANN-Texas Franchise Tax Return_Basic</v>
      </c>
    </row>
    <row r="268" spans="1:39" x14ac:dyDescent="0.25">
      <c r="A268" s="2" t="s">
        <v>567</v>
      </c>
      <c r="B268" s="2" t="s">
        <v>568</v>
      </c>
      <c r="C268" s="2" t="s">
        <v>1196</v>
      </c>
      <c r="D268" s="8">
        <v>43831</v>
      </c>
      <c r="E268" s="5" t="str">
        <f t="shared" si="53"/>
        <v>Garrett, Herman "David"_01-01-20</v>
      </c>
      <c r="F268" s="2" t="s">
        <v>1203</v>
      </c>
      <c r="G268" s="2" t="s">
        <v>1241</v>
      </c>
      <c r="H268" s="2" t="s">
        <v>1220</v>
      </c>
      <c r="I268" s="2" t="s">
        <v>1221</v>
      </c>
      <c r="J268" s="2" t="s">
        <v>1234</v>
      </c>
      <c r="M268" s="5" t="str">
        <f t="shared" si="44"/>
        <v>Mid</v>
      </c>
      <c r="N268" s="5" t="str">
        <f t="shared" si="45"/>
        <v>Tax-Staff-Mid</v>
      </c>
      <c r="O268" s="5" t="str">
        <f t="shared" si="46"/>
        <v>Tax-Reviewer-Mid</v>
      </c>
      <c r="P268" s="5" t="str">
        <f t="shared" si="47"/>
        <v>Tax-Signer-Mid</v>
      </c>
      <c r="Q268" s="6">
        <v>2.7401969696969677</v>
      </c>
      <c r="R268" s="6">
        <v>0.5480393939393936</v>
      </c>
      <c r="S268" s="6">
        <v>0.2740196969696968</v>
      </c>
      <c r="T268" s="7">
        <f t="shared" si="54"/>
        <v>3.562256060606058</v>
      </c>
      <c r="U268" s="6" t="e">
        <f>SUMIFS([1]Sheet1!$L:$L,[1]Sheet1!$I:$I,AJ268,[1]Sheet1!$C:$C,A268)</f>
        <v>#VALUE!</v>
      </c>
      <c r="V268" s="6"/>
      <c r="W268" s="6"/>
      <c r="X268" s="7" t="e">
        <f t="shared" si="48"/>
        <v>#VALUE!</v>
      </c>
      <c r="Y268" s="6"/>
      <c r="AJ268" s="5" t="str">
        <f t="shared" si="49"/>
        <v>NM 1040 - Personal</v>
      </c>
      <c r="AK268" s="5" t="str">
        <f t="shared" si="50"/>
        <v>NM-Tax Services-ANN-1040 - Personal_Mid</v>
      </c>
      <c r="AL268" s="5" t="str">
        <f t="shared" si="51"/>
        <v>Garret_9512_NM 1040 - Personal</v>
      </c>
      <c r="AM268" s="5" t="str">
        <f t="shared" si="52"/>
        <v>Garret_9512_NM-Tax Services-ANN-1040 - Personal_Mid</v>
      </c>
    </row>
    <row r="269" spans="1:39" x14ac:dyDescent="0.25">
      <c r="A269" s="2" t="s">
        <v>569</v>
      </c>
      <c r="B269" s="2" t="s">
        <v>570</v>
      </c>
      <c r="C269" s="2" t="s">
        <v>1196</v>
      </c>
      <c r="D269" s="8">
        <v>43831</v>
      </c>
      <c r="E269" s="5" t="str">
        <f t="shared" si="53"/>
        <v>Genes, Matthew_01-01-20</v>
      </c>
      <c r="F269" s="2" t="s">
        <v>1203</v>
      </c>
      <c r="G269" s="2" t="s">
        <v>1241</v>
      </c>
      <c r="H269" s="2" t="s">
        <v>1220</v>
      </c>
      <c r="I269" s="2" t="s">
        <v>1221</v>
      </c>
      <c r="J269" s="2" t="s">
        <v>1234</v>
      </c>
      <c r="M269" s="5" t="str">
        <f t="shared" si="44"/>
        <v>Mid</v>
      </c>
      <c r="N269" s="5" t="str">
        <f t="shared" si="45"/>
        <v>Tax-Staff-Mid</v>
      </c>
      <c r="O269" s="5" t="str">
        <f t="shared" si="46"/>
        <v>Tax-Reviewer-Mid</v>
      </c>
      <c r="P269" s="5" t="str">
        <f t="shared" si="47"/>
        <v>Tax-Signer-Mid</v>
      </c>
      <c r="Q269" s="6">
        <v>2.7401969696969677</v>
      </c>
      <c r="R269" s="6">
        <v>0.5480393939393936</v>
      </c>
      <c r="S269" s="6">
        <v>0.2740196969696968</v>
      </c>
      <c r="T269" s="7">
        <f t="shared" si="54"/>
        <v>3.562256060606058</v>
      </c>
      <c r="U269" s="6" t="e">
        <f>SUMIFS([1]Sheet1!$L:$L,[1]Sheet1!$I:$I,AJ269,[1]Sheet1!$C:$C,A269)</f>
        <v>#VALUE!</v>
      </c>
      <c r="V269" s="6"/>
      <c r="W269" s="6"/>
      <c r="X269" s="7" t="e">
        <f t="shared" si="48"/>
        <v>#VALUE!</v>
      </c>
      <c r="Y269" s="6"/>
      <c r="AJ269" s="5" t="str">
        <f t="shared" si="49"/>
        <v>NM 1040 - Personal</v>
      </c>
      <c r="AK269" s="5" t="str">
        <f t="shared" si="50"/>
        <v>NM-Tax Services-ANN-1040 - Personal_Mid</v>
      </c>
      <c r="AL269" s="5" t="str">
        <f t="shared" si="51"/>
        <v>Genes,_8896_NM 1040 - Personal</v>
      </c>
      <c r="AM269" s="5" t="str">
        <f t="shared" si="52"/>
        <v>Genes,_8896_NM-Tax Services-ANN-1040 - Personal_Mid</v>
      </c>
    </row>
    <row r="270" spans="1:39" x14ac:dyDescent="0.25">
      <c r="A270" s="2" t="s">
        <v>990</v>
      </c>
      <c r="B270" s="2" t="s">
        <v>991</v>
      </c>
      <c r="C270" s="2" t="s">
        <v>1196</v>
      </c>
      <c r="D270" s="8">
        <v>43831</v>
      </c>
      <c r="E270" s="5" t="str">
        <f t="shared" si="53"/>
        <v>Genesis Abatement and Demolition, LLC_01-01-20</v>
      </c>
      <c r="F270" s="2" t="s">
        <v>1212</v>
      </c>
      <c r="G270" s="2" t="e">
        <v>#N/A</v>
      </c>
      <c r="H270" s="2" t="s">
        <v>1220</v>
      </c>
      <c r="I270" s="2" t="s">
        <v>1223</v>
      </c>
      <c r="J270" s="2" t="e">
        <v>#N/A</v>
      </c>
      <c r="M270" s="5" t="str">
        <f t="shared" si="44"/>
        <v>Basic</v>
      </c>
      <c r="N270" s="5" t="e">
        <f t="shared" si="45"/>
        <v>#N/A</v>
      </c>
      <c r="O270" s="5" t="e">
        <f t="shared" si="46"/>
        <v>#N/A</v>
      </c>
      <c r="P270" s="5" t="e">
        <f t="shared" si="47"/>
        <v>#N/A</v>
      </c>
      <c r="Q270" s="6" t="e">
        <v>#N/A</v>
      </c>
      <c r="R270" s="6" t="e">
        <v>#N/A</v>
      </c>
      <c r="S270" s="6" t="e">
        <v>#N/A</v>
      </c>
      <c r="T270" s="7" t="e">
        <f t="shared" si="54"/>
        <v>#N/A</v>
      </c>
      <c r="U270" s="6" t="e">
        <f>SUMIFS([1]Sheet1!$L:$L,[1]Sheet1!$I:$I,AJ270,[1]Sheet1!$C:$C,A270)</f>
        <v>#VALUE!</v>
      </c>
      <c r="V270" s="6"/>
      <c r="W270" s="6"/>
      <c r="X270" s="7" t="e">
        <f t="shared" si="48"/>
        <v>#VALUE!</v>
      </c>
      <c r="Y270" s="6"/>
      <c r="AJ270" s="5" t="str">
        <f t="shared" si="49"/>
        <v>NM A</v>
      </c>
      <c r="AK270" s="5" t="e">
        <f t="shared" si="50"/>
        <v>#N/A</v>
      </c>
      <c r="AL270" s="5" t="str">
        <f t="shared" si="51"/>
        <v>Genesis _1040_1_NM A</v>
      </c>
      <c r="AM270" s="5" t="e">
        <f t="shared" si="52"/>
        <v>#N/A</v>
      </c>
    </row>
    <row r="271" spans="1:39" x14ac:dyDescent="0.25">
      <c r="A271" s="2" t="s">
        <v>571</v>
      </c>
      <c r="B271" s="2" t="s">
        <v>572</v>
      </c>
      <c r="C271" s="2" t="s">
        <v>1196</v>
      </c>
      <c r="D271" s="8">
        <v>43831</v>
      </c>
      <c r="E271" s="5" t="str">
        <f t="shared" si="53"/>
        <v>Gentiles, David A &amp; Emily_01-01-20</v>
      </c>
      <c r="F271" s="2" t="s">
        <v>1203</v>
      </c>
      <c r="G271" s="2" t="s">
        <v>1241</v>
      </c>
      <c r="H271" s="2" t="s">
        <v>1220</v>
      </c>
      <c r="I271" s="2" t="s">
        <v>1221</v>
      </c>
      <c r="J271" s="2" t="s">
        <v>1234</v>
      </c>
      <c r="M271" s="5" t="str">
        <f t="shared" si="44"/>
        <v>Mid</v>
      </c>
      <c r="N271" s="5" t="str">
        <f t="shared" si="45"/>
        <v>Tax-Staff-Mid</v>
      </c>
      <c r="O271" s="5" t="str">
        <f t="shared" si="46"/>
        <v>Tax-Reviewer-Mid</v>
      </c>
      <c r="P271" s="5" t="str">
        <f t="shared" si="47"/>
        <v>Tax-Signer-Mid</v>
      </c>
      <c r="Q271" s="6">
        <v>2.7401969696969677</v>
      </c>
      <c r="R271" s="6">
        <v>0.5480393939393936</v>
      </c>
      <c r="S271" s="6">
        <v>0.2740196969696968</v>
      </c>
      <c r="T271" s="7">
        <f t="shared" si="54"/>
        <v>3.562256060606058</v>
      </c>
      <c r="U271" s="6" t="e">
        <f>SUMIFS([1]Sheet1!$L:$L,[1]Sheet1!$I:$I,AJ271,[1]Sheet1!$C:$C,A271)</f>
        <v>#VALUE!</v>
      </c>
      <c r="V271" s="6"/>
      <c r="W271" s="6"/>
      <c r="X271" s="7" t="e">
        <f t="shared" si="48"/>
        <v>#VALUE!</v>
      </c>
      <c r="Y271" s="6"/>
      <c r="AJ271" s="5" t="str">
        <f t="shared" si="49"/>
        <v>NM 1040 - Personal</v>
      </c>
      <c r="AK271" s="5" t="str">
        <f t="shared" si="50"/>
        <v>NM-Tax Services-ANN-1040 - Personal_Mid</v>
      </c>
      <c r="AL271" s="5" t="str">
        <f t="shared" si="51"/>
        <v>Gentil_7637_NM 1040 - Personal</v>
      </c>
      <c r="AM271" s="5" t="str">
        <f t="shared" si="52"/>
        <v>Gentil_7637_NM-Tax Services-ANN-1040 - Personal_Mid</v>
      </c>
    </row>
    <row r="272" spans="1:39" x14ac:dyDescent="0.25">
      <c r="A272" s="2" t="s">
        <v>573</v>
      </c>
      <c r="B272" s="2" t="s">
        <v>574</v>
      </c>
      <c r="C272" s="2" t="s">
        <v>1196</v>
      </c>
      <c r="D272" s="8">
        <v>43831</v>
      </c>
      <c r="E272" s="5" t="str">
        <f t="shared" si="53"/>
        <v>Gestner, Annemarie_01-01-20</v>
      </c>
      <c r="F272" s="2" t="s">
        <v>1203</v>
      </c>
      <c r="G272" s="2" t="s">
        <v>1241</v>
      </c>
      <c r="H272" s="2" t="s">
        <v>1220</v>
      </c>
      <c r="I272" s="2" t="s">
        <v>1221</v>
      </c>
      <c r="J272" s="2" t="s">
        <v>1234</v>
      </c>
      <c r="M272" s="5" t="str">
        <f t="shared" si="44"/>
        <v>Mid</v>
      </c>
      <c r="N272" s="5" t="str">
        <f t="shared" si="45"/>
        <v>Tax-Staff-Mid</v>
      </c>
      <c r="O272" s="5" t="str">
        <f t="shared" si="46"/>
        <v>Tax-Reviewer-Mid</v>
      </c>
      <c r="P272" s="5" t="str">
        <f t="shared" si="47"/>
        <v>Tax-Signer-Mid</v>
      </c>
      <c r="Q272" s="6">
        <v>2.7401969696969677</v>
      </c>
      <c r="R272" s="6">
        <v>0.5480393939393936</v>
      </c>
      <c r="S272" s="6">
        <v>0.2740196969696968</v>
      </c>
      <c r="T272" s="7">
        <f t="shared" si="54"/>
        <v>3.562256060606058</v>
      </c>
      <c r="U272" s="6" t="e">
        <f>SUMIFS([1]Sheet1!$L:$L,[1]Sheet1!$I:$I,AJ272,[1]Sheet1!$C:$C,A272)</f>
        <v>#VALUE!</v>
      </c>
      <c r="V272" s="6"/>
      <c r="W272" s="6"/>
      <c r="X272" s="7" t="e">
        <f t="shared" si="48"/>
        <v>#VALUE!</v>
      </c>
      <c r="Y272" s="6"/>
      <c r="AJ272" s="5" t="str">
        <f t="shared" si="49"/>
        <v>NM 1040 - Personal</v>
      </c>
      <c r="AK272" s="5" t="str">
        <f t="shared" si="50"/>
        <v>NM-Tax Services-ANN-1040 - Personal_Mid</v>
      </c>
      <c r="AL272" s="5" t="str">
        <f t="shared" si="51"/>
        <v>Gestne_3249_NM 1040 - Personal</v>
      </c>
      <c r="AM272" s="5" t="str">
        <f t="shared" si="52"/>
        <v>Gestne_3249_NM-Tax Services-ANN-1040 - Personal_Mid</v>
      </c>
    </row>
    <row r="273" spans="1:39" x14ac:dyDescent="0.25">
      <c r="A273" s="2" t="s">
        <v>968</v>
      </c>
      <c r="B273" s="2" t="s">
        <v>969</v>
      </c>
      <c r="C273" s="2" t="s">
        <v>1196</v>
      </c>
      <c r="D273" s="8">
        <v>43831</v>
      </c>
      <c r="E273" s="5" t="str">
        <f t="shared" si="53"/>
        <v>Gladney, Melissa_01-01-20</v>
      </c>
      <c r="F273" s="2" t="s">
        <v>1203</v>
      </c>
      <c r="G273" s="2" t="s">
        <v>1241</v>
      </c>
      <c r="H273" s="2" t="s">
        <v>1220</v>
      </c>
      <c r="I273" s="2" t="s">
        <v>1223</v>
      </c>
      <c r="J273" s="2" t="s">
        <v>1234</v>
      </c>
      <c r="M273" s="5" t="str">
        <f t="shared" si="44"/>
        <v>Basic</v>
      </c>
      <c r="N273" s="5" t="str">
        <f t="shared" si="45"/>
        <v>Tax-Staff-Basic</v>
      </c>
      <c r="O273" s="5" t="str">
        <f t="shared" si="46"/>
        <v>Tax-Reviewer-Basic</v>
      </c>
      <c r="P273" s="5" t="str">
        <f t="shared" si="47"/>
        <v>Tax-Signer-Basic</v>
      </c>
      <c r="Q273" s="6">
        <v>1.4675000000000016</v>
      </c>
      <c r="R273" s="6">
        <v>0.29350000000000032</v>
      </c>
      <c r="S273" s="6">
        <v>0.14675000000000016</v>
      </c>
      <c r="T273" s="7">
        <f t="shared" si="54"/>
        <v>1.9077500000000021</v>
      </c>
      <c r="U273" s="6" t="e">
        <f>SUMIFS([1]Sheet1!$L:$L,[1]Sheet1!$I:$I,AJ273,[1]Sheet1!$C:$C,A273)</f>
        <v>#VALUE!</v>
      </c>
      <c r="V273" s="6"/>
      <c r="W273" s="6"/>
      <c r="X273" s="7" t="e">
        <f t="shared" si="48"/>
        <v>#VALUE!</v>
      </c>
      <c r="Y273" s="6"/>
      <c r="AJ273" s="5" t="str">
        <f t="shared" si="49"/>
        <v>NM 1040 - Personal</v>
      </c>
      <c r="AK273" s="5" t="str">
        <f t="shared" si="50"/>
        <v>NM-Tax Services-ANN-1040 - Personal_Basic</v>
      </c>
      <c r="AL273" s="5" t="str">
        <f t="shared" si="51"/>
        <v>Gladne_1_NM 1040 - Personal</v>
      </c>
      <c r="AM273" s="5" t="str">
        <f t="shared" si="52"/>
        <v>Gladne_1_NM-Tax Services-ANN-1040 - Personal_Basic</v>
      </c>
    </row>
    <row r="274" spans="1:39" x14ac:dyDescent="0.25">
      <c r="A274" s="2" t="s">
        <v>257</v>
      </c>
      <c r="B274" s="2" t="s">
        <v>258</v>
      </c>
      <c r="C274" s="2" t="s">
        <v>1196</v>
      </c>
      <c r="D274" s="8">
        <v>43831</v>
      </c>
      <c r="E274" s="5" t="str">
        <f t="shared" si="53"/>
        <v>Glendaly Fernandez PLLC_01-01-20</v>
      </c>
      <c r="F274" s="2" t="s">
        <v>1204</v>
      </c>
      <c r="G274" s="2" t="s">
        <v>1241</v>
      </c>
      <c r="H274" s="2" t="s">
        <v>1220</v>
      </c>
      <c r="I274" s="2" t="s">
        <v>1222</v>
      </c>
      <c r="J274" s="2" t="s">
        <v>1234</v>
      </c>
      <c r="M274" s="5" t="str">
        <f t="shared" si="44"/>
        <v>Adv</v>
      </c>
      <c r="N274" s="5" t="str">
        <f t="shared" si="45"/>
        <v>Tax-Staff-Adv</v>
      </c>
      <c r="O274" s="5" t="str">
        <f t="shared" si="46"/>
        <v>Tax-Reviewer-Adv</v>
      </c>
      <c r="P274" s="5" t="str">
        <f t="shared" si="47"/>
        <v>Tax-Signer-Adv</v>
      </c>
      <c r="Q274" s="6">
        <v>4.5832500000000005</v>
      </c>
      <c r="R274" s="6">
        <v>0.91665000000000019</v>
      </c>
      <c r="S274" s="6">
        <v>0.45832500000000009</v>
      </c>
      <c r="T274" s="7">
        <f t="shared" si="54"/>
        <v>5.9582250000000005</v>
      </c>
      <c r="U274" s="6" t="e">
        <f>SUMIFS([1]Sheet1!$L:$L,[1]Sheet1!$I:$I,AJ274,[1]Sheet1!$C:$C,A274)</f>
        <v>#VALUE!</v>
      </c>
      <c r="V274" s="6"/>
      <c r="W274" s="6"/>
      <c r="X274" s="7" t="e">
        <f t="shared" si="48"/>
        <v>#VALUE!</v>
      </c>
      <c r="Y274" s="6"/>
      <c r="AJ274" s="5" t="str">
        <f t="shared" si="49"/>
        <v>NM 1120S - S Corporation</v>
      </c>
      <c r="AK274" s="5" t="str">
        <f t="shared" si="50"/>
        <v>NM-Tax Services-ANN-1120S - S Corporation_Adv</v>
      </c>
      <c r="AL274" s="5" t="str">
        <f t="shared" si="51"/>
        <v>Glendaly_1120S_81-1588682_NM 1120S - S Corporation</v>
      </c>
      <c r="AM274" s="5" t="str">
        <f t="shared" si="52"/>
        <v>Glendaly_1120S_81-1588682_NM-Tax Services-ANN-1120S - S Corporation_Adv</v>
      </c>
    </row>
    <row r="275" spans="1:39" x14ac:dyDescent="0.25">
      <c r="A275" s="2" t="s">
        <v>575</v>
      </c>
      <c r="B275" s="2" t="s">
        <v>576</v>
      </c>
      <c r="C275" s="2" t="s">
        <v>1196</v>
      </c>
      <c r="D275" s="8">
        <v>43831</v>
      </c>
      <c r="E275" s="5" t="str">
        <f t="shared" si="53"/>
        <v>Godi, Patricia &amp; Kenneth_01-01-20</v>
      </c>
      <c r="F275" s="2" t="s">
        <v>1203</v>
      </c>
      <c r="G275" s="2" t="s">
        <v>1241</v>
      </c>
      <c r="H275" s="2" t="s">
        <v>1220</v>
      </c>
      <c r="I275" s="2" t="s">
        <v>1223</v>
      </c>
      <c r="J275" s="2" t="s">
        <v>1234</v>
      </c>
      <c r="M275" s="5" t="str">
        <f t="shared" si="44"/>
        <v>Basic</v>
      </c>
      <c r="N275" s="5" t="str">
        <f t="shared" si="45"/>
        <v>Tax-Staff-Basic</v>
      </c>
      <c r="O275" s="5" t="str">
        <f t="shared" si="46"/>
        <v>Tax-Reviewer-Basic</v>
      </c>
      <c r="P275" s="5" t="str">
        <f t="shared" si="47"/>
        <v>Tax-Signer-Basic</v>
      </c>
      <c r="Q275" s="6">
        <v>1.4675000000000016</v>
      </c>
      <c r="R275" s="6">
        <v>0.29350000000000032</v>
      </c>
      <c r="S275" s="6">
        <v>0.14675000000000016</v>
      </c>
      <c r="T275" s="7">
        <f t="shared" si="54"/>
        <v>1.9077500000000021</v>
      </c>
      <c r="U275" s="6" t="e">
        <f>SUMIFS([1]Sheet1!$L:$L,[1]Sheet1!$I:$I,AJ275,[1]Sheet1!$C:$C,A275)</f>
        <v>#VALUE!</v>
      </c>
      <c r="V275" s="6"/>
      <c r="W275" s="6"/>
      <c r="X275" s="7" t="e">
        <f t="shared" si="48"/>
        <v>#VALUE!</v>
      </c>
      <c r="Y275" s="6"/>
      <c r="AJ275" s="5" t="str">
        <f t="shared" si="49"/>
        <v>NM 1040 - Personal</v>
      </c>
      <c r="AK275" s="5" t="str">
        <f t="shared" si="50"/>
        <v>NM-Tax Services-ANN-1040 - Personal_Basic</v>
      </c>
      <c r="AL275" s="5" t="str">
        <f t="shared" si="51"/>
        <v>Godi, _3386_NM 1040 - Personal</v>
      </c>
      <c r="AM275" s="5" t="str">
        <f t="shared" si="52"/>
        <v>Godi, _3386_NM-Tax Services-ANN-1040 - Personal_Basic</v>
      </c>
    </row>
    <row r="276" spans="1:39" x14ac:dyDescent="0.25">
      <c r="A276" s="2" t="s">
        <v>577</v>
      </c>
      <c r="B276" s="2" t="s">
        <v>578</v>
      </c>
      <c r="C276" s="2" t="s">
        <v>1196</v>
      </c>
      <c r="D276" s="8">
        <v>43831</v>
      </c>
      <c r="E276" s="5" t="str">
        <f t="shared" si="53"/>
        <v>Godoy, Nicholas &amp; Beatriz_01-01-20</v>
      </c>
      <c r="F276" s="2" t="s">
        <v>1203</v>
      </c>
      <c r="G276" s="2" t="s">
        <v>1241</v>
      </c>
      <c r="H276" s="2" t="s">
        <v>1220</v>
      </c>
      <c r="I276" s="2" t="s">
        <v>1221</v>
      </c>
      <c r="J276" s="2" t="s">
        <v>1234</v>
      </c>
      <c r="M276" s="5" t="str">
        <f t="shared" si="44"/>
        <v>Mid</v>
      </c>
      <c r="N276" s="5" t="str">
        <f t="shared" si="45"/>
        <v>Tax-Staff-Mid</v>
      </c>
      <c r="O276" s="5" t="str">
        <f t="shared" si="46"/>
        <v>Tax-Reviewer-Mid</v>
      </c>
      <c r="P276" s="5" t="str">
        <f t="shared" si="47"/>
        <v>Tax-Signer-Mid</v>
      </c>
      <c r="Q276" s="6">
        <v>2.7401969696969677</v>
      </c>
      <c r="R276" s="6">
        <v>0.5480393939393936</v>
      </c>
      <c r="S276" s="6">
        <v>0.2740196969696968</v>
      </c>
      <c r="T276" s="7">
        <f t="shared" si="54"/>
        <v>3.562256060606058</v>
      </c>
      <c r="U276" s="6" t="e">
        <f>SUMIFS([1]Sheet1!$L:$L,[1]Sheet1!$I:$I,AJ276,[1]Sheet1!$C:$C,A276)</f>
        <v>#VALUE!</v>
      </c>
      <c r="V276" s="6"/>
      <c r="W276" s="6"/>
      <c r="X276" s="7" t="e">
        <f t="shared" si="48"/>
        <v>#VALUE!</v>
      </c>
      <c r="Y276" s="6"/>
      <c r="AJ276" s="5" t="str">
        <f t="shared" si="49"/>
        <v>NM 1040 - Personal</v>
      </c>
      <c r="AK276" s="5" t="str">
        <f t="shared" si="50"/>
        <v>NM-Tax Services-ANN-1040 - Personal_Mid</v>
      </c>
      <c r="AL276" s="5" t="str">
        <f t="shared" si="51"/>
        <v>Godoy,_6032_NM 1040 - Personal</v>
      </c>
      <c r="AM276" s="5" t="str">
        <f t="shared" si="52"/>
        <v>Godoy,_6032_NM-Tax Services-ANN-1040 - Personal_Mid</v>
      </c>
    </row>
    <row r="277" spans="1:39" x14ac:dyDescent="0.25">
      <c r="A277" s="2" t="s">
        <v>579</v>
      </c>
      <c r="B277" s="2" t="s">
        <v>580</v>
      </c>
      <c r="C277" s="2" t="s">
        <v>1196</v>
      </c>
      <c r="D277" s="8">
        <v>43831</v>
      </c>
      <c r="E277" s="5" t="str">
        <f t="shared" si="53"/>
        <v>Goldschmeding, Jeremy J. &amp; Frances C._01-01-20</v>
      </c>
      <c r="F277" s="2" t="s">
        <v>1203</v>
      </c>
      <c r="G277" s="2" t="s">
        <v>1241</v>
      </c>
      <c r="H277" s="2" t="s">
        <v>1220</v>
      </c>
      <c r="I277" s="2" t="s">
        <v>1221</v>
      </c>
      <c r="J277" s="2" t="s">
        <v>1234</v>
      </c>
      <c r="M277" s="5" t="str">
        <f t="shared" si="44"/>
        <v>Mid</v>
      </c>
      <c r="N277" s="5" t="str">
        <f t="shared" si="45"/>
        <v>Tax-Staff-Mid</v>
      </c>
      <c r="O277" s="5" t="str">
        <f t="shared" si="46"/>
        <v>Tax-Reviewer-Mid</v>
      </c>
      <c r="P277" s="5" t="str">
        <f t="shared" si="47"/>
        <v>Tax-Signer-Mid</v>
      </c>
      <c r="Q277" s="6">
        <v>2.7401969696969677</v>
      </c>
      <c r="R277" s="6">
        <v>0.5480393939393936</v>
      </c>
      <c r="S277" s="6">
        <v>0.2740196969696968</v>
      </c>
      <c r="T277" s="7">
        <f t="shared" si="54"/>
        <v>3.562256060606058</v>
      </c>
      <c r="U277" s="6" t="e">
        <f>SUMIFS([1]Sheet1!$L:$L,[1]Sheet1!$I:$I,AJ277,[1]Sheet1!$C:$C,A277)</f>
        <v>#VALUE!</v>
      </c>
      <c r="V277" s="6"/>
      <c r="W277" s="6"/>
      <c r="X277" s="7" t="e">
        <f t="shared" si="48"/>
        <v>#VALUE!</v>
      </c>
      <c r="Y277" s="6"/>
      <c r="AJ277" s="5" t="str">
        <f t="shared" si="49"/>
        <v>NM 1040 - Personal</v>
      </c>
      <c r="AK277" s="5" t="str">
        <f t="shared" si="50"/>
        <v>NM-Tax Services-ANN-1040 - Personal_Mid</v>
      </c>
      <c r="AL277" s="5" t="str">
        <f t="shared" si="51"/>
        <v>Goldsc_7981_NM 1040 - Personal</v>
      </c>
      <c r="AM277" s="5" t="str">
        <f t="shared" si="52"/>
        <v>Goldsc_7981_NM-Tax Services-ANN-1040 - Personal_Mid</v>
      </c>
    </row>
    <row r="278" spans="1:39" x14ac:dyDescent="0.25">
      <c r="A278" s="2" t="s">
        <v>581</v>
      </c>
      <c r="B278" s="2" t="s">
        <v>582</v>
      </c>
      <c r="C278" s="2" t="s">
        <v>1196</v>
      </c>
      <c r="D278" s="8">
        <v>43831</v>
      </c>
      <c r="E278" s="5" t="str">
        <f t="shared" si="53"/>
        <v>Gonzales, (Marcelino) Nino_01-01-20</v>
      </c>
      <c r="F278" s="2" t="s">
        <v>1203</v>
      </c>
      <c r="G278" s="2" t="s">
        <v>1241</v>
      </c>
      <c r="H278" s="2" t="s">
        <v>1220</v>
      </c>
      <c r="I278" s="2" t="s">
        <v>1223</v>
      </c>
      <c r="J278" s="2" t="s">
        <v>1234</v>
      </c>
      <c r="M278" s="5" t="str">
        <f t="shared" si="44"/>
        <v>Basic</v>
      </c>
      <c r="N278" s="5" t="str">
        <f t="shared" si="45"/>
        <v>Tax-Staff-Basic</v>
      </c>
      <c r="O278" s="5" t="str">
        <f t="shared" si="46"/>
        <v>Tax-Reviewer-Basic</v>
      </c>
      <c r="P278" s="5" t="str">
        <f t="shared" si="47"/>
        <v>Tax-Signer-Basic</v>
      </c>
      <c r="Q278" s="6">
        <v>1.4675000000000016</v>
      </c>
      <c r="R278" s="6">
        <v>0.29350000000000032</v>
      </c>
      <c r="S278" s="6">
        <v>0.14675000000000016</v>
      </c>
      <c r="T278" s="7">
        <f t="shared" si="54"/>
        <v>1.9077500000000021</v>
      </c>
      <c r="U278" s="6" t="e">
        <f>SUMIFS([1]Sheet1!$L:$L,[1]Sheet1!$I:$I,AJ278,[1]Sheet1!$C:$C,A278)</f>
        <v>#VALUE!</v>
      </c>
      <c r="V278" s="6"/>
      <c r="W278" s="6"/>
      <c r="X278" s="7" t="e">
        <f t="shared" si="48"/>
        <v>#VALUE!</v>
      </c>
      <c r="Y278" s="6"/>
      <c r="AJ278" s="5" t="str">
        <f t="shared" si="49"/>
        <v>NM 1040 - Personal</v>
      </c>
      <c r="AK278" s="5" t="str">
        <f t="shared" si="50"/>
        <v>NM-Tax Services-ANN-1040 - Personal_Basic</v>
      </c>
      <c r="AL278" s="5" t="str">
        <f t="shared" si="51"/>
        <v>Gonzal_7619_NM 1040 - Personal</v>
      </c>
      <c r="AM278" s="5" t="str">
        <f t="shared" si="52"/>
        <v>Gonzal_7619_NM-Tax Services-ANN-1040 - Personal_Basic</v>
      </c>
    </row>
    <row r="279" spans="1:39" x14ac:dyDescent="0.25">
      <c r="A279" s="2" t="s">
        <v>583</v>
      </c>
      <c r="B279" s="2" t="s">
        <v>584</v>
      </c>
      <c r="C279" s="2" t="s">
        <v>1196</v>
      </c>
      <c r="D279" s="8">
        <v>43831</v>
      </c>
      <c r="E279" s="5" t="str">
        <f t="shared" si="53"/>
        <v>Gotell, Kerrie_01-01-20</v>
      </c>
      <c r="F279" s="2" t="s">
        <v>1203</v>
      </c>
      <c r="G279" s="2" t="s">
        <v>1241</v>
      </c>
      <c r="H279" s="2" t="s">
        <v>1220</v>
      </c>
      <c r="I279" s="2" t="s">
        <v>1223</v>
      </c>
      <c r="J279" s="2" t="s">
        <v>1234</v>
      </c>
      <c r="M279" s="5" t="str">
        <f t="shared" si="44"/>
        <v>Basic</v>
      </c>
      <c r="N279" s="5" t="str">
        <f t="shared" si="45"/>
        <v>Tax-Staff-Basic</v>
      </c>
      <c r="O279" s="5" t="str">
        <f t="shared" si="46"/>
        <v>Tax-Reviewer-Basic</v>
      </c>
      <c r="P279" s="5" t="str">
        <f t="shared" si="47"/>
        <v>Tax-Signer-Basic</v>
      </c>
      <c r="Q279" s="6">
        <v>1.4675000000000016</v>
      </c>
      <c r="R279" s="6">
        <v>0.29350000000000032</v>
      </c>
      <c r="S279" s="6">
        <v>0.14675000000000016</v>
      </c>
      <c r="T279" s="7">
        <f t="shared" si="54"/>
        <v>1.9077500000000021</v>
      </c>
      <c r="U279" s="6" t="e">
        <f>SUMIFS([1]Sheet1!$L:$L,[1]Sheet1!$I:$I,AJ279,[1]Sheet1!$C:$C,A279)</f>
        <v>#VALUE!</v>
      </c>
      <c r="V279" s="6"/>
      <c r="W279" s="6"/>
      <c r="X279" s="7" t="e">
        <f t="shared" si="48"/>
        <v>#VALUE!</v>
      </c>
      <c r="Y279" s="6"/>
      <c r="AJ279" s="5" t="str">
        <f t="shared" si="49"/>
        <v>NM 1040 - Personal</v>
      </c>
      <c r="AK279" s="5" t="str">
        <f t="shared" si="50"/>
        <v>NM-Tax Services-ANN-1040 - Personal_Basic</v>
      </c>
      <c r="AL279" s="5" t="str">
        <f t="shared" si="51"/>
        <v>Gotell_9622_NM 1040 - Personal</v>
      </c>
      <c r="AM279" s="5" t="str">
        <f t="shared" si="52"/>
        <v>Gotell_9622_NM-Tax Services-ANN-1040 - Personal_Basic</v>
      </c>
    </row>
    <row r="280" spans="1:39" x14ac:dyDescent="0.25">
      <c r="A280" s="2" t="s">
        <v>585</v>
      </c>
      <c r="B280" s="2" t="s">
        <v>586</v>
      </c>
      <c r="C280" s="2" t="s">
        <v>1196</v>
      </c>
      <c r="D280" s="8">
        <v>43831</v>
      </c>
      <c r="E280" s="5" t="str">
        <f t="shared" si="53"/>
        <v>Gotway, Bernard J &amp; Susan_01-01-20</v>
      </c>
      <c r="F280" s="2" t="s">
        <v>1203</v>
      </c>
      <c r="G280" s="2" t="s">
        <v>1241</v>
      </c>
      <c r="H280" s="2" t="s">
        <v>1220</v>
      </c>
      <c r="I280" s="2" t="s">
        <v>1221</v>
      </c>
      <c r="J280" s="2" t="s">
        <v>1234</v>
      </c>
      <c r="M280" s="5" t="str">
        <f t="shared" si="44"/>
        <v>Mid</v>
      </c>
      <c r="N280" s="5" t="str">
        <f t="shared" si="45"/>
        <v>Tax-Staff-Mid</v>
      </c>
      <c r="O280" s="5" t="str">
        <f t="shared" si="46"/>
        <v>Tax-Reviewer-Mid</v>
      </c>
      <c r="P280" s="5" t="str">
        <f t="shared" si="47"/>
        <v>Tax-Signer-Mid</v>
      </c>
      <c r="Q280" s="6">
        <v>2.7401969696969677</v>
      </c>
      <c r="R280" s="6">
        <v>0.5480393939393936</v>
      </c>
      <c r="S280" s="6">
        <v>0.2740196969696968</v>
      </c>
      <c r="T280" s="7">
        <f t="shared" si="54"/>
        <v>3.562256060606058</v>
      </c>
      <c r="U280" s="6" t="e">
        <f>SUMIFS([1]Sheet1!$L:$L,[1]Sheet1!$I:$I,AJ280,[1]Sheet1!$C:$C,A280)</f>
        <v>#VALUE!</v>
      </c>
      <c r="V280" s="6"/>
      <c r="W280" s="6"/>
      <c r="X280" s="7" t="e">
        <f t="shared" si="48"/>
        <v>#VALUE!</v>
      </c>
      <c r="Y280" s="6"/>
      <c r="AJ280" s="5" t="str">
        <f t="shared" si="49"/>
        <v>NM 1040 - Personal</v>
      </c>
      <c r="AK280" s="5" t="str">
        <f t="shared" si="50"/>
        <v>NM-Tax Services-ANN-1040 - Personal_Mid</v>
      </c>
      <c r="AL280" s="5" t="str">
        <f t="shared" si="51"/>
        <v>Gotway_3451_NM 1040 - Personal</v>
      </c>
      <c r="AM280" s="5" t="str">
        <f t="shared" si="52"/>
        <v>Gotway_3451_NM-Tax Services-ANN-1040 - Personal_Mid</v>
      </c>
    </row>
    <row r="281" spans="1:39" x14ac:dyDescent="0.25">
      <c r="A281" s="2" t="s">
        <v>71</v>
      </c>
      <c r="B281" s="2" t="s">
        <v>72</v>
      </c>
      <c r="C281" s="2" t="s">
        <v>1197</v>
      </c>
      <c r="D281" s="8">
        <v>43831</v>
      </c>
      <c r="E281" s="5" t="str">
        <f t="shared" si="53"/>
        <v>Grace Covenant Academy_01-01-20</v>
      </c>
      <c r="F281" s="2" t="s">
        <v>1201</v>
      </c>
      <c r="G281" s="2" t="s">
        <v>1201</v>
      </c>
      <c r="H281" s="2" t="s">
        <v>1220</v>
      </c>
      <c r="I281" s="2" t="s">
        <v>1223</v>
      </c>
      <c r="J281" s="2" t="s">
        <v>1235</v>
      </c>
      <c r="M281" s="5" t="str">
        <f t="shared" si="44"/>
        <v>Basic</v>
      </c>
      <c r="N281" s="5" t="str">
        <f t="shared" si="45"/>
        <v>Accountant-Staff-Basic</v>
      </c>
      <c r="O281" s="5" t="str">
        <f t="shared" si="46"/>
        <v>Accountant-Reviewer-Basic</v>
      </c>
      <c r="P281" s="5" t="str">
        <f t="shared" si="47"/>
        <v>Accountant-Signer-Basic</v>
      </c>
      <c r="Q281" s="6">
        <v>1.47</v>
      </c>
      <c r="R281" s="6">
        <v>0.29399999999999998</v>
      </c>
      <c r="S281" s="6">
        <v>0.14699999999999999</v>
      </c>
      <c r="T281" s="7">
        <f t="shared" si="54"/>
        <v>1.911</v>
      </c>
      <c r="U281" s="6" t="e">
        <f>SUMIFS([1]Sheet1!$L:$L,[1]Sheet1!$I:$I,AJ281,[1]Sheet1!$C:$C,A281)</f>
        <v>#VALUE!</v>
      </c>
      <c r="V281" s="6"/>
      <c r="W281" s="6"/>
      <c r="X281" s="7" t="e">
        <f t="shared" si="48"/>
        <v>#VALUE!</v>
      </c>
      <c r="Y281" s="6"/>
      <c r="AJ281" s="5" t="str">
        <f t="shared" si="49"/>
        <v>MO Accounting Services</v>
      </c>
      <c r="AK281" s="5" t="str">
        <f t="shared" si="50"/>
        <v>MO-Accounting Services-ANN-Accounting Services_Basic</v>
      </c>
      <c r="AL281" s="5" t="str">
        <f t="shared" si="51"/>
        <v>Grace Co_990_27-0533151_MO Accounting Services</v>
      </c>
      <c r="AM281" s="5" t="str">
        <f t="shared" si="52"/>
        <v>Grace Co_990_27-0533151_MO-Accounting Services-ANN-Accounting Services_Basic</v>
      </c>
    </row>
    <row r="282" spans="1:39" x14ac:dyDescent="0.25">
      <c r="A282" s="2" t="s">
        <v>587</v>
      </c>
      <c r="B282" s="2" t="s">
        <v>588</v>
      </c>
      <c r="C282" s="2" t="s">
        <v>1196</v>
      </c>
      <c r="D282" s="8">
        <v>43831</v>
      </c>
      <c r="E282" s="5" t="str">
        <f t="shared" si="53"/>
        <v>Graham, Corey_01-01-20</v>
      </c>
      <c r="F282" s="2" t="s">
        <v>1203</v>
      </c>
      <c r="G282" s="2" t="s">
        <v>1241</v>
      </c>
      <c r="H282" s="2" t="s">
        <v>1220</v>
      </c>
      <c r="I282" s="2" t="s">
        <v>1223</v>
      </c>
      <c r="J282" s="2" t="s">
        <v>1234</v>
      </c>
      <c r="M282" s="5" t="str">
        <f t="shared" si="44"/>
        <v>Basic</v>
      </c>
      <c r="N282" s="5" t="str">
        <f t="shared" si="45"/>
        <v>Tax-Staff-Basic</v>
      </c>
      <c r="O282" s="5" t="str">
        <f t="shared" si="46"/>
        <v>Tax-Reviewer-Basic</v>
      </c>
      <c r="P282" s="5" t="str">
        <f t="shared" si="47"/>
        <v>Tax-Signer-Basic</v>
      </c>
      <c r="Q282" s="6">
        <v>1.4675000000000016</v>
      </c>
      <c r="R282" s="6">
        <v>0.29350000000000032</v>
      </c>
      <c r="S282" s="6">
        <v>0.14675000000000016</v>
      </c>
      <c r="T282" s="7">
        <f t="shared" si="54"/>
        <v>1.9077500000000021</v>
      </c>
      <c r="U282" s="6" t="e">
        <f>SUMIFS([1]Sheet1!$L:$L,[1]Sheet1!$I:$I,AJ282,[1]Sheet1!$C:$C,A282)</f>
        <v>#VALUE!</v>
      </c>
      <c r="V282" s="6"/>
      <c r="W282" s="6"/>
      <c r="X282" s="7" t="e">
        <f t="shared" si="48"/>
        <v>#VALUE!</v>
      </c>
      <c r="Y282" s="6"/>
      <c r="AJ282" s="5" t="str">
        <f t="shared" si="49"/>
        <v>NM 1040 - Personal</v>
      </c>
      <c r="AK282" s="5" t="str">
        <f t="shared" si="50"/>
        <v>NM-Tax Services-ANN-1040 - Personal_Basic</v>
      </c>
      <c r="AL282" s="5" t="str">
        <f t="shared" si="51"/>
        <v>Graham_6929_NM 1040 - Personal</v>
      </c>
      <c r="AM282" s="5" t="str">
        <f t="shared" si="52"/>
        <v>Graham_6929_NM-Tax Services-ANN-1040 - Personal_Basic</v>
      </c>
    </row>
    <row r="283" spans="1:39" x14ac:dyDescent="0.25">
      <c r="A283" s="2" t="s">
        <v>1208</v>
      </c>
      <c r="B283" s="2" t="s">
        <v>73</v>
      </c>
      <c r="C283" s="2" t="s">
        <v>1197</v>
      </c>
      <c r="D283" s="8">
        <v>43831</v>
      </c>
      <c r="E283" s="5" t="str">
        <f t="shared" si="53"/>
        <v>Grape Up, Inc._01-01-20</v>
      </c>
      <c r="F283" s="2" t="s">
        <v>1206</v>
      </c>
      <c r="G283" s="2" t="s">
        <v>1241</v>
      </c>
      <c r="H283" s="2" t="s">
        <v>1220</v>
      </c>
      <c r="I283" s="2" t="s">
        <v>1222</v>
      </c>
      <c r="J283" s="2" t="s">
        <v>1234</v>
      </c>
      <c r="M283" s="5" t="str">
        <f t="shared" si="44"/>
        <v>Adv</v>
      </c>
      <c r="N283" s="5" t="str">
        <f t="shared" si="45"/>
        <v>Tax-Staff-Adv</v>
      </c>
      <c r="O283" s="5" t="str">
        <f t="shared" si="46"/>
        <v>Tax-Reviewer-Adv</v>
      </c>
      <c r="P283" s="5" t="str">
        <f t="shared" si="47"/>
        <v>Tax-Signer-Adv</v>
      </c>
      <c r="Q283" s="6">
        <v>4.5832500000000005</v>
      </c>
      <c r="R283" s="6">
        <v>0.91665000000000019</v>
      </c>
      <c r="S283" s="6">
        <v>0.45832500000000009</v>
      </c>
      <c r="T283" s="7">
        <f t="shared" si="54"/>
        <v>5.9582250000000005</v>
      </c>
      <c r="U283" s="6" t="e">
        <f>SUMIFS([1]Sheet1!$L:$L,[1]Sheet1!$I:$I,AJ283,[1]Sheet1!$C:$C,A283)</f>
        <v>#VALUE!</v>
      </c>
      <c r="V283" s="6"/>
      <c r="W283" s="6"/>
      <c r="X283" s="7" t="e">
        <f t="shared" si="48"/>
        <v>#VALUE!</v>
      </c>
      <c r="Y283" s="6"/>
      <c r="AJ283" s="5" t="str">
        <f t="shared" si="49"/>
        <v>MO 1120 - C Corporation</v>
      </c>
      <c r="AK283" s="5" t="str">
        <f t="shared" si="50"/>
        <v>MO-Tax Services-ANN-1120 - C Corporation_Adv</v>
      </c>
      <c r="AL283" s="5" t="str">
        <f t="shared" si="51"/>
        <v>Grape Up_1120C_47-4475207_MO 1120 - C Corporation</v>
      </c>
      <c r="AM283" s="5" t="str">
        <f t="shared" si="52"/>
        <v>Grape Up_1120C_47-4475207_MO-Tax Services-ANN-1120 - C Corporation_Adv</v>
      </c>
    </row>
    <row r="284" spans="1:39" x14ac:dyDescent="0.25">
      <c r="A284" s="2" t="s">
        <v>1208</v>
      </c>
      <c r="B284" s="2" t="s">
        <v>73</v>
      </c>
      <c r="C284" s="2" t="s">
        <v>1197</v>
      </c>
      <c r="D284" s="8">
        <v>43831</v>
      </c>
      <c r="E284" s="5" t="str">
        <f t="shared" si="53"/>
        <v>Grape Up, Inc._01-01-20</v>
      </c>
      <c r="F284" s="2" t="s">
        <v>1201</v>
      </c>
      <c r="G284" s="2" t="s">
        <v>1201</v>
      </c>
      <c r="H284" s="2" t="s">
        <v>1197</v>
      </c>
      <c r="I284" s="2" t="s">
        <v>1223</v>
      </c>
      <c r="J284" s="2" t="s">
        <v>1235</v>
      </c>
      <c r="M284" s="5" t="str">
        <f t="shared" si="44"/>
        <v>Basic</v>
      </c>
      <c r="N284" s="5" t="str">
        <f t="shared" si="45"/>
        <v>Accountant-Staff-Basic</v>
      </c>
      <c r="O284" s="5" t="str">
        <f t="shared" si="46"/>
        <v>Accountant-Reviewer-Basic</v>
      </c>
      <c r="P284" s="5" t="str">
        <f t="shared" si="47"/>
        <v>Accountant-Signer-Basic</v>
      </c>
      <c r="Q284" s="6">
        <v>1.47</v>
      </c>
      <c r="R284" s="6">
        <v>0.29399999999999998</v>
      </c>
      <c r="S284" s="6">
        <v>0.14699999999999999</v>
      </c>
      <c r="T284" s="7">
        <f t="shared" si="54"/>
        <v>1.911</v>
      </c>
      <c r="U284" s="6" t="e">
        <f>SUMIFS([1]Sheet1!$L:$L,[1]Sheet1!$I:$I,AJ284,[1]Sheet1!$C:$C,A284)</f>
        <v>#VALUE!</v>
      </c>
      <c r="V284" s="6"/>
      <c r="W284" s="6"/>
      <c r="X284" s="7" t="e">
        <f t="shared" si="48"/>
        <v>#VALUE!</v>
      </c>
      <c r="Y284" s="6"/>
      <c r="AJ284" s="5" t="str">
        <f t="shared" si="49"/>
        <v>MO Accounting Services</v>
      </c>
      <c r="AK284" s="5" t="str">
        <f t="shared" si="50"/>
        <v>MO-Accounting Services-MO-Accounting Services_Basic</v>
      </c>
      <c r="AL284" s="5" t="str">
        <f t="shared" si="51"/>
        <v>Grape Up_1120C_47-4475207_MO Accounting Services</v>
      </c>
      <c r="AM284" s="5" t="str">
        <f t="shared" si="52"/>
        <v>Grape Up_1120C_47-4475207_MO-Accounting Services-MO-Accounting Services_Basic</v>
      </c>
    </row>
    <row r="285" spans="1:39" x14ac:dyDescent="0.25">
      <c r="A285" s="2" t="s">
        <v>1208</v>
      </c>
      <c r="B285" s="2" t="s">
        <v>73</v>
      </c>
      <c r="C285" s="2" t="s">
        <v>1197</v>
      </c>
      <c r="D285" s="8">
        <v>43831</v>
      </c>
      <c r="E285" s="5" t="str">
        <f t="shared" si="53"/>
        <v>Grape Up, Inc._01-01-20</v>
      </c>
      <c r="F285" s="2" t="s">
        <v>1200</v>
      </c>
      <c r="G285" s="2" t="s">
        <v>1241</v>
      </c>
      <c r="H285" s="2" t="s">
        <v>1220</v>
      </c>
      <c r="I285" s="2" t="s">
        <v>1222</v>
      </c>
      <c r="J285" s="2" t="s">
        <v>1234</v>
      </c>
      <c r="M285" s="5" t="str">
        <f t="shared" si="44"/>
        <v>Adv</v>
      </c>
      <c r="N285" s="5" t="str">
        <f t="shared" si="45"/>
        <v>Tax-Staff-Adv</v>
      </c>
      <c r="O285" s="5" t="str">
        <f t="shared" si="46"/>
        <v>Tax-Reviewer-Adv</v>
      </c>
      <c r="P285" s="5" t="str">
        <f t="shared" si="47"/>
        <v>Tax-Signer-Adv</v>
      </c>
      <c r="Q285" s="6">
        <v>1.5</v>
      </c>
      <c r="R285" s="6">
        <v>0.30000000000000004</v>
      </c>
      <c r="S285" s="6">
        <v>0.15000000000000002</v>
      </c>
      <c r="T285" s="7">
        <f t="shared" si="54"/>
        <v>1.9500000000000002</v>
      </c>
      <c r="U285" s="6" t="e">
        <f>SUMIFS([1]Sheet1!$L:$L,[1]Sheet1!$I:$I,AJ285,[1]Sheet1!$C:$C,A285)</f>
        <v>#VALUE!</v>
      </c>
      <c r="V285" s="6"/>
      <c r="W285" s="6"/>
      <c r="X285" s="7" t="e">
        <f t="shared" si="48"/>
        <v>#VALUE!</v>
      </c>
      <c r="Y285" s="6"/>
      <c r="AJ285" s="5" t="str">
        <f t="shared" si="49"/>
        <v>MO Texas Franchise Tax Return</v>
      </c>
      <c r="AK285" s="5" t="str">
        <f t="shared" si="50"/>
        <v>MO-Tax Services-ANN-Texas Franchise Tax Return_Adv</v>
      </c>
      <c r="AL285" s="5" t="str">
        <f t="shared" si="51"/>
        <v>Grape Up_1120C_47-4475207_MO Texas Franchise Tax Return</v>
      </c>
      <c r="AM285" s="5" t="str">
        <f t="shared" si="52"/>
        <v>Grape Up_1120C_47-4475207_MO-Tax Services-ANN-Texas Franchise Tax Return_Adv</v>
      </c>
    </row>
    <row r="286" spans="1:39" x14ac:dyDescent="0.25">
      <c r="A286" s="2" t="s">
        <v>1061</v>
      </c>
      <c r="B286" s="2" t="s">
        <v>1062</v>
      </c>
      <c r="C286" s="2" t="s">
        <v>1196</v>
      </c>
      <c r="D286" s="8">
        <v>43831</v>
      </c>
      <c r="E286" s="5" t="str">
        <f t="shared" si="53"/>
        <v>Green, Mitch_01-01-20</v>
      </c>
      <c r="F286" s="2" t="s">
        <v>1203</v>
      </c>
      <c r="G286" s="2" t="s">
        <v>1241</v>
      </c>
      <c r="H286" s="2" t="s">
        <v>1220</v>
      </c>
      <c r="I286" s="2" t="s">
        <v>1223</v>
      </c>
      <c r="J286" s="2" t="s">
        <v>1234</v>
      </c>
      <c r="M286" s="5" t="str">
        <f t="shared" si="44"/>
        <v>Basic</v>
      </c>
      <c r="N286" s="5" t="str">
        <f t="shared" si="45"/>
        <v>Tax-Staff-Basic</v>
      </c>
      <c r="O286" s="5" t="str">
        <f t="shared" si="46"/>
        <v>Tax-Reviewer-Basic</v>
      </c>
      <c r="P286" s="5" t="str">
        <f t="shared" si="47"/>
        <v>Tax-Signer-Basic</v>
      </c>
      <c r="Q286" s="6">
        <v>1.4675000000000016</v>
      </c>
      <c r="R286" s="6">
        <v>0.29350000000000032</v>
      </c>
      <c r="S286" s="6">
        <v>0.14675000000000016</v>
      </c>
      <c r="T286" s="7">
        <f t="shared" si="54"/>
        <v>1.9077500000000021</v>
      </c>
      <c r="U286" s="6" t="e">
        <f>SUMIFS([1]Sheet1!$L:$L,[1]Sheet1!$I:$I,AJ286,[1]Sheet1!$C:$C,A286)</f>
        <v>#VALUE!</v>
      </c>
      <c r="V286" s="6"/>
      <c r="W286" s="6"/>
      <c r="X286" s="7" t="e">
        <f t="shared" si="48"/>
        <v>#VALUE!</v>
      </c>
      <c r="Y286" s="6"/>
      <c r="AJ286" s="5" t="str">
        <f t="shared" si="49"/>
        <v>NM 1040 - Personal</v>
      </c>
      <c r="AK286" s="5" t="str">
        <f t="shared" si="50"/>
        <v>NM-Tax Services-ANN-1040 - Personal_Basic</v>
      </c>
      <c r="AL286" s="5" t="str">
        <f t="shared" si="51"/>
        <v>Green, M_1040_4513_NM 1040 - Personal</v>
      </c>
      <c r="AM286" s="5" t="str">
        <f t="shared" si="52"/>
        <v>Green, M_1040_4513_NM-Tax Services-ANN-1040 - Personal_Basic</v>
      </c>
    </row>
    <row r="287" spans="1:39" x14ac:dyDescent="0.25">
      <c r="A287" s="2" t="s">
        <v>916</v>
      </c>
      <c r="B287" s="2" t="s">
        <v>917</v>
      </c>
      <c r="C287" s="2" t="s">
        <v>1197</v>
      </c>
      <c r="D287" s="8">
        <v>43831</v>
      </c>
      <c r="E287" s="5" t="str">
        <f t="shared" si="53"/>
        <v>Gressett, Lindsey E &amp; Leigh M_01-01-20</v>
      </c>
      <c r="F287" s="2" t="s">
        <v>1203</v>
      </c>
      <c r="G287" s="2" t="s">
        <v>1241</v>
      </c>
      <c r="H287" s="2" t="s">
        <v>1220</v>
      </c>
      <c r="I287" s="2" t="s">
        <v>1221</v>
      </c>
      <c r="J287" s="2" t="s">
        <v>1234</v>
      </c>
      <c r="M287" s="5" t="str">
        <f t="shared" si="44"/>
        <v>Mid</v>
      </c>
      <c r="N287" s="5" t="str">
        <f t="shared" si="45"/>
        <v>Tax-Staff-Mid</v>
      </c>
      <c r="O287" s="5" t="str">
        <f t="shared" si="46"/>
        <v>Tax-Reviewer-Mid</v>
      </c>
      <c r="P287" s="5" t="str">
        <f t="shared" si="47"/>
        <v>Tax-Signer-Mid</v>
      </c>
      <c r="Q287" s="6">
        <v>2.7401969696969677</v>
      </c>
      <c r="R287" s="6">
        <v>0.5480393939393936</v>
      </c>
      <c r="S287" s="6">
        <v>0.2740196969696968</v>
      </c>
      <c r="T287" s="7">
        <f t="shared" si="54"/>
        <v>3.562256060606058</v>
      </c>
      <c r="U287" s="6" t="e">
        <f>SUMIFS([1]Sheet1!$L:$L,[1]Sheet1!$I:$I,AJ287,[1]Sheet1!$C:$C,A287)</f>
        <v>#VALUE!</v>
      </c>
      <c r="V287" s="6"/>
      <c r="W287" s="6"/>
      <c r="X287" s="7" t="e">
        <f t="shared" si="48"/>
        <v>#VALUE!</v>
      </c>
      <c r="Y287" s="6"/>
      <c r="AJ287" s="5" t="str">
        <f t="shared" si="49"/>
        <v>MO 1040 - Personal</v>
      </c>
      <c r="AK287" s="5" t="str">
        <f t="shared" si="50"/>
        <v>MO-Tax Services-ANN-1040 - Personal_Mid</v>
      </c>
      <c r="AL287" s="5" t="str">
        <f t="shared" si="51"/>
        <v>Gresse_0544_MO 1040 - Personal</v>
      </c>
      <c r="AM287" s="5" t="str">
        <f t="shared" si="52"/>
        <v>Gresse_0544_MO-Tax Services-ANN-1040 - Personal_Mid</v>
      </c>
    </row>
    <row r="288" spans="1:39" x14ac:dyDescent="0.25">
      <c r="A288" s="2" t="s">
        <v>361</v>
      </c>
      <c r="B288" s="2" t="s">
        <v>362</v>
      </c>
      <c r="C288" s="2" t="s">
        <v>1196</v>
      </c>
      <c r="D288" s="8">
        <v>43831</v>
      </c>
      <c r="E288" s="5" t="str">
        <f t="shared" si="53"/>
        <v>Grimes Insurance Group, LLC_01-01-20</v>
      </c>
      <c r="F288" s="2" t="s">
        <v>1199</v>
      </c>
      <c r="G288" s="2" t="s">
        <v>1241</v>
      </c>
      <c r="H288" s="2" t="s">
        <v>1220</v>
      </c>
      <c r="I288" s="2" t="s">
        <v>1221</v>
      </c>
      <c r="J288" s="2" t="s">
        <v>1234</v>
      </c>
      <c r="M288" s="5" t="str">
        <f t="shared" si="44"/>
        <v>Mid</v>
      </c>
      <c r="N288" s="5" t="str">
        <f t="shared" si="45"/>
        <v>Tax-Staff-Mid</v>
      </c>
      <c r="O288" s="5" t="str">
        <f t="shared" si="46"/>
        <v>Tax-Reviewer-Mid</v>
      </c>
      <c r="P288" s="5" t="str">
        <f t="shared" si="47"/>
        <v>Tax-Signer-Mid</v>
      </c>
      <c r="Q288" s="6">
        <v>2.7401969696969677</v>
      </c>
      <c r="R288" s="6">
        <v>0.5480393939393936</v>
      </c>
      <c r="S288" s="6">
        <v>0.2740196969696968</v>
      </c>
      <c r="T288" s="7">
        <f t="shared" si="54"/>
        <v>3.562256060606058</v>
      </c>
      <c r="U288" s="6" t="e">
        <f>SUMIFS([1]Sheet1!$L:$L,[1]Sheet1!$I:$I,AJ288,[1]Sheet1!$C:$C,A288)</f>
        <v>#VALUE!</v>
      </c>
      <c r="V288" s="6"/>
      <c r="W288" s="6"/>
      <c r="X288" s="7" t="e">
        <f t="shared" si="48"/>
        <v>#VALUE!</v>
      </c>
      <c r="Y288" s="6"/>
      <c r="AJ288" s="5" t="str">
        <f t="shared" si="49"/>
        <v>NM 1065 - Partnership</v>
      </c>
      <c r="AK288" s="5" t="str">
        <f t="shared" si="50"/>
        <v>NM-Tax Services-ANN-1065 - Partnership_Mid</v>
      </c>
      <c r="AL288" s="5" t="str">
        <f t="shared" si="51"/>
        <v>Grimes I_1065_80-0651308_NM 1065 - Partnership</v>
      </c>
      <c r="AM288" s="5" t="str">
        <f t="shared" si="52"/>
        <v>Grimes I_1065_80-0651308_NM-Tax Services-ANN-1065 - Partnership_Mid</v>
      </c>
    </row>
    <row r="289" spans="1:39" x14ac:dyDescent="0.25">
      <c r="A289" s="2" t="s">
        <v>589</v>
      </c>
      <c r="B289" s="2" t="s">
        <v>590</v>
      </c>
      <c r="C289" s="2" t="s">
        <v>1196</v>
      </c>
      <c r="D289" s="8">
        <v>43831</v>
      </c>
      <c r="E289" s="5" t="str">
        <f t="shared" si="53"/>
        <v>Grimes, William B &amp; Rachel C_01-01-20</v>
      </c>
      <c r="F289" s="2" t="s">
        <v>1203</v>
      </c>
      <c r="G289" s="2" t="s">
        <v>1241</v>
      </c>
      <c r="H289" s="2" t="s">
        <v>1220</v>
      </c>
      <c r="I289" s="2" t="s">
        <v>1221</v>
      </c>
      <c r="J289" s="2" t="s">
        <v>1234</v>
      </c>
      <c r="M289" s="5" t="str">
        <f t="shared" si="44"/>
        <v>Mid</v>
      </c>
      <c r="N289" s="5" t="str">
        <f t="shared" si="45"/>
        <v>Tax-Staff-Mid</v>
      </c>
      <c r="O289" s="5" t="str">
        <f t="shared" si="46"/>
        <v>Tax-Reviewer-Mid</v>
      </c>
      <c r="P289" s="5" t="str">
        <f t="shared" si="47"/>
        <v>Tax-Signer-Mid</v>
      </c>
      <c r="Q289" s="6">
        <v>2.7401969696969677</v>
      </c>
      <c r="R289" s="6">
        <v>0.5480393939393936</v>
      </c>
      <c r="S289" s="6">
        <v>0.2740196969696968</v>
      </c>
      <c r="T289" s="7">
        <f t="shared" si="54"/>
        <v>3.562256060606058</v>
      </c>
      <c r="U289" s="6" t="e">
        <f>SUMIFS([1]Sheet1!$L:$L,[1]Sheet1!$I:$I,AJ289,[1]Sheet1!$C:$C,A289)</f>
        <v>#VALUE!</v>
      </c>
      <c r="V289" s="6"/>
      <c r="W289" s="6"/>
      <c r="X289" s="7" t="e">
        <f t="shared" si="48"/>
        <v>#VALUE!</v>
      </c>
      <c r="Y289" s="6"/>
      <c r="AJ289" s="5" t="str">
        <f t="shared" si="49"/>
        <v>NM 1040 - Personal</v>
      </c>
      <c r="AK289" s="5" t="str">
        <f t="shared" si="50"/>
        <v>NM-Tax Services-ANN-1040 - Personal_Mid</v>
      </c>
      <c r="AL289" s="5" t="str">
        <f t="shared" si="51"/>
        <v>Grimes_6749_NM 1040 - Personal</v>
      </c>
      <c r="AM289" s="5" t="str">
        <f t="shared" si="52"/>
        <v>Grimes_6749_NM-Tax Services-ANN-1040 - Personal_Mid</v>
      </c>
    </row>
    <row r="290" spans="1:39" x14ac:dyDescent="0.25">
      <c r="A290" s="2" t="s">
        <v>956</v>
      </c>
      <c r="B290" s="2" t="s">
        <v>957</v>
      </c>
      <c r="C290" s="2" t="s">
        <v>1198</v>
      </c>
      <c r="D290" s="8">
        <v>43831</v>
      </c>
      <c r="E290" s="5" t="str">
        <f t="shared" si="53"/>
        <v>Griswold, Donald_01-01-20</v>
      </c>
      <c r="F290" s="2" t="s">
        <v>1203</v>
      </c>
      <c r="G290" s="2" t="e">
        <v>#N/A</v>
      </c>
      <c r="H290" s="2" t="s">
        <v>1198</v>
      </c>
      <c r="I290" s="2" t="s">
        <v>1198</v>
      </c>
      <c r="J290" s="2" t="e">
        <v>#N/A</v>
      </c>
      <c r="M290" s="5" t="str">
        <f t="shared" si="44"/>
        <v/>
      </c>
      <c r="N290" s="5" t="e">
        <f t="shared" si="45"/>
        <v>#N/A</v>
      </c>
      <c r="O290" s="5" t="e">
        <f t="shared" si="46"/>
        <v>#N/A</v>
      </c>
      <c r="P290" s="5" t="e">
        <f t="shared" si="47"/>
        <v>#N/A</v>
      </c>
      <c r="Q290" s="6" t="e">
        <v>#N/A</v>
      </c>
      <c r="R290" s="6" t="e">
        <v>#N/A</v>
      </c>
      <c r="S290" s="6" t="e">
        <v>#N/A</v>
      </c>
      <c r="T290" s="7" t="e">
        <f t="shared" si="54"/>
        <v>#N/A</v>
      </c>
      <c r="U290" s="6" t="e">
        <f>SUMIFS([1]Sheet1!$L:$L,[1]Sheet1!$I:$I,AJ290,[1]Sheet1!$C:$C,A290)</f>
        <v>#VALUE!</v>
      </c>
      <c r="V290" s="6"/>
      <c r="W290" s="6"/>
      <c r="X290" s="7" t="e">
        <f t="shared" si="48"/>
        <v>#VALUE!</v>
      </c>
      <c r="Y290" s="6"/>
      <c r="AJ290" s="5" t="str">
        <f t="shared" si="49"/>
        <v xml:space="preserve"> 1040 - Personal</v>
      </c>
      <c r="AK290" s="5" t="e">
        <f t="shared" si="50"/>
        <v>#N/A</v>
      </c>
      <c r="AL290" s="5" t="str">
        <f t="shared" si="51"/>
        <v>Griswo_3431_ 1040 - Personal</v>
      </c>
      <c r="AM290" s="5" t="e">
        <f t="shared" si="52"/>
        <v>#N/A</v>
      </c>
    </row>
    <row r="291" spans="1:39" x14ac:dyDescent="0.25">
      <c r="A291" s="2" t="s">
        <v>74</v>
      </c>
      <c r="B291" s="2" t="s">
        <v>75</v>
      </c>
      <c r="C291" s="2" t="s">
        <v>1197</v>
      </c>
      <c r="D291" s="8">
        <v>43831</v>
      </c>
      <c r="E291" s="5" t="str">
        <f t="shared" si="53"/>
        <v>Guardian 7 Training, LLC_01-01-20</v>
      </c>
      <c r="F291" s="2" t="s">
        <v>1201</v>
      </c>
      <c r="G291" s="2" t="s">
        <v>1201</v>
      </c>
      <c r="H291" s="2" t="s">
        <v>1197</v>
      </c>
      <c r="I291" s="2" t="s">
        <v>1223</v>
      </c>
      <c r="J291" s="2" t="s">
        <v>1235</v>
      </c>
      <c r="M291" s="5" t="str">
        <f t="shared" si="44"/>
        <v>Basic</v>
      </c>
      <c r="N291" s="5" t="str">
        <f t="shared" si="45"/>
        <v>Accountant-Staff-Basic</v>
      </c>
      <c r="O291" s="5" t="str">
        <f t="shared" si="46"/>
        <v>Accountant-Reviewer-Basic</v>
      </c>
      <c r="P291" s="5" t="str">
        <f t="shared" si="47"/>
        <v>Accountant-Signer-Basic</v>
      </c>
      <c r="Q291" s="6">
        <v>1.47</v>
      </c>
      <c r="R291" s="6">
        <v>0.29399999999999998</v>
      </c>
      <c r="S291" s="6">
        <v>0.14699999999999999</v>
      </c>
      <c r="T291" s="7">
        <f t="shared" si="54"/>
        <v>1.911</v>
      </c>
      <c r="U291" s="6" t="e">
        <f>SUMIFS([1]Sheet1!$L:$L,[1]Sheet1!$I:$I,AJ291,[1]Sheet1!$C:$C,A291)</f>
        <v>#VALUE!</v>
      </c>
      <c r="V291" s="6"/>
      <c r="W291" s="6"/>
      <c r="X291" s="7" t="e">
        <f t="shared" si="48"/>
        <v>#VALUE!</v>
      </c>
      <c r="Y291" s="6"/>
      <c r="AJ291" s="5" t="str">
        <f t="shared" si="49"/>
        <v>MO Accounting Services</v>
      </c>
      <c r="AK291" s="5" t="str">
        <f t="shared" si="50"/>
        <v>MO-Accounting Services-MO-Accounting Services_Basic</v>
      </c>
      <c r="AL291" s="5" t="str">
        <f t="shared" si="51"/>
        <v>Guardian_1040_1_MO Accounting Services</v>
      </c>
      <c r="AM291" s="5" t="str">
        <f t="shared" si="52"/>
        <v>Guardian_1040_1_MO-Accounting Services-MO-Accounting Services_Basic</v>
      </c>
    </row>
    <row r="292" spans="1:39" x14ac:dyDescent="0.25">
      <c r="A292" s="2" t="s">
        <v>74</v>
      </c>
      <c r="B292" s="2" t="s">
        <v>75</v>
      </c>
      <c r="C292" s="2" t="s">
        <v>1197</v>
      </c>
      <c r="D292" s="8">
        <v>43831</v>
      </c>
      <c r="E292" s="5" t="str">
        <f t="shared" si="53"/>
        <v>Guardian 7 Training, LLC_01-01-20</v>
      </c>
      <c r="F292" s="2" t="s">
        <v>1200</v>
      </c>
      <c r="G292" s="2" t="s">
        <v>1241</v>
      </c>
      <c r="H292" s="2" t="s">
        <v>1220</v>
      </c>
      <c r="I292" s="2" t="s">
        <v>1223</v>
      </c>
      <c r="J292" s="2" t="s">
        <v>1234</v>
      </c>
      <c r="M292" s="5" t="str">
        <f t="shared" si="44"/>
        <v>Basic</v>
      </c>
      <c r="N292" s="5" t="str">
        <f t="shared" si="45"/>
        <v>Tax-Staff-Basic</v>
      </c>
      <c r="O292" s="5" t="str">
        <f t="shared" si="46"/>
        <v>Tax-Reviewer-Basic</v>
      </c>
      <c r="P292" s="5" t="str">
        <f t="shared" si="47"/>
        <v>Tax-Signer-Basic</v>
      </c>
      <c r="Q292" s="6">
        <v>0.5</v>
      </c>
      <c r="R292" s="6">
        <v>0.1</v>
      </c>
      <c r="S292" s="6">
        <v>0.05</v>
      </c>
      <c r="T292" s="7">
        <f t="shared" si="54"/>
        <v>0.65</v>
      </c>
      <c r="U292" s="6" t="e">
        <f>SUMIFS([1]Sheet1!$L:$L,[1]Sheet1!$I:$I,AJ292,[1]Sheet1!$C:$C,A292)</f>
        <v>#VALUE!</v>
      </c>
      <c r="V292" s="6"/>
      <c r="W292" s="6"/>
      <c r="X292" s="7" t="e">
        <f t="shared" si="48"/>
        <v>#VALUE!</v>
      </c>
      <c r="Y292" s="6"/>
      <c r="AJ292" s="5" t="str">
        <f t="shared" si="49"/>
        <v>MO Texas Franchise Tax Return</v>
      </c>
      <c r="AK292" s="5" t="str">
        <f t="shared" si="50"/>
        <v>MO-Tax Services-ANN-Texas Franchise Tax Return_Basic</v>
      </c>
      <c r="AL292" s="5" t="str">
        <f t="shared" si="51"/>
        <v>Guardian_1040_1_MO Texas Franchise Tax Return</v>
      </c>
      <c r="AM292" s="5" t="str">
        <f t="shared" si="52"/>
        <v>Guardian_1040_1_MO-Tax Services-ANN-Texas Franchise Tax Return_Basic</v>
      </c>
    </row>
    <row r="293" spans="1:39" x14ac:dyDescent="0.25">
      <c r="A293" s="2" t="s">
        <v>591</v>
      </c>
      <c r="B293" s="2" t="s">
        <v>592</v>
      </c>
      <c r="C293" s="2" t="s">
        <v>1196</v>
      </c>
      <c r="D293" s="8">
        <v>43831</v>
      </c>
      <c r="E293" s="5" t="str">
        <f t="shared" si="53"/>
        <v>Hainge, Adam_01-01-20</v>
      </c>
      <c r="F293" s="2" t="s">
        <v>1203</v>
      </c>
      <c r="G293" s="2" t="s">
        <v>1241</v>
      </c>
      <c r="H293" s="2" t="s">
        <v>1220</v>
      </c>
      <c r="I293" s="2" t="s">
        <v>1223</v>
      </c>
      <c r="J293" s="2" t="s">
        <v>1234</v>
      </c>
      <c r="M293" s="5" t="str">
        <f t="shared" si="44"/>
        <v>Basic</v>
      </c>
      <c r="N293" s="5" t="str">
        <f t="shared" si="45"/>
        <v>Tax-Staff-Basic</v>
      </c>
      <c r="O293" s="5" t="str">
        <f t="shared" si="46"/>
        <v>Tax-Reviewer-Basic</v>
      </c>
      <c r="P293" s="5" t="str">
        <f t="shared" si="47"/>
        <v>Tax-Signer-Basic</v>
      </c>
      <c r="Q293" s="6">
        <v>1.4675000000000016</v>
      </c>
      <c r="R293" s="6">
        <v>0.29350000000000032</v>
      </c>
      <c r="S293" s="6">
        <v>0.14675000000000016</v>
      </c>
      <c r="T293" s="7">
        <f t="shared" si="54"/>
        <v>1.9077500000000021</v>
      </c>
      <c r="U293" s="6" t="e">
        <f>SUMIFS([1]Sheet1!$L:$L,[1]Sheet1!$I:$I,AJ293,[1]Sheet1!$C:$C,A293)</f>
        <v>#VALUE!</v>
      </c>
      <c r="V293" s="6"/>
      <c r="W293" s="6"/>
      <c r="X293" s="7" t="e">
        <f t="shared" si="48"/>
        <v>#VALUE!</v>
      </c>
      <c r="Y293" s="6"/>
      <c r="AJ293" s="5" t="str">
        <f t="shared" si="49"/>
        <v>NM 1040 - Personal</v>
      </c>
      <c r="AK293" s="5" t="str">
        <f t="shared" si="50"/>
        <v>NM-Tax Services-ANN-1040 - Personal_Basic</v>
      </c>
      <c r="AL293" s="5" t="str">
        <f t="shared" si="51"/>
        <v>Hainge_1613_NM 1040 - Personal</v>
      </c>
      <c r="AM293" s="5" t="str">
        <f t="shared" si="52"/>
        <v>Hainge_1613_NM-Tax Services-ANN-1040 - Personal_Basic</v>
      </c>
    </row>
    <row r="294" spans="1:39" x14ac:dyDescent="0.25">
      <c r="A294" s="2" t="s">
        <v>593</v>
      </c>
      <c r="B294" s="2" t="s">
        <v>594</v>
      </c>
      <c r="C294" s="2" t="s">
        <v>1196</v>
      </c>
      <c r="D294" s="8">
        <v>43831</v>
      </c>
      <c r="E294" s="5" t="str">
        <f t="shared" si="53"/>
        <v>Hall, Anthony_01-01-20</v>
      </c>
      <c r="F294" s="2" t="s">
        <v>1203</v>
      </c>
      <c r="G294" s="2" t="s">
        <v>1241</v>
      </c>
      <c r="H294" s="2" t="s">
        <v>1220</v>
      </c>
      <c r="I294" s="2" t="s">
        <v>1223</v>
      </c>
      <c r="J294" s="2" t="s">
        <v>1234</v>
      </c>
      <c r="M294" s="5" t="str">
        <f t="shared" si="44"/>
        <v>Basic</v>
      </c>
      <c r="N294" s="5" t="str">
        <f t="shared" si="45"/>
        <v>Tax-Staff-Basic</v>
      </c>
      <c r="O294" s="5" t="str">
        <f t="shared" si="46"/>
        <v>Tax-Reviewer-Basic</v>
      </c>
      <c r="P294" s="5" t="str">
        <f t="shared" si="47"/>
        <v>Tax-Signer-Basic</v>
      </c>
      <c r="Q294" s="6">
        <v>1.4675000000000016</v>
      </c>
      <c r="R294" s="6">
        <v>0.29350000000000032</v>
      </c>
      <c r="S294" s="6">
        <v>0.14675000000000016</v>
      </c>
      <c r="T294" s="7">
        <f t="shared" si="54"/>
        <v>1.9077500000000021</v>
      </c>
      <c r="U294" s="6" t="e">
        <f>SUMIFS([1]Sheet1!$L:$L,[1]Sheet1!$I:$I,AJ294,[1]Sheet1!$C:$C,A294)</f>
        <v>#VALUE!</v>
      </c>
      <c r="V294" s="6"/>
      <c r="W294" s="6"/>
      <c r="X294" s="7" t="e">
        <f t="shared" si="48"/>
        <v>#VALUE!</v>
      </c>
      <c r="Y294" s="6"/>
      <c r="AJ294" s="5" t="str">
        <f t="shared" si="49"/>
        <v>NM 1040 - Personal</v>
      </c>
      <c r="AK294" s="5" t="str">
        <f t="shared" si="50"/>
        <v>NM-Tax Services-ANN-1040 - Personal_Basic</v>
      </c>
      <c r="AL294" s="5" t="str">
        <f t="shared" si="51"/>
        <v>Hall, _7683_NM 1040 - Personal</v>
      </c>
      <c r="AM294" s="5" t="str">
        <f t="shared" si="52"/>
        <v>Hall, _7683_NM-Tax Services-ANN-1040 - Personal_Basic</v>
      </c>
    </row>
    <row r="295" spans="1:39" x14ac:dyDescent="0.25">
      <c r="A295" s="2" t="s">
        <v>363</v>
      </c>
      <c r="B295" s="2" t="s">
        <v>364</v>
      </c>
      <c r="C295" s="2" t="s">
        <v>1196</v>
      </c>
      <c r="D295" s="8">
        <v>43831</v>
      </c>
      <c r="E295" s="5" t="str">
        <f t="shared" si="53"/>
        <v>Hampy Brookshire Land Services LLC_01-01-20</v>
      </c>
      <c r="F295" s="2" t="s">
        <v>1199</v>
      </c>
      <c r="G295" s="2" t="s">
        <v>1241</v>
      </c>
      <c r="H295" s="2" t="s">
        <v>1220</v>
      </c>
      <c r="I295" s="2" t="s">
        <v>1221</v>
      </c>
      <c r="J295" s="2" t="s">
        <v>1234</v>
      </c>
      <c r="M295" s="5" t="str">
        <f t="shared" si="44"/>
        <v>Mid</v>
      </c>
      <c r="N295" s="5" t="str">
        <f t="shared" si="45"/>
        <v>Tax-Staff-Mid</v>
      </c>
      <c r="O295" s="5" t="str">
        <f t="shared" si="46"/>
        <v>Tax-Reviewer-Mid</v>
      </c>
      <c r="P295" s="5" t="str">
        <f t="shared" si="47"/>
        <v>Tax-Signer-Mid</v>
      </c>
      <c r="Q295" s="6">
        <v>2.7401969696969677</v>
      </c>
      <c r="R295" s="6">
        <v>0.5480393939393936</v>
      </c>
      <c r="S295" s="6">
        <v>0.2740196969696968</v>
      </c>
      <c r="T295" s="7">
        <f t="shared" si="54"/>
        <v>3.562256060606058</v>
      </c>
      <c r="U295" s="6" t="e">
        <f>SUMIFS([1]Sheet1!$L:$L,[1]Sheet1!$I:$I,AJ295,[1]Sheet1!$C:$C,A295)</f>
        <v>#VALUE!</v>
      </c>
      <c r="V295" s="6"/>
      <c r="W295" s="6"/>
      <c r="X295" s="7" t="e">
        <f t="shared" si="48"/>
        <v>#VALUE!</v>
      </c>
      <c r="Y295" s="6"/>
      <c r="AJ295" s="5" t="str">
        <f t="shared" si="49"/>
        <v>NM 1065 - Partnership</v>
      </c>
      <c r="AK295" s="5" t="str">
        <f t="shared" si="50"/>
        <v>NM-Tax Services-ANN-1065 - Partnership_Mid</v>
      </c>
      <c r="AL295" s="5" t="str">
        <f t="shared" si="51"/>
        <v>Hampy Br_1065_47-4542441_NM 1065 - Partnership</v>
      </c>
      <c r="AM295" s="5" t="str">
        <f t="shared" si="52"/>
        <v>Hampy Br_1065_47-4542441_NM-Tax Services-ANN-1065 - Partnership_Mid</v>
      </c>
    </row>
    <row r="296" spans="1:39" x14ac:dyDescent="0.25">
      <c r="A296" s="2" t="s">
        <v>595</v>
      </c>
      <c r="B296" s="2" t="s">
        <v>596</v>
      </c>
      <c r="C296" s="2" t="s">
        <v>1196</v>
      </c>
      <c r="D296" s="8">
        <v>43831</v>
      </c>
      <c r="E296" s="5" t="str">
        <f t="shared" si="53"/>
        <v>Hampy, Chris_01-01-20</v>
      </c>
      <c r="F296" s="2" t="s">
        <v>1203</v>
      </c>
      <c r="G296" s="2" t="s">
        <v>1241</v>
      </c>
      <c r="H296" s="2" t="s">
        <v>1220</v>
      </c>
      <c r="I296" s="2" t="s">
        <v>1221</v>
      </c>
      <c r="J296" s="2" t="s">
        <v>1234</v>
      </c>
      <c r="M296" s="5" t="str">
        <f t="shared" si="44"/>
        <v>Mid</v>
      </c>
      <c r="N296" s="5" t="str">
        <f t="shared" si="45"/>
        <v>Tax-Staff-Mid</v>
      </c>
      <c r="O296" s="5" t="str">
        <f t="shared" si="46"/>
        <v>Tax-Reviewer-Mid</v>
      </c>
      <c r="P296" s="5" t="str">
        <f t="shared" si="47"/>
        <v>Tax-Signer-Mid</v>
      </c>
      <c r="Q296" s="6">
        <v>2.7401969696969677</v>
      </c>
      <c r="R296" s="6">
        <v>0.5480393939393936</v>
      </c>
      <c r="S296" s="6">
        <v>0.2740196969696968</v>
      </c>
      <c r="T296" s="7">
        <f t="shared" si="54"/>
        <v>3.562256060606058</v>
      </c>
      <c r="U296" s="6" t="e">
        <f>SUMIFS([1]Sheet1!$L:$L,[1]Sheet1!$I:$I,AJ296,[1]Sheet1!$C:$C,A296)</f>
        <v>#VALUE!</v>
      </c>
      <c r="V296" s="6"/>
      <c r="W296" s="6"/>
      <c r="X296" s="7" t="e">
        <f t="shared" si="48"/>
        <v>#VALUE!</v>
      </c>
      <c r="Y296" s="6"/>
      <c r="AJ296" s="5" t="str">
        <f t="shared" si="49"/>
        <v>NM 1040 - Personal</v>
      </c>
      <c r="AK296" s="5" t="str">
        <f t="shared" si="50"/>
        <v>NM-Tax Services-ANN-1040 - Personal_Mid</v>
      </c>
      <c r="AL296" s="5" t="str">
        <f t="shared" si="51"/>
        <v>Hampy,_3657_NM 1040 - Personal</v>
      </c>
      <c r="AM296" s="5" t="str">
        <f t="shared" si="52"/>
        <v>Hampy,_3657_NM-Tax Services-ANN-1040 - Personal_Mid</v>
      </c>
    </row>
    <row r="297" spans="1:39" x14ac:dyDescent="0.25">
      <c r="A297" s="2" t="s">
        <v>1143</v>
      </c>
      <c r="B297" s="2" t="s">
        <v>1144</v>
      </c>
      <c r="C297" s="2" t="s">
        <v>1197</v>
      </c>
      <c r="D297" s="8">
        <v>43831</v>
      </c>
      <c r="E297" s="5" t="str">
        <f t="shared" si="53"/>
        <v>Harden, Chavontta_01-01-20</v>
      </c>
      <c r="F297" s="2" t="s">
        <v>1203</v>
      </c>
      <c r="G297" s="2" t="s">
        <v>1241</v>
      </c>
      <c r="H297" s="2" t="s">
        <v>1220</v>
      </c>
      <c r="I297" s="2" t="s">
        <v>1223</v>
      </c>
      <c r="J297" s="2" t="s">
        <v>1234</v>
      </c>
      <c r="M297" s="5" t="str">
        <f t="shared" si="44"/>
        <v>Basic</v>
      </c>
      <c r="N297" s="5" t="str">
        <f t="shared" si="45"/>
        <v>Tax-Staff-Basic</v>
      </c>
      <c r="O297" s="5" t="str">
        <f t="shared" si="46"/>
        <v>Tax-Reviewer-Basic</v>
      </c>
      <c r="P297" s="5" t="str">
        <f t="shared" si="47"/>
        <v>Tax-Signer-Basic</v>
      </c>
      <c r="Q297" s="6">
        <v>1.4675000000000016</v>
      </c>
      <c r="R297" s="6">
        <v>0.29350000000000032</v>
      </c>
      <c r="S297" s="6">
        <v>0.14675000000000016</v>
      </c>
      <c r="T297" s="7">
        <f t="shared" si="54"/>
        <v>1.9077500000000021</v>
      </c>
      <c r="U297" s="6" t="e">
        <f>SUMIFS([1]Sheet1!$L:$L,[1]Sheet1!$I:$I,AJ297,[1]Sheet1!$C:$C,A297)</f>
        <v>#VALUE!</v>
      </c>
      <c r="V297" s="6"/>
      <c r="W297" s="6"/>
      <c r="X297" s="7" t="e">
        <f t="shared" si="48"/>
        <v>#VALUE!</v>
      </c>
      <c r="Y297" s="6"/>
      <c r="AJ297" s="5" t="str">
        <f t="shared" si="49"/>
        <v>MO 1040 - Personal</v>
      </c>
      <c r="AK297" s="5" t="str">
        <f t="shared" si="50"/>
        <v>MO-Tax Services-ANN-1040 - Personal_Basic</v>
      </c>
      <c r="AL297" s="5" t="str">
        <f t="shared" si="51"/>
        <v>Harden_5872_MO 1040 - Personal</v>
      </c>
      <c r="AM297" s="5" t="str">
        <f t="shared" si="52"/>
        <v>Harden_5872_MO-Tax Services-ANN-1040 - Personal_Basic</v>
      </c>
    </row>
    <row r="298" spans="1:39" x14ac:dyDescent="0.25">
      <c r="A298" s="2" t="s">
        <v>597</v>
      </c>
      <c r="B298" s="2" t="s">
        <v>598</v>
      </c>
      <c r="C298" s="2" t="s">
        <v>1196</v>
      </c>
      <c r="D298" s="8">
        <v>43831</v>
      </c>
      <c r="E298" s="5" t="str">
        <f t="shared" si="53"/>
        <v>Hargrove, Diana S._01-01-20</v>
      </c>
      <c r="F298" s="2" t="s">
        <v>1203</v>
      </c>
      <c r="G298" s="2" t="s">
        <v>1241</v>
      </c>
      <c r="H298" s="2" t="s">
        <v>1220</v>
      </c>
      <c r="I298" s="2" t="s">
        <v>1221</v>
      </c>
      <c r="J298" s="2" t="s">
        <v>1234</v>
      </c>
      <c r="M298" s="5" t="str">
        <f t="shared" si="44"/>
        <v>Mid</v>
      </c>
      <c r="N298" s="5" t="str">
        <f t="shared" si="45"/>
        <v>Tax-Staff-Mid</v>
      </c>
      <c r="O298" s="5" t="str">
        <f t="shared" si="46"/>
        <v>Tax-Reviewer-Mid</v>
      </c>
      <c r="P298" s="5" t="str">
        <f t="shared" si="47"/>
        <v>Tax-Signer-Mid</v>
      </c>
      <c r="Q298" s="6">
        <v>2.7401969696969677</v>
      </c>
      <c r="R298" s="6">
        <v>0.5480393939393936</v>
      </c>
      <c r="S298" s="6">
        <v>0.2740196969696968</v>
      </c>
      <c r="T298" s="7">
        <f t="shared" si="54"/>
        <v>3.562256060606058</v>
      </c>
      <c r="U298" s="6" t="e">
        <f>SUMIFS([1]Sheet1!$L:$L,[1]Sheet1!$I:$I,AJ298,[1]Sheet1!$C:$C,A298)</f>
        <v>#VALUE!</v>
      </c>
      <c r="V298" s="6"/>
      <c r="W298" s="6"/>
      <c r="X298" s="7" t="e">
        <f t="shared" si="48"/>
        <v>#VALUE!</v>
      </c>
      <c r="Y298" s="6"/>
      <c r="AJ298" s="5" t="str">
        <f t="shared" si="49"/>
        <v>NM 1040 - Personal</v>
      </c>
      <c r="AK298" s="5" t="str">
        <f t="shared" si="50"/>
        <v>NM-Tax Services-ANN-1040 - Personal_Mid</v>
      </c>
      <c r="AL298" s="5" t="str">
        <f t="shared" si="51"/>
        <v>Hargro_0611_NM 1040 - Personal</v>
      </c>
      <c r="AM298" s="5" t="str">
        <f t="shared" si="52"/>
        <v>Hargro_0611_NM-Tax Services-ANN-1040 - Personal_Mid</v>
      </c>
    </row>
    <row r="299" spans="1:39" x14ac:dyDescent="0.25">
      <c r="A299" s="2" t="s">
        <v>599</v>
      </c>
      <c r="B299" s="2" t="s">
        <v>600</v>
      </c>
      <c r="C299" s="2" t="s">
        <v>1196</v>
      </c>
      <c r="D299" s="8">
        <v>43831</v>
      </c>
      <c r="E299" s="5" t="str">
        <f t="shared" si="53"/>
        <v>Harris, Brent_01-01-20</v>
      </c>
      <c r="F299" s="2" t="s">
        <v>1203</v>
      </c>
      <c r="G299" s="2" t="s">
        <v>1241</v>
      </c>
      <c r="H299" s="2" t="s">
        <v>1220</v>
      </c>
      <c r="I299" s="2" t="s">
        <v>1223</v>
      </c>
      <c r="J299" s="2" t="s">
        <v>1234</v>
      </c>
      <c r="M299" s="5" t="str">
        <f t="shared" si="44"/>
        <v>Basic</v>
      </c>
      <c r="N299" s="5" t="str">
        <f t="shared" si="45"/>
        <v>Tax-Staff-Basic</v>
      </c>
      <c r="O299" s="5" t="str">
        <f t="shared" si="46"/>
        <v>Tax-Reviewer-Basic</v>
      </c>
      <c r="P299" s="5" t="str">
        <f t="shared" si="47"/>
        <v>Tax-Signer-Basic</v>
      </c>
      <c r="Q299" s="6">
        <v>1.4675000000000016</v>
      </c>
      <c r="R299" s="6">
        <v>0.29350000000000032</v>
      </c>
      <c r="S299" s="6">
        <v>0.14675000000000016</v>
      </c>
      <c r="T299" s="7">
        <f t="shared" si="54"/>
        <v>1.9077500000000021</v>
      </c>
      <c r="U299" s="6" t="e">
        <f>SUMIFS([1]Sheet1!$L:$L,[1]Sheet1!$I:$I,AJ299,[1]Sheet1!$C:$C,A299)</f>
        <v>#VALUE!</v>
      </c>
      <c r="V299" s="6"/>
      <c r="W299" s="6"/>
      <c r="X299" s="7" t="e">
        <f t="shared" si="48"/>
        <v>#VALUE!</v>
      </c>
      <c r="Y299" s="6"/>
      <c r="AJ299" s="5" t="str">
        <f t="shared" si="49"/>
        <v>NM 1040 - Personal</v>
      </c>
      <c r="AK299" s="5" t="str">
        <f t="shared" si="50"/>
        <v>NM-Tax Services-ANN-1040 - Personal_Basic</v>
      </c>
      <c r="AL299" s="5" t="str">
        <f t="shared" si="51"/>
        <v>Harris_3564_NM 1040 - Personal</v>
      </c>
      <c r="AM299" s="5" t="str">
        <f t="shared" si="52"/>
        <v>Harris_3564_NM-Tax Services-ANN-1040 - Personal_Basic</v>
      </c>
    </row>
    <row r="300" spans="1:39" x14ac:dyDescent="0.25">
      <c r="A300" s="2" t="s">
        <v>601</v>
      </c>
      <c r="B300" s="2" t="s">
        <v>602</v>
      </c>
      <c r="C300" s="2" t="s">
        <v>1196</v>
      </c>
      <c r="D300" s="8">
        <v>43831</v>
      </c>
      <c r="E300" s="5" t="str">
        <f t="shared" si="53"/>
        <v>Hathaway, Chris_01-01-20</v>
      </c>
      <c r="F300" s="2" t="s">
        <v>1203</v>
      </c>
      <c r="G300" s="2" t="s">
        <v>1241</v>
      </c>
      <c r="H300" s="2" t="s">
        <v>1220</v>
      </c>
      <c r="I300" s="2" t="s">
        <v>1221</v>
      </c>
      <c r="J300" s="2" t="s">
        <v>1234</v>
      </c>
      <c r="M300" s="5" t="str">
        <f t="shared" si="44"/>
        <v>Mid</v>
      </c>
      <c r="N300" s="5" t="str">
        <f t="shared" si="45"/>
        <v>Tax-Staff-Mid</v>
      </c>
      <c r="O300" s="5" t="str">
        <f t="shared" si="46"/>
        <v>Tax-Reviewer-Mid</v>
      </c>
      <c r="P300" s="5" t="str">
        <f t="shared" si="47"/>
        <v>Tax-Signer-Mid</v>
      </c>
      <c r="Q300" s="6">
        <v>2.7401969696969677</v>
      </c>
      <c r="R300" s="6">
        <v>0.5480393939393936</v>
      </c>
      <c r="S300" s="6">
        <v>0.2740196969696968</v>
      </c>
      <c r="T300" s="7">
        <f t="shared" si="54"/>
        <v>3.562256060606058</v>
      </c>
      <c r="U300" s="6" t="e">
        <f>SUMIFS([1]Sheet1!$L:$L,[1]Sheet1!$I:$I,AJ300,[1]Sheet1!$C:$C,A300)</f>
        <v>#VALUE!</v>
      </c>
      <c r="V300" s="6"/>
      <c r="W300" s="6"/>
      <c r="X300" s="7" t="e">
        <f t="shared" si="48"/>
        <v>#VALUE!</v>
      </c>
      <c r="Y300" s="6"/>
      <c r="AJ300" s="5" t="str">
        <f t="shared" si="49"/>
        <v>NM 1040 - Personal</v>
      </c>
      <c r="AK300" s="5" t="str">
        <f t="shared" si="50"/>
        <v>NM-Tax Services-ANN-1040 - Personal_Mid</v>
      </c>
      <c r="AL300" s="5" t="str">
        <f t="shared" si="51"/>
        <v>Hathaw_8759_NM 1040 - Personal</v>
      </c>
      <c r="AM300" s="5" t="str">
        <f t="shared" si="52"/>
        <v>Hathaw_8759_NM-Tax Services-ANN-1040 - Personal_Mid</v>
      </c>
    </row>
    <row r="301" spans="1:39" x14ac:dyDescent="0.25">
      <c r="A301" s="2" t="s">
        <v>603</v>
      </c>
      <c r="B301" s="2" t="s">
        <v>604</v>
      </c>
      <c r="C301" s="2" t="s">
        <v>1196</v>
      </c>
      <c r="D301" s="8">
        <v>43831</v>
      </c>
      <c r="E301" s="5" t="str">
        <f t="shared" si="53"/>
        <v>Haville, Mark_01-01-20</v>
      </c>
      <c r="F301" s="2" t="s">
        <v>1203</v>
      </c>
      <c r="G301" s="2" t="s">
        <v>1241</v>
      </c>
      <c r="H301" s="2" t="s">
        <v>1220</v>
      </c>
      <c r="I301" s="2" t="s">
        <v>1223</v>
      </c>
      <c r="J301" s="2" t="s">
        <v>1234</v>
      </c>
      <c r="M301" s="5" t="str">
        <f t="shared" si="44"/>
        <v>Basic</v>
      </c>
      <c r="N301" s="5" t="str">
        <f t="shared" si="45"/>
        <v>Tax-Staff-Basic</v>
      </c>
      <c r="O301" s="5" t="str">
        <f t="shared" si="46"/>
        <v>Tax-Reviewer-Basic</v>
      </c>
      <c r="P301" s="5" t="str">
        <f t="shared" si="47"/>
        <v>Tax-Signer-Basic</v>
      </c>
      <c r="Q301" s="6">
        <v>1.4675000000000016</v>
      </c>
      <c r="R301" s="6">
        <v>0.29350000000000032</v>
      </c>
      <c r="S301" s="6">
        <v>0.14675000000000016</v>
      </c>
      <c r="T301" s="7">
        <f t="shared" si="54"/>
        <v>1.9077500000000021</v>
      </c>
      <c r="U301" s="6" t="e">
        <f>SUMIFS([1]Sheet1!$L:$L,[1]Sheet1!$I:$I,AJ301,[1]Sheet1!$C:$C,A301)</f>
        <v>#VALUE!</v>
      </c>
      <c r="V301" s="6"/>
      <c r="W301" s="6"/>
      <c r="X301" s="7" t="e">
        <f t="shared" si="48"/>
        <v>#VALUE!</v>
      </c>
      <c r="Y301" s="6"/>
      <c r="AJ301" s="5" t="str">
        <f t="shared" si="49"/>
        <v>NM 1040 - Personal</v>
      </c>
      <c r="AK301" s="5" t="str">
        <f t="shared" si="50"/>
        <v>NM-Tax Services-ANN-1040 - Personal_Basic</v>
      </c>
      <c r="AL301" s="5" t="str">
        <f t="shared" si="51"/>
        <v>Havill_7112_NM 1040 - Personal</v>
      </c>
      <c r="AM301" s="5" t="str">
        <f t="shared" si="52"/>
        <v>Havill_7112_NM-Tax Services-ANN-1040 - Personal_Basic</v>
      </c>
    </row>
    <row r="302" spans="1:39" x14ac:dyDescent="0.25">
      <c r="A302" s="2" t="s">
        <v>605</v>
      </c>
      <c r="B302" s="2" t="s">
        <v>606</v>
      </c>
      <c r="C302" s="2" t="s">
        <v>1196</v>
      </c>
      <c r="D302" s="8">
        <v>43831</v>
      </c>
      <c r="E302" s="5" t="str">
        <f t="shared" si="53"/>
        <v>Hicks JR, Edward S_01-01-20</v>
      </c>
      <c r="F302" s="2" t="s">
        <v>1203</v>
      </c>
      <c r="G302" s="2" t="s">
        <v>1241</v>
      </c>
      <c r="H302" s="2" t="s">
        <v>1220</v>
      </c>
      <c r="I302" s="2" t="s">
        <v>1223</v>
      </c>
      <c r="J302" s="2" t="s">
        <v>1234</v>
      </c>
      <c r="M302" s="5" t="str">
        <f t="shared" si="44"/>
        <v>Basic</v>
      </c>
      <c r="N302" s="5" t="str">
        <f t="shared" si="45"/>
        <v>Tax-Staff-Basic</v>
      </c>
      <c r="O302" s="5" t="str">
        <f t="shared" si="46"/>
        <v>Tax-Reviewer-Basic</v>
      </c>
      <c r="P302" s="5" t="str">
        <f t="shared" si="47"/>
        <v>Tax-Signer-Basic</v>
      </c>
      <c r="Q302" s="6">
        <v>1.4675000000000016</v>
      </c>
      <c r="R302" s="6">
        <v>0.29350000000000032</v>
      </c>
      <c r="S302" s="6">
        <v>0.14675000000000016</v>
      </c>
      <c r="T302" s="7">
        <f t="shared" si="54"/>
        <v>1.9077500000000021</v>
      </c>
      <c r="U302" s="6" t="e">
        <f>SUMIFS([1]Sheet1!$L:$L,[1]Sheet1!$I:$I,AJ302,[1]Sheet1!$C:$C,A302)</f>
        <v>#VALUE!</v>
      </c>
      <c r="V302" s="6"/>
      <c r="W302" s="6"/>
      <c r="X302" s="7" t="e">
        <f t="shared" si="48"/>
        <v>#VALUE!</v>
      </c>
      <c r="Y302" s="6"/>
      <c r="AJ302" s="5" t="str">
        <f t="shared" si="49"/>
        <v>NM 1040 - Personal</v>
      </c>
      <c r="AK302" s="5" t="str">
        <f t="shared" si="50"/>
        <v>NM-Tax Services-ANN-1040 - Personal_Basic</v>
      </c>
      <c r="AL302" s="5" t="str">
        <f t="shared" si="51"/>
        <v>Hicks _4343_NM 1040 - Personal</v>
      </c>
      <c r="AM302" s="5" t="str">
        <f t="shared" si="52"/>
        <v>Hicks _4343_NM-Tax Services-ANN-1040 - Personal_Basic</v>
      </c>
    </row>
    <row r="303" spans="1:39" x14ac:dyDescent="0.25">
      <c r="A303" s="2" t="s">
        <v>607</v>
      </c>
      <c r="B303" s="2" t="s">
        <v>608</v>
      </c>
      <c r="C303" s="2" t="s">
        <v>1196</v>
      </c>
      <c r="D303" s="8">
        <v>43831</v>
      </c>
      <c r="E303" s="5" t="str">
        <f t="shared" si="53"/>
        <v>Hilbun, Steve_01-01-20</v>
      </c>
      <c r="F303" s="2" t="s">
        <v>1203</v>
      </c>
      <c r="G303" s="2" t="s">
        <v>1241</v>
      </c>
      <c r="H303" s="2" t="s">
        <v>1220</v>
      </c>
      <c r="I303" s="2" t="s">
        <v>1223</v>
      </c>
      <c r="J303" s="2" t="s">
        <v>1234</v>
      </c>
      <c r="M303" s="5" t="str">
        <f t="shared" si="44"/>
        <v>Basic</v>
      </c>
      <c r="N303" s="5" t="str">
        <f t="shared" si="45"/>
        <v>Tax-Staff-Basic</v>
      </c>
      <c r="O303" s="5" t="str">
        <f t="shared" si="46"/>
        <v>Tax-Reviewer-Basic</v>
      </c>
      <c r="P303" s="5" t="str">
        <f t="shared" si="47"/>
        <v>Tax-Signer-Basic</v>
      </c>
      <c r="Q303" s="6">
        <v>1.4675000000000016</v>
      </c>
      <c r="R303" s="6">
        <v>0.29350000000000032</v>
      </c>
      <c r="S303" s="6">
        <v>0.14675000000000016</v>
      </c>
      <c r="T303" s="7">
        <f t="shared" si="54"/>
        <v>1.9077500000000021</v>
      </c>
      <c r="U303" s="6" t="e">
        <f>SUMIFS([1]Sheet1!$L:$L,[1]Sheet1!$I:$I,AJ303,[1]Sheet1!$C:$C,A303)</f>
        <v>#VALUE!</v>
      </c>
      <c r="V303" s="6"/>
      <c r="W303" s="6"/>
      <c r="X303" s="7" t="e">
        <f t="shared" si="48"/>
        <v>#VALUE!</v>
      </c>
      <c r="Y303" s="6"/>
      <c r="AJ303" s="5" t="str">
        <f t="shared" si="49"/>
        <v>NM 1040 - Personal</v>
      </c>
      <c r="AK303" s="5" t="str">
        <f t="shared" si="50"/>
        <v>NM-Tax Services-ANN-1040 - Personal_Basic</v>
      </c>
      <c r="AL303" s="5" t="str">
        <f t="shared" si="51"/>
        <v>Hilbun_3211_NM 1040 - Personal</v>
      </c>
      <c r="AM303" s="5" t="str">
        <f t="shared" si="52"/>
        <v>Hilbun_3211_NM-Tax Services-ANN-1040 - Personal_Basic</v>
      </c>
    </row>
    <row r="304" spans="1:39" x14ac:dyDescent="0.25">
      <c r="A304" s="2" t="s">
        <v>609</v>
      </c>
      <c r="B304" s="2" t="s">
        <v>610</v>
      </c>
      <c r="C304" s="2" t="s">
        <v>1196</v>
      </c>
      <c r="D304" s="8">
        <v>43831</v>
      </c>
      <c r="E304" s="5" t="str">
        <f t="shared" si="53"/>
        <v>Holman, Jo. A._01-01-20</v>
      </c>
      <c r="F304" s="2" t="s">
        <v>1203</v>
      </c>
      <c r="G304" s="2" t="s">
        <v>1241</v>
      </c>
      <c r="H304" s="2" t="s">
        <v>1220</v>
      </c>
      <c r="I304" s="2" t="s">
        <v>1221</v>
      </c>
      <c r="J304" s="2" t="s">
        <v>1234</v>
      </c>
      <c r="M304" s="5" t="str">
        <f t="shared" si="44"/>
        <v>Mid</v>
      </c>
      <c r="N304" s="5" t="str">
        <f t="shared" si="45"/>
        <v>Tax-Staff-Mid</v>
      </c>
      <c r="O304" s="5" t="str">
        <f t="shared" si="46"/>
        <v>Tax-Reviewer-Mid</v>
      </c>
      <c r="P304" s="5" t="str">
        <f t="shared" si="47"/>
        <v>Tax-Signer-Mid</v>
      </c>
      <c r="Q304" s="6">
        <v>2.7401969696969677</v>
      </c>
      <c r="R304" s="6">
        <v>0.5480393939393936</v>
      </c>
      <c r="S304" s="6">
        <v>0.2740196969696968</v>
      </c>
      <c r="T304" s="7">
        <f t="shared" si="54"/>
        <v>3.562256060606058</v>
      </c>
      <c r="U304" s="6" t="e">
        <f>SUMIFS([1]Sheet1!$L:$L,[1]Sheet1!$I:$I,AJ304,[1]Sheet1!$C:$C,A304)</f>
        <v>#VALUE!</v>
      </c>
      <c r="V304" s="6"/>
      <c r="W304" s="6"/>
      <c r="X304" s="7" t="e">
        <f t="shared" si="48"/>
        <v>#VALUE!</v>
      </c>
      <c r="Y304" s="6"/>
      <c r="AJ304" s="5" t="str">
        <f t="shared" si="49"/>
        <v>NM 1040 - Personal</v>
      </c>
      <c r="AK304" s="5" t="str">
        <f t="shared" si="50"/>
        <v>NM-Tax Services-ANN-1040 - Personal_Mid</v>
      </c>
      <c r="AL304" s="5" t="str">
        <f t="shared" si="51"/>
        <v>Holman_3268_NM 1040 - Personal</v>
      </c>
      <c r="AM304" s="5" t="str">
        <f t="shared" si="52"/>
        <v>Holman_3268_NM-Tax Services-ANN-1040 - Personal_Mid</v>
      </c>
    </row>
    <row r="305" spans="1:39" x14ac:dyDescent="0.25">
      <c r="A305" s="2" t="s">
        <v>365</v>
      </c>
      <c r="B305" s="2" t="s">
        <v>366</v>
      </c>
      <c r="C305" s="2" t="s">
        <v>1196</v>
      </c>
      <c r="D305" s="8">
        <v>43831</v>
      </c>
      <c r="E305" s="5" t="str">
        <f t="shared" si="53"/>
        <v>Horizon Pest &amp; Termite, LTD_01-01-20</v>
      </c>
      <c r="F305" s="2" t="s">
        <v>1199</v>
      </c>
      <c r="G305" s="2" t="s">
        <v>1241</v>
      </c>
      <c r="H305" s="2" t="s">
        <v>1220</v>
      </c>
      <c r="I305" s="2" t="s">
        <v>1221</v>
      </c>
      <c r="J305" s="2" t="s">
        <v>1234</v>
      </c>
      <c r="M305" s="5" t="str">
        <f t="shared" si="44"/>
        <v>Mid</v>
      </c>
      <c r="N305" s="5" t="str">
        <f t="shared" si="45"/>
        <v>Tax-Staff-Mid</v>
      </c>
      <c r="O305" s="5" t="str">
        <f t="shared" si="46"/>
        <v>Tax-Reviewer-Mid</v>
      </c>
      <c r="P305" s="5" t="str">
        <f t="shared" si="47"/>
        <v>Tax-Signer-Mid</v>
      </c>
      <c r="Q305" s="6">
        <v>2.7401969696969677</v>
      </c>
      <c r="R305" s="6">
        <v>0.5480393939393936</v>
      </c>
      <c r="S305" s="6">
        <v>0.2740196969696968</v>
      </c>
      <c r="T305" s="7">
        <f t="shared" si="54"/>
        <v>3.562256060606058</v>
      </c>
      <c r="U305" s="6" t="e">
        <f>SUMIFS([1]Sheet1!$L:$L,[1]Sheet1!$I:$I,AJ305,[1]Sheet1!$C:$C,A305)</f>
        <v>#VALUE!</v>
      </c>
      <c r="V305" s="6"/>
      <c r="W305" s="6"/>
      <c r="X305" s="7" t="e">
        <f t="shared" si="48"/>
        <v>#VALUE!</v>
      </c>
      <c r="Y305" s="6"/>
      <c r="AJ305" s="5" t="str">
        <f t="shared" si="49"/>
        <v>NM 1065 - Partnership</v>
      </c>
      <c r="AK305" s="5" t="str">
        <f t="shared" si="50"/>
        <v>NM-Tax Services-ANN-1065 - Partnership_Mid</v>
      </c>
      <c r="AL305" s="5" t="str">
        <f t="shared" si="51"/>
        <v>Horizon _1065_20-5237939_NM 1065 - Partnership</v>
      </c>
      <c r="AM305" s="5" t="str">
        <f t="shared" si="52"/>
        <v>Horizon _1065_20-5237939_NM-Tax Services-ANN-1065 - Partnership_Mid</v>
      </c>
    </row>
    <row r="306" spans="1:39" x14ac:dyDescent="0.25">
      <c r="A306" s="2" t="s">
        <v>611</v>
      </c>
      <c r="B306" s="2" t="s">
        <v>612</v>
      </c>
      <c r="C306" s="2" t="s">
        <v>1196</v>
      </c>
      <c r="D306" s="8">
        <v>43831</v>
      </c>
      <c r="E306" s="5" t="str">
        <f t="shared" si="53"/>
        <v>Houston, Jeffrey R._01-01-20</v>
      </c>
      <c r="F306" s="2" t="s">
        <v>1203</v>
      </c>
      <c r="G306" s="2" t="s">
        <v>1241</v>
      </c>
      <c r="H306" s="2" t="s">
        <v>1220</v>
      </c>
      <c r="I306" s="2" t="s">
        <v>1223</v>
      </c>
      <c r="J306" s="2" t="s">
        <v>1234</v>
      </c>
      <c r="M306" s="5" t="str">
        <f t="shared" si="44"/>
        <v>Basic</v>
      </c>
      <c r="N306" s="5" t="str">
        <f t="shared" si="45"/>
        <v>Tax-Staff-Basic</v>
      </c>
      <c r="O306" s="5" t="str">
        <f t="shared" si="46"/>
        <v>Tax-Reviewer-Basic</v>
      </c>
      <c r="P306" s="5" t="str">
        <f t="shared" si="47"/>
        <v>Tax-Signer-Basic</v>
      </c>
      <c r="Q306" s="6">
        <v>1.4675000000000016</v>
      </c>
      <c r="R306" s="6">
        <v>0.29350000000000032</v>
      </c>
      <c r="S306" s="6">
        <v>0.14675000000000016</v>
      </c>
      <c r="T306" s="7">
        <f t="shared" si="54"/>
        <v>1.9077500000000021</v>
      </c>
      <c r="U306" s="6" t="e">
        <f>SUMIFS([1]Sheet1!$L:$L,[1]Sheet1!$I:$I,AJ306,[1]Sheet1!$C:$C,A306)</f>
        <v>#VALUE!</v>
      </c>
      <c r="V306" s="6"/>
      <c r="W306" s="6"/>
      <c r="X306" s="7" t="e">
        <f t="shared" si="48"/>
        <v>#VALUE!</v>
      </c>
      <c r="Y306" s="6"/>
      <c r="AJ306" s="5" t="str">
        <f t="shared" si="49"/>
        <v>NM 1040 - Personal</v>
      </c>
      <c r="AK306" s="5" t="str">
        <f t="shared" si="50"/>
        <v>NM-Tax Services-ANN-1040 - Personal_Basic</v>
      </c>
      <c r="AL306" s="5" t="str">
        <f t="shared" si="51"/>
        <v>Housto_0151_NM 1040 - Personal</v>
      </c>
      <c r="AM306" s="5" t="str">
        <f t="shared" si="52"/>
        <v>Housto_0151_NM-Tax Services-ANN-1040 - Personal_Basic</v>
      </c>
    </row>
    <row r="307" spans="1:39" x14ac:dyDescent="0.25">
      <c r="A307" s="2" t="s">
        <v>613</v>
      </c>
      <c r="B307" s="2" t="s">
        <v>614</v>
      </c>
      <c r="C307" s="2" t="s">
        <v>1196</v>
      </c>
      <c r="D307" s="8">
        <v>43831</v>
      </c>
      <c r="E307" s="5" t="str">
        <f t="shared" si="53"/>
        <v>Howard, Chase_01-01-20</v>
      </c>
      <c r="F307" s="2" t="s">
        <v>1203</v>
      </c>
      <c r="G307" s="2" t="s">
        <v>1241</v>
      </c>
      <c r="H307" s="2" t="s">
        <v>1220</v>
      </c>
      <c r="I307" s="2" t="s">
        <v>1221</v>
      </c>
      <c r="J307" s="2" t="s">
        <v>1234</v>
      </c>
      <c r="M307" s="5" t="str">
        <f t="shared" si="44"/>
        <v>Mid</v>
      </c>
      <c r="N307" s="5" t="str">
        <f t="shared" si="45"/>
        <v>Tax-Staff-Mid</v>
      </c>
      <c r="O307" s="5" t="str">
        <f t="shared" si="46"/>
        <v>Tax-Reviewer-Mid</v>
      </c>
      <c r="P307" s="5" t="str">
        <f t="shared" si="47"/>
        <v>Tax-Signer-Mid</v>
      </c>
      <c r="Q307" s="6">
        <v>2.7401969696969677</v>
      </c>
      <c r="R307" s="6">
        <v>0.5480393939393936</v>
      </c>
      <c r="S307" s="6">
        <v>0.2740196969696968</v>
      </c>
      <c r="T307" s="7">
        <f t="shared" si="54"/>
        <v>3.562256060606058</v>
      </c>
      <c r="U307" s="6" t="e">
        <f>SUMIFS([1]Sheet1!$L:$L,[1]Sheet1!$I:$I,AJ307,[1]Sheet1!$C:$C,A307)</f>
        <v>#VALUE!</v>
      </c>
      <c r="V307" s="6"/>
      <c r="W307" s="6"/>
      <c r="X307" s="7" t="e">
        <f t="shared" si="48"/>
        <v>#VALUE!</v>
      </c>
      <c r="Y307" s="6"/>
      <c r="AJ307" s="5" t="str">
        <f t="shared" si="49"/>
        <v>NM 1040 - Personal</v>
      </c>
      <c r="AK307" s="5" t="str">
        <f t="shared" si="50"/>
        <v>NM-Tax Services-ANN-1040 - Personal_Mid</v>
      </c>
      <c r="AL307" s="5" t="str">
        <f t="shared" si="51"/>
        <v>Howard_6215_NM 1040 - Personal</v>
      </c>
      <c r="AM307" s="5" t="str">
        <f t="shared" si="52"/>
        <v>Howard_6215_NM-Tax Services-ANN-1040 - Personal_Mid</v>
      </c>
    </row>
    <row r="308" spans="1:39" x14ac:dyDescent="0.25">
      <c r="A308" s="2" t="s">
        <v>615</v>
      </c>
      <c r="B308" s="2" t="s">
        <v>616</v>
      </c>
      <c r="C308" s="2" t="s">
        <v>1196</v>
      </c>
      <c r="D308" s="8">
        <v>43831</v>
      </c>
      <c r="E308" s="5" t="str">
        <f t="shared" si="53"/>
        <v>Hoyos, Adriana_01-01-20</v>
      </c>
      <c r="F308" s="2" t="s">
        <v>1203</v>
      </c>
      <c r="G308" s="2" t="s">
        <v>1241</v>
      </c>
      <c r="H308" s="2" t="s">
        <v>1220</v>
      </c>
      <c r="I308" s="2" t="s">
        <v>1222</v>
      </c>
      <c r="J308" s="2" t="s">
        <v>1234</v>
      </c>
      <c r="M308" s="5" t="str">
        <f t="shared" si="44"/>
        <v>Adv</v>
      </c>
      <c r="N308" s="5" t="str">
        <f t="shared" si="45"/>
        <v>Tax-Staff-Adv</v>
      </c>
      <c r="O308" s="5" t="str">
        <f t="shared" si="46"/>
        <v>Tax-Reviewer-Adv</v>
      </c>
      <c r="P308" s="5" t="str">
        <f t="shared" si="47"/>
        <v>Tax-Signer-Adv</v>
      </c>
      <c r="Q308" s="6">
        <v>4.5832500000000005</v>
      </c>
      <c r="R308" s="6">
        <v>0.91665000000000019</v>
      </c>
      <c r="S308" s="6">
        <v>0.45832500000000009</v>
      </c>
      <c r="T308" s="7">
        <f t="shared" si="54"/>
        <v>5.9582250000000005</v>
      </c>
      <c r="U308" s="6" t="e">
        <f>SUMIFS([1]Sheet1!$L:$L,[1]Sheet1!$I:$I,AJ308,[1]Sheet1!$C:$C,A308)</f>
        <v>#VALUE!</v>
      </c>
      <c r="V308" s="6"/>
      <c r="W308" s="6"/>
      <c r="X308" s="7" t="e">
        <f t="shared" si="48"/>
        <v>#VALUE!</v>
      </c>
      <c r="Y308" s="6"/>
      <c r="AJ308" s="5" t="str">
        <f t="shared" si="49"/>
        <v>NM 1040 - Personal</v>
      </c>
      <c r="AK308" s="5" t="str">
        <f t="shared" si="50"/>
        <v>NM-Tax Services-ANN-1040 - Personal_Adv</v>
      </c>
      <c r="AL308" s="5" t="str">
        <f t="shared" si="51"/>
        <v>Hoyos,_6380_NM 1040 - Personal</v>
      </c>
      <c r="AM308" s="5" t="str">
        <f t="shared" si="52"/>
        <v>Hoyos,_6380_NM-Tax Services-ANN-1040 - Personal_Adv</v>
      </c>
    </row>
    <row r="309" spans="1:39" x14ac:dyDescent="0.25">
      <c r="A309" s="2" t="s">
        <v>111</v>
      </c>
      <c r="B309" s="2" t="s">
        <v>112</v>
      </c>
      <c r="C309" s="2" t="s">
        <v>1197</v>
      </c>
      <c r="D309" s="8">
        <v>43831</v>
      </c>
      <c r="E309" s="5" t="str">
        <f t="shared" si="53"/>
        <v>Hsiao, Loren_01-01-20</v>
      </c>
      <c r="F309" s="2" t="s">
        <v>1203</v>
      </c>
      <c r="G309" s="2" t="s">
        <v>1241</v>
      </c>
      <c r="H309" s="2" t="s">
        <v>1220</v>
      </c>
      <c r="I309" s="2" t="s">
        <v>1223</v>
      </c>
      <c r="J309" s="2" t="s">
        <v>1234</v>
      </c>
      <c r="M309" s="5" t="str">
        <f t="shared" si="44"/>
        <v>Basic</v>
      </c>
      <c r="N309" s="5" t="str">
        <f t="shared" si="45"/>
        <v>Tax-Staff-Basic</v>
      </c>
      <c r="O309" s="5" t="str">
        <f t="shared" si="46"/>
        <v>Tax-Reviewer-Basic</v>
      </c>
      <c r="P309" s="5" t="str">
        <f t="shared" si="47"/>
        <v>Tax-Signer-Basic</v>
      </c>
      <c r="Q309" s="6">
        <v>1.4675000000000016</v>
      </c>
      <c r="R309" s="6">
        <v>0.29350000000000032</v>
      </c>
      <c r="S309" s="6">
        <v>0.14675000000000016</v>
      </c>
      <c r="T309" s="7">
        <f t="shared" si="54"/>
        <v>1.9077500000000021</v>
      </c>
      <c r="U309" s="6" t="e">
        <f>SUMIFS([1]Sheet1!$L:$L,[1]Sheet1!$I:$I,AJ309,[1]Sheet1!$C:$C,A309)</f>
        <v>#VALUE!</v>
      </c>
      <c r="V309" s="6"/>
      <c r="W309" s="6"/>
      <c r="X309" s="7" t="e">
        <f t="shared" si="48"/>
        <v>#VALUE!</v>
      </c>
      <c r="Y309" s="6"/>
      <c r="AJ309" s="5" t="str">
        <f t="shared" si="49"/>
        <v>MO 1040 - Personal</v>
      </c>
      <c r="AK309" s="5" t="str">
        <f t="shared" si="50"/>
        <v>MO-Tax Services-ANN-1040 - Personal_Basic</v>
      </c>
      <c r="AL309" s="5" t="str">
        <f t="shared" si="51"/>
        <v>Hsiao,_2193_MO 1040 - Personal</v>
      </c>
      <c r="AM309" s="5" t="str">
        <f t="shared" si="52"/>
        <v>Hsiao,_2193_MO-Tax Services-ANN-1040 - Personal_Basic</v>
      </c>
    </row>
    <row r="310" spans="1:39" x14ac:dyDescent="0.25">
      <c r="A310" s="2" t="s">
        <v>111</v>
      </c>
      <c r="B310" s="2" t="s">
        <v>112</v>
      </c>
      <c r="C310" s="2" t="s">
        <v>1197</v>
      </c>
      <c r="D310" s="8">
        <v>43831</v>
      </c>
      <c r="E310" s="5" t="str">
        <f t="shared" si="53"/>
        <v>Hsiao, Loren_01-01-20</v>
      </c>
      <c r="F310" s="2" t="s">
        <v>1201</v>
      </c>
      <c r="G310" s="2" t="s">
        <v>1201</v>
      </c>
      <c r="H310" s="2" t="s">
        <v>1197</v>
      </c>
      <c r="I310" s="2" t="s">
        <v>1221</v>
      </c>
      <c r="J310" s="2" t="s">
        <v>1235</v>
      </c>
      <c r="M310" s="5" t="str">
        <f t="shared" si="44"/>
        <v>Mid</v>
      </c>
      <c r="N310" s="5" t="str">
        <f t="shared" si="45"/>
        <v>Accountant-Staff-Mid</v>
      </c>
      <c r="O310" s="5" t="str">
        <f t="shared" si="46"/>
        <v>Accountant-Reviewer-Mid</v>
      </c>
      <c r="P310" s="5" t="str">
        <f t="shared" si="47"/>
        <v>Accountant-Signer-Mid</v>
      </c>
      <c r="Q310" s="6">
        <v>1.47</v>
      </c>
      <c r="R310" s="6">
        <v>0.29399999999999998</v>
      </c>
      <c r="S310" s="6">
        <v>0.14699999999999999</v>
      </c>
      <c r="T310" s="7">
        <f t="shared" si="54"/>
        <v>1.911</v>
      </c>
      <c r="U310" s="6" t="e">
        <f>SUMIFS([1]Sheet1!$L:$L,[1]Sheet1!$I:$I,AJ310,[1]Sheet1!$C:$C,A310)</f>
        <v>#VALUE!</v>
      </c>
      <c r="V310" s="6"/>
      <c r="W310" s="6"/>
      <c r="X310" s="7" t="e">
        <f t="shared" si="48"/>
        <v>#VALUE!</v>
      </c>
      <c r="Y310" s="6"/>
      <c r="AJ310" s="5" t="str">
        <f t="shared" si="49"/>
        <v>MO Accounting Services</v>
      </c>
      <c r="AK310" s="5" t="str">
        <f t="shared" si="50"/>
        <v>MO-Accounting Services-MO-Accounting Services_Mid</v>
      </c>
      <c r="AL310" s="5" t="str">
        <f t="shared" si="51"/>
        <v>Hsiao,_2193_MO Accounting Services</v>
      </c>
      <c r="AM310" s="5" t="str">
        <f t="shared" si="52"/>
        <v>Hsiao,_2193_MO-Accounting Services-MO-Accounting Services_Mid</v>
      </c>
    </row>
    <row r="311" spans="1:39" x14ac:dyDescent="0.25">
      <c r="A311" s="2" t="s">
        <v>111</v>
      </c>
      <c r="B311" s="2" t="s">
        <v>112</v>
      </c>
      <c r="C311" s="2" t="s">
        <v>1197</v>
      </c>
      <c r="D311" s="8">
        <v>43831</v>
      </c>
      <c r="E311" s="5" t="str">
        <f t="shared" si="53"/>
        <v>Hsiao, Loren_01-01-20</v>
      </c>
      <c r="F311" s="2" t="s">
        <v>1205</v>
      </c>
      <c r="G311" s="2" t="s">
        <v>1201</v>
      </c>
      <c r="H311" s="2" t="s">
        <v>1224</v>
      </c>
      <c r="I311" s="2" t="s">
        <v>1223</v>
      </c>
      <c r="J311" s="2" t="s">
        <v>1235</v>
      </c>
      <c r="M311" s="5" t="str">
        <f t="shared" si="44"/>
        <v>Basic</v>
      </c>
      <c r="N311" s="5" t="str">
        <f t="shared" si="45"/>
        <v>Accountant-Staff-Basic</v>
      </c>
      <c r="O311" s="5" t="str">
        <f t="shared" si="46"/>
        <v>Accountant-Reviewer-Basic</v>
      </c>
      <c r="P311" s="5" t="str">
        <f t="shared" si="47"/>
        <v>Accountant-Signer-Basic</v>
      </c>
      <c r="Q311" s="6">
        <v>0.5</v>
      </c>
      <c r="R311" s="6">
        <v>0.1</v>
      </c>
      <c r="S311" s="6">
        <v>0.05</v>
      </c>
      <c r="T311" s="7">
        <f t="shared" si="54"/>
        <v>0.65</v>
      </c>
      <c r="U311" s="6" t="e">
        <f>SUMIFS([1]Sheet1!$L:$L,[1]Sheet1!$I:$I,AJ311,[1]Sheet1!$C:$C,A311)</f>
        <v>#VALUE!</v>
      </c>
      <c r="V311" s="6"/>
      <c r="W311" s="6"/>
      <c r="X311" s="7" t="e">
        <f t="shared" si="48"/>
        <v>#VALUE!</v>
      </c>
      <c r="Y311" s="6"/>
      <c r="AJ311" s="5" t="str">
        <f t="shared" si="49"/>
        <v>MO Payroll Services</v>
      </c>
      <c r="AK311" s="5" t="str">
        <f t="shared" si="50"/>
        <v>MO-Accounting Services-QTR-Payroll Services_Basic</v>
      </c>
      <c r="AL311" s="5" t="str">
        <f t="shared" si="51"/>
        <v>Hsiao,_2193_MO Payroll Services</v>
      </c>
      <c r="AM311" s="5" t="str">
        <f t="shared" si="52"/>
        <v>Hsiao,_2193_MO-Accounting Services-QTR-Payroll Services_Basic</v>
      </c>
    </row>
    <row r="312" spans="1:39" x14ac:dyDescent="0.25">
      <c r="A312" s="2" t="s">
        <v>367</v>
      </c>
      <c r="B312" s="2" t="s">
        <v>368</v>
      </c>
      <c r="C312" s="2" t="s">
        <v>1196</v>
      </c>
      <c r="D312" s="8">
        <v>43831</v>
      </c>
      <c r="E312" s="5" t="str">
        <f t="shared" si="53"/>
        <v>HT Tech Marketing, LLC_01-01-20</v>
      </c>
      <c r="F312" s="2" t="s">
        <v>1199</v>
      </c>
      <c r="G312" s="2" t="s">
        <v>1241</v>
      </c>
      <c r="H312" s="2" t="s">
        <v>1220</v>
      </c>
      <c r="I312" s="2" t="s">
        <v>1221</v>
      </c>
      <c r="J312" s="2" t="s">
        <v>1234</v>
      </c>
      <c r="M312" s="5" t="str">
        <f t="shared" si="44"/>
        <v>Mid</v>
      </c>
      <c r="N312" s="5" t="str">
        <f t="shared" si="45"/>
        <v>Tax-Staff-Mid</v>
      </c>
      <c r="O312" s="5" t="str">
        <f t="shared" si="46"/>
        <v>Tax-Reviewer-Mid</v>
      </c>
      <c r="P312" s="5" t="str">
        <f t="shared" si="47"/>
        <v>Tax-Signer-Mid</v>
      </c>
      <c r="Q312" s="6">
        <v>2.7401969696969677</v>
      </c>
      <c r="R312" s="6">
        <v>0.5480393939393936</v>
      </c>
      <c r="S312" s="6">
        <v>0.2740196969696968</v>
      </c>
      <c r="T312" s="7">
        <f t="shared" si="54"/>
        <v>3.562256060606058</v>
      </c>
      <c r="U312" s="6" t="e">
        <f>SUMIFS([1]Sheet1!$L:$L,[1]Sheet1!$I:$I,AJ312,[1]Sheet1!$C:$C,A312)</f>
        <v>#VALUE!</v>
      </c>
      <c r="V312" s="6"/>
      <c r="W312" s="6"/>
      <c r="X312" s="7" t="e">
        <f t="shared" si="48"/>
        <v>#VALUE!</v>
      </c>
      <c r="Y312" s="6"/>
      <c r="AJ312" s="5" t="str">
        <f t="shared" si="49"/>
        <v>NM 1065 - Partnership</v>
      </c>
      <c r="AK312" s="5" t="str">
        <f t="shared" si="50"/>
        <v>NM-Tax Services-ANN-1065 - Partnership_Mid</v>
      </c>
      <c r="AL312" s="5" t="str">
        <f t="shared" si="51"/>
        <v>HT Tech _1065_47-1437504_NM 1065 - Partnership</v>
      </c>
      <c r="AM312" s="5" t="str">
        <f t="shared" si="52"/>
        <v>HT Tech _1065_47-1437504_NM-Tax Services-ANN-1065 - Partnership_Mid</v>
      </c>
    </row>
    <row r="313" spans="1:39" x14ac:dyDescent="0.25">
      <c r="A313" s="2" t="s">
        <v>367</v>
      </c>
      <c r="B313" s="2" t="s">
        <v>368</v>
      </c>
      <c r="C313" s="2" t="s">
        <v>1196</v>
      </c>
      <c r="D313" s="8">
        <v>43831</v>
      </c>
      <c r="E313" s="5" t="str">
        <f t="shared" si="53"/>
        <v>HT Tech Marketing, LLC_01-01-20</v>
      </c>
      <c r="F313" s="2" t="s">
        <v>1200</v>
      </c>
      <c r="G313" s="2" t="s">
        <v>1241</v>
      </c>
      <c r="H313" s="2" t="s">
        <v>1220</v>
      </c>
      <c r="I313" s="2" t="s">
        <v>1223</v>
      </c>
      <c r="J313" s="2" t="s">
        <v>1234</v>
      </c>
      <c r="M313" s="5" t="str">
        <f t="shared" si="44"/>
        <v>Basic</v>
      </c>
      <c r="N313" s="5" t="str">
        <f t="shared" si="45"/>
        <v>Tax-Staff-Basic</v>
      </c>
      <c r="O313" s="5" t="str">
        <f t="shared" si="46"/>
        <v>Tax-Reviewer-Basic</v>
      </c>
      <c r="P313" s="5" t="str">
        <f t="shared" si="47"/>
        <v>Tax-Signer-Basic</v>
      </c>
      <c r="Q313" s="6">
        <v>0.5</v>
      </c>
      <c r="R313" s="6">
        <v>0.1</v>
      </c>
      <c r="S313" s="6">
        <v>0.05</v>
      </c>
      <c r="T313" s="7">
        <f t="shared" si="54"/>
        <v>0.65</v>
      </c>
      <c r="U313" s="6" t="e">
        <f>SUMIFS([1]Sheet1!$L:$L,[1]Sheet1!$I:$I,AJ313,[1]Sheet1!$C:$C,A313)</f>
        <v>#VALUE!</v>
      </c>
      <c r="V313" s="6"/>
      <c r="W313" s="6"/>
      <c r="X313" s="7" t="e">
        <f t="shared" si="48"/>
        <v>#VALUE!</v>
      </c>
      <c r="Y313" s="6"/>
      <c r="AJ313" s="5" t="str">
        <f t="shared" si="49"/>
        <v>NM Texas Franchise Tax Return</v>
      </c>
      <c r="AK313" s="5" t="str">
        <f t="shared" si="50"/>
        <v>NM-Tax Services-ANN-Texas Franchise Tax Return_Basic</v>
      </c>
      <c r="AL313" s="5" t="str">
        <f t="shared" si="51"/>
        <v>HT Tech _1065_47-1437504_NM Texas Franchise Tax Return</v>
      </c>
      <c r="AM313" s="5" t="str">
        <f t="shared" si="52"/>
        <v>HT Tech _1065_47-1437504_NM-Tax Services-ANN-Texas Franchise Tax Return_Basic</v>
      </c>
    </row>
    <row r="314" spans="1:39" x14ac:dyDescent="0.25">
      <c r="A314" s="2" t="s">
        <v>617</v>
      </c>
      <c r="B314" s="2" t="s">
        <v>618</v>
      </c>
      <c r="C314" s="2" t="s">
        <v>1196</v>
      </c>
      <c r="D314" s="8">
        <v>43831</v>
      </c>
      <c r="E314" s="5" t="str">
        <f t="shared" si="53"/>
        <v>Hubbard, Eric_01-01-20</v>
      </c>
      <c r="F314" s="2" t="s">
        <v>1203</v>
      </c>
      <c r="G314" s="2" t="s">
        <v>1241</v>
      </c>
      <c r="H314" s="2" t="s">
        <v>1220</v>
      </c>
      <c r="I314" s="2" t="s">
        <v>1221</v>
      </c>
      <c r="J314" s="2" t="s">
        <v>1234</v>
      </c>
      <c r="M314" s="5" t="str">
        <f t="shared" si="44"/>
        <v>Mid</v>
      </c>
      <c r="N314" s="5" t="str">
        <f t="shared" si="45"/>
        <v>Tax-Staff-Mid</v>
      </c>
      <c r="O314" s="5" t="str">
        <f t="shared" si="46"/>
        <v>Tax-Reviewer-Mid</v>
      </c>
      <c r="P314" s="5" t="str">
        <f t="shared" si="47"/>
        <v>Tax-Signer-Mid</v>
      </c>
      <c r="Q314" s="6">
        <v>2.7401969696969677</v>
      </c>
      <c r="R314" s="6">
        <v>0.5480393939393936</v>
      </c>
      <c r="S314" s="6">
        <v>0.2740196969696968</v>
      </c>
      <c r="T314" s="7">
        <f t="shared" si="54"/>
        <v>3.562256060606058</v>
      </c>
      <c r="U314" s="6" t="e">
        <f>SUMIFS([1]Sheet1!$L:$L,[1]Sheet1!$I:$I,AJ314,[1]Sheet1!$C:$C,A314)</f>
        <v>#VALUE!</v>
      </c>
      <c r="V314" s="6"/>
      <c r="W314" s="6"/>
      <c r="X314" s="7" t="e">
        <f t="shared" si="48"/>
        <v>#VALUE!</v>
      </c>
      <c r="Y314" s="6"/>
      <c r="AJ314" s="5" t="str">
        <f t="shared" si="49"/>
        <v>NM 1040 - Personal</v>
      </c>
      <c r="AK314" s="5" t="str">
        <f t="shared" si="50"/>
        <v>NM-Tax Services-ANN-1040 - Personal_Mid</v>
      </c>
      <c r="AL314" s="5" t="str">
        <f t="shared" si="51"/>
        <v>Hubbar_0252_NM 1040 - Personal</v>
      </c>
      <c r="AM314" s="5" t="str">
        <f t="shared" si="52"/>
        <v>Hubbar_0252_NM-Tax Services-ANN-1040 - Personal_Mid</v>
      </c>
    </row>
    <row r="315" spans="1:39" x14ac:dyDescent="0.25">
      <c r="A315" s="2" t="s">
        <v>619</v>
      </c>
      <c r="B315" s="2" t="s">
        <v>620</v>
      </c>
      <c r="C315" s="2" t="s">
        <v>1196</v>
      </c>
      <c r="D315" s="8">
        <v>43831</v>
      </c>
      <c r="E315" s="5" t="str">
        <f t="shared" si="53"/>
        <v>Hudgens, Karl_01-01-20</v>
      </c>
      <c r="F315" s="2" t="s">
        <v>1203</v>
      </c>
      <c r="G315" s="2" t="s">
        <v>1241</v>
      </c>
      <c r="H315" s="2" t="s">
        <v>1220</v>
      </c>
      <c r="I315" s="2" t="s">
        <v>1221</v>
      </c>
      <c r="J315" s="2" t="s">
        <v>1234</v>
      </c>
      <c r="M315" s="5" t="str">
        <f t="shared" si="44"/>
        <v>Mid</v>
      </c>
      <c r="N315" s="5" t="str">
        <f t="shared" si="45"/>
        <v>Tax-Staff-Mid</v>
      </c>
      <c r="O315" s="5" t="str">
        <f t="shared" si="46"/>
        <v>Tax-Reviewer-Mid</v>
      </c>
      <c r="P315" s="5" t="str">
        <f t="shared" si="47"/>
        <v>Tax-Signer-Mid</v>
      </c>
      <c r="Q315" s="6">
        <v>2.7401969696969677</v>
      </c>
      <c r="R315" s="6">
        <v>0.5480393939393936</v>
      </c>
      <c r="S315" s="6">
        <v>0.2740196969696968</v>
      </c>
      <c r="T315" s="7">
        <f t="shared" si="54"/>
        <v>3.562256060606058</v>
      </c>
      <c r="U315" s="6" t="e">
        <f>SUMIFS([1]Sheet1!$L:$L,[1]Sheet1!$I:$I,AJ315,[1]Sheet1!$C:$C,A315)</f>
        <v>#VALUE!</v>
      </c>
      <c r="V315" s="6"/>
      <c r="W315" s="6"/>
      <c r="X315" s="7" t="e">
        <f t="shared" si="48"/>
        <v>#VALUE!</v>
      </c>
      <c r="Y315" s="6"/>
      <c r="AJ315" s="5" t="str">
        <f t="shared" si="49"/>
        <v>NM 1040 - Personal</v>
      </c>
      <c r="AK315" s="5" t="str">
        <f t="shared" si="50"/>
        <v>NM-Tax Services-ANN-1040 - Personal_Mid</v>
      </c>
      <c r="AL315" s="5" t="str">
        <f t="shared" si="51"/>
        <v>Hudgen_1171_NM 1040 - Personal</v>
      </c>
      <c r="AM315" s="5" t="str">
        <f t="shared" si="52"/>
        <v>Hudgen_1171_NM-Tax Services-ANN-1040 - Personal_Mid</v>
      </c>
    </row>
    <row r="316" spans="1:39" x14ac:dyDescent="0.25">
      <c r="A316" s="2" t="s">
        <v>621</v>
      </c>
      <c r="B316" s="2" t="s">
        <v>622</v>
      </c>
      <c r="C316" s="2" t="s">
        <v>1196</v>
      </c>
      <c r="D316" s="8">
        <v>43831</v>
      </c>
      <c r="E316" s="5" t="str">
        <f t="shared" si="53"/>
        <v>Hudgins, David_01-01-20</v>
      </c>
      <c r="F316" s="2" t="s">
        <v>1203</v>
      </c>
      <c r="G316" s="2" t="s">
        <v>1241</v>
      </c>
      <c r="H316" s="2" t="s">
        <v>1220</v>
      </c>
      <c r="I316" s="2" t="s">
        <v>1221</v>
      </c>
      <c r="J316" s="2" t="s">
        <v>1234</v>
      </c>
      <c r="M316" s="5" t="str">
        <f t="shared" si="44"/>
        <v>Mid</v>
      </c>
      <c r="N316" s="5" t="str">
        <f t="shared" si="45"/>
        <v>Tax-Staff-Mid</v>
      </c>
      <c r="O316" s="5" t="str">
        <f t="shared" si="46"/>
        <v>Tax-Reviewer-Mid</v>
      </c>
      <c r="P316" s="5" t="str">
        <f t="shared" si="47"/>
        <v>Tax-Signer-Mid</v>
      </c>
      <c r="Q316" s="6">
        <v>2.7401969696969677</v>
      </c>
      <c r="R316" s="6">
        <v>0.5480393939393936</v>
      </c>
      <c r="S316" s="6">
        <v>0.2740196969696968</v>
      </c>
      <c r="T316" s="7">
        <f t="shared" si="54"/>
        <v>3.562256060606058</v>
      </c>
      <c r="U316" s="6" t="e">
        <f>SUMIFS([1]Sheet1!$L:$L,[1]Sheet1!$I:$I,AJ316,[1]Sheet1!$C:$C,A316)</f>
        <v>#VALUE!</v>
      </c>
      <c r="V316" s="6"/>
      <c r="W316" s="6"/>
      <c r="X316" s="7" t="e">
        <f t="shared" si="48"/>
        <v>#VALUE!</v>
      </c>
      <c r="Y316" s="6"/>
      <c r="AJ316" s="5" t="str">
        <f t="shared" si="49"/>
        <v>NM 1040 - Personal</v>
      </c>
      <c r="AK316" s="5" t="str">
        <f t="shared" si="50"/>
        <v>NM-Tax Services-ANN-1040 - Personal_Mid</v>
      </c>
      <c r="AL316" s="5" t="str">
        <f t="shared" si="51"/>
        <v>Hudgin_9436_NM 1040 - Personal</v>
      </c>
      <c r="AM316" s="5" t="str">
        <f t="shared" si="52"/>
        <v>Hudgin_9436_NM-Tax Services-ANN-1040 - Personal_Mid</v>
      </c>
    </row>
    <row r="317" spans="1:39" x14ac:dyDescent="0.25">
      <c r="A317" s="2" t="s">
        <v>623</v>
      </c>
      <c r="B317" s="2" t="s">
        <v>624</v>
      </c>
      <c r="C317" s="2" t="s">
        <v>1196</v>
      </c>
      <c r="D317" s="8">
        <v>43831</v>
      </c>
      <c r="E317" s="5" t="str">
        <f t="shared" si="53"/>
        <v>Hursman, Aaron_01-01-20</v>
      </c>
      <c r="F317" s="2" t="s">
        <v>1203</v>
      </c>
      <c r="G317" s="2" t="s">
        <v>1241</v>
      </c>
      <c r="H317" s="2" t="s">
        <v>1220</v>
      </c>
      <c r="I317" s="2" t="s">
        <v>1221</v>
      </c>
      <c r="J317" s="2" t="s">
        <v>1234</v>
      </c>
      <c r="M317" s="5" t="str">
        <f t="shared" si="44"/>
        <v>Mid</v>
      </c>
      <c r="N317" s="5" t="str">
        <f t="shared" si="45"/>
        <v>Tax-Staff-Mid</v>
      </c>
      <c r="O317" s="5" t="str">
        <f t="shared" si="46"/>
        <v>Tax-Reviewer-Mid</v>
      </c>
      <c r="P317" s="5" t="str">
        <f t="shared" si="47"/>
        <v>Tax-Signer-Mid</v>
      </c>
      <c r="Q317" s="6">
        <v>2.7401969696969677</v>
      </c>
      <c r="R317" s="6">
        <v>0.5480393939393936</v>
      </c>
      <c r="S317" s="6">
        <v>0.2740196969696968</v>
      </c>
      <c r="T317" s="7">
        <f t="shared" si="54"/>
        <v>3.562256060606058</v>
      </c>
      <c r="U317" s="6" t="e">
        <f>SUMIFS([1]Sheet1!$L:$L,[1]Sheet1!$I:$I,AJ317,[1]Sheet1!$C:$C,A317)</f>
        <v>#VALUE!</v>
      </c>
      <c r="V317" s="6"/>
      <c r="W317" s="6"/>
      <c r="X317" s="7" t="e">
        <f t="shared" si="48"/>
        <v>#VALUE!</v>
      </c>
      <c r="Y317" s="6"/>
      <c r="AJ317" s="5" t="str">
        <f t="shared" si="49"/>
        <v>NM 1040 - Personal</v>
      </c>
      <c r="AK317" s="5" t="str">
        <f t="shared" si="50"/>
        <v>NM-Tax Services-ANN-1040 - Personal_Mid</v>
      </c>
      <c r="AL317" s="5" t="str">
        <f t="shared" si="51"/>
        <v>Hursma_9337_NM 1040 - Personal</v>
      </c>
      <c r="AM317" s="5" t="str">
        <f t="shared" si="52"/>
        <v>Hursma_9337_NM-Tax Services-ANN-1040 - Personal_Mid</v>
      </c>
    </row>
    <row r="318" spans="1:39" x14ac:dyDescent="0.25">
      <c r="A318" s="2" t="s">
        <v>259</v>
      </c>
      <c r="B318" s="2" t="s">
        <v>260</v>
      </c>
      <c r="C318" s="2" t="s">
        <v>1196</v>
      </c>
      <c r="D318" s="8">
        <v>43831</v>
      </c>
      <c r="E318" s="5" t="str">
        <f t="shared" si="53"/>
        <v>HWY 380 Pawn, Incorporated_01-01-20</v>
      </c>
      <c r="F318" s="2" t="s">
        <v>1204</v>
      </c>
      <c r="G318" s="2" t="s">
        <v>1241</v>
      </c>
      <c r="H318" s="2" t="s">
        <v>1220</v>
      </c>
      <c r="I318" s="2" t="s">
        <v>1221</v>
      </c>
      <c r="J318" s="2" t="s">
        <v>1234</v>
      </c>
      <c r="M318" s="5" t="str">
        <f t="shared" si="44"/>
        <v>Mid</v>
      </c>
      <c r="N318" s="5" t="str">
        <f t="shared" si="45"/>
        <v>Tax-Staff-Mid</v>
      </c>
      <c r="O318" s="5" t="str">
        <f t="shared" si="46"/>
        <v>Tax-Reviewer-Mid</v>
      </c>
      <c r="P318" s="5" t="str">
        <f t="shared" si="47"/>
        <v>Tax-Signer-Mid</v>
      </c>
      <c r="Q318" s="6">
        <v>2.7401969696969677</v>
      </c>
      <c r="R318" s="6">
        <v>0.5480393939393936</v>
      </c>
      <c r="S318" s="6">
        <v>0.2740196969696968</v>
      </c>
      <c r="T318" s="7">
        <f t="shared" si="54"/>
        <v>3.562256060606058</v>
      </c>
      <c r="U318" s="6" t="e">
        <f>SUMIFS([1]Sheet1!$L:$L,[1]Sheet1!$I:$I,AJ318,[1]Sheet1!$C:$C,A318)</f>
        <v>#VALUE!</v>
      </c>
      <c r="V318" s="6"/>
      <c r="W318" s="6"/>
      <c r="X318" s="7" t="e">
        <f t="shared" si="48"/>
        <v>#VALUE!</v>
      </c>
      <c r="Y318" s="6"/>
      <c r="AJ318" s="5" t="str">
        <f t="shared" si="49"/>
        <v>NM 1120S - S Corporation</v>
      </c>
      <c r="AK318" s="5" t="str">
        <f t="shared" si="50"/>
        <v>NM-Tax Services-ANN-1120S - S Corporation_Mid</v>
      </c>
      <c r="AL318" s="5" t="str">
        <f t="shared" si="51"/>
        <v>HWY 380 _1120S_75-2684003_NM 1120S - S Corporation</v>
      </c>
      <c r="AM318" s="5" t="str">
        <f t="shared" si="52"/>
        <v>HWY 380 _1120S_75-2684003_NM-Tax Services-ANN-1120S - S Corporation_Mid</v>
      </c>
    </row>
    <row r="319" spans="1:39" x14ac:dyDescent="0.25">
      <c r="A319" s="2" t="s">
        <v>996</v>
      </c>
      <c r="B319" s="2" t="s">
        <v>997</v>
      </c>
      <c r="C319" s="2" t="s">
        <v>1196</v>
      </c>
      <c r="D319" s="8">
        <v>43831</v>
      </c>
      <c r="E319" s="5" t="str">
        <f t="shared" si="53"/>
        <v>I Relax, LLC_01-01-20</v>
      </c>
      <c r="F319" s="2" t="s">
        <v>1200</v>
      </c>
      <c r="G319" s="2" t="s">
        <v>1241</v>
      </c>
      <c r="H319" s="2" t="s">
        <v>1220</v>
      </c>
      <c r="I319" s="2" t="s">
        <v>1223</v>
      </c>
      <c r="J319" s="2" t="s">
        <v>1234</v>
      </c>
      <c r="M319" s="5" t="str">
        <f t="shared" si="44"/>
        <v>Basic</v>
      </c>
      <c r="N319" s="5" t="str">
        <f t="shared" si="45"/>
        <v>Tax-Staff-Basic</v>
      </c>
      <c r="O319" s="5" t="str">
        <f t="shared" si="46"/>
        <v>Tax-Reviewer-Basic</v>
      </c>
      <c r="P319" s="5" t="str">
        <f t="shared" si="47"/>
        <v>Tax-Signer-Basic</v>
      </c>
      <c r="Q319" s="6">
        <v>0.5</v>
      </c>
      <c r="R319" s="6">
        <v>0.1</v>
      </c>
      <c r="S319" s="6">
        <v>0.05</v>
      </c>
      <c r="T319" s="7">
        <f t="shared" si="54"/>
        <v>0.65</v>
      </c>
      <c r="U319" s="6" t="e">
        <f>SUMIFS([1]Sheet1!$L:$L,[1]Sheet1!$I:$I,AJ319,[1]Sheet1!$C:$C,A319)</f>
        <v>#VALUE!</v>
      </c>
      <c r="V319" s="6"/>
      <c r="W319" s="6"/>
      <c r="X319" s="7" t="e">
        <f t="shared" si="48"/>
        <v>#VALUE!</v>
      </c>
      <c r="Y319" s="6"/>
      <c r="AJ319" s="5" t="str">
        <f t="shared" si="49"/>
        <v>NM Texas Franchise Tax Return</v>
      </c>
      <c r="AK319" s="5" t="str">
        <f t="shared" si="50"/>
        <v>NM-Tax Services-ANN-Texas Franchise Tax Return_Basic</v>
      </c>
      <c r="AL319" s="5" t="str">
        <f t="shared" si="51"/>
        <v>I Relax,_1040_1_NM Texas Franchise Tax Return</v>
      </c>
      <c r="AM319" s="5" t="str">
        <f t="shared" si="52"/>
        <v>I Relax,_1040_1_NM-Tax Services-ANN-Texas Franchise Tax Return_Basic</v>
      </c>
    </row>
    <row r="320" spans="1:39" x14ac:dyDescent="0.25">
      <c r="A320" s="2" t="s">
        <v>397</v>
      </c>
      <c r="B320" s="2" t="s">
        <v>398</v>
      </c>
      <c r="C320" s="2" t="s">
        <v>1196</v>
      </c>
      <c r="D320" s="8">
        <v>43831</v>
      </c>
      <c r="E320" s="5" t="str">
        <f t="shared" si="53"/>
        <v>IC Group, LP_01-01-20</v>
      </c>
      <c r="F320" s="2" t="s">
        <v>1200</v>
      </c>
      <c r="G320" s="2" t="s">
        <v>1241</v>
      </c>
      <c r="H320" s="2" t="s">
        <v>1220</v>
      </c>
      <c r="I320" s="2" t="s">
        <v>1223</v>
      </c>
      <c r="J320" s="2" t="s">
        <v>1234</v>
      </c>
      <c r="M320" s="5" t="str">
        <f t="shared" si="44"/>
        <v>Basic</v>
      </c>
      <c r="N320" s="5" t="str">
        <f t="shared" si="45"/>
        <v>Tax-Staff-Basic</v>
      </c>
      <c r="O320" s="5" t="str">
        <f t="shared" si="46"/>
        <v>Tax-Reviewer-Basic</v>
      </c>
      <c r="P320" s="5" t="str">
        <f t="shared" si="47"/>
        <v>Tax-Signer-Basic</v>
      </c>
      <c r="Q320" s="6">
        <v>0.5</v>
      </c>
      <c r="R320" s="6">
        <v>0.1</v>
      </c>
      <c r="S320" s="6">
        <v>0.05</v>
      </c>
      <c r="T320" s="7">
        <f t="shared" si="54"/>
        <v>0.65</v>
      </c>
      <c r="U320" s="6" t="e">
        <f>SUMIFS([1]Sheet1!$L:$L,[1]Sheet1!$I:$I,AJ320,[1]Sheet1!$C:$C,A320)</f>
        <v>#VALUE!</v>
      </c>
      <c r="V320" s="6"/>
      <c r="W320" s="6"/>
      <c r="X320" s="7" t="e">
        <f t="shared" si="48"/>
        <v>#VALUE!</v>
      </c>
      <c r="Y320" s="6"/>
      <c r="AJ320" s="5" t="str">
        <f t="shared" si="49"/>
        <v>NM Texas Franchise Tax Return</v>
      </c>
      <c r="AK320" s="5" t="str">
        <f t="shared" si="50"/>
        <v>NM-Tax Services-ANN-Texas Franchise Tax Return_Basic</v>
      </c>
      <c r="AL320" s="5" t="str">
        <f t="shared" si="51"/>
        <v>IC Group_1065_36-4898405_NM Texas Franchise Tax Return</v>
      </c>
      <c r="AM320" s="5" t="str">
        <f t="shared" si="52"/>
        <v>IC Group_1065_36-4898405_NM-Tax Services-ANN-Texas Franchise Tax Return_Basic</v>
      </c>
    </row>
    <row r="321" spans="1:39" x14ac:dyDescent="0.25">
      <c r="A321" s="2" t="s">
        <v>397</v>
      </c>
      <c r="B321" s="2" t="s">
        <v>398</v>
      </c>
      <c r="C321" s="2" t="s">
        <v>1197</v>
      </c>
      <c r="D321" s="8">
        <v>43831</v>
      </c>
      <c r="E321" s="5" t="str">
        <f t="shared" si="53"/>
        <v>IC Group, LP_01-01-20</v>
      </c>
      <c r="F321" s="2" t="s">
        <v>1199</v>
      </c>
      <c r="G321" s="2" t="s">
        <v>1241</v>
      </c>
      <c r="H321" s="2" t="s">
        <v>1220</v>
      </c>
      <c r="I321" s="2" t="s">
        <v>1223</v>
      </c>
      <c r="J321" s="2" t="s">
        <v>1234</v>
      </c>
      <c r="M321" s="5" t="str">
        <f t="shared" si="44"/>
        <v>Basic</v>
      </c>
      <c r="N321" s="5" t="str">
        <f t="shared" si="45"/>
        <v>Tax-Staff-Basic</v>
      </c>
      <c r="O321" s="5" t="str">
        <f t="shared" si="46"/>
        <v>Tax-Reviewer-Basic</v>
      </c>
      <c r="P321" s="5" t="str">
        <f t="shared" si="47"/>
        <v>Tax-Signer-Basic</v>
      </c>
      <c r="Q321" s="6">
        <v>1.4675000000000016</v>
      </c>
      <c r="R321" s="6">
        <v>0.29350000000000032</v>
      </c>
      <c r="S321" s="6">
        <v>0.14675000000000016</v>
      </c>
      <c r="T321" s="7">
        <f t="shared" si="54"/>
        <v>1.9077500000000021</v>
      </c>
      <c r="U321" s="6" t="e">
        <f>SUMIFS([1]Sheet1!$L:$L,[1]Sheet1!$I:$I,AJ321,[1]Sheet1!$C:$C,A321)</f>
        <v>#VALUE!</v>
      </c>
      <c r="V321" s="6"/>
      <c r="W321" s="6"/>
      <c r="X321" s="7" t="e">
        <f t="shared" si="48"/>
        <v>#VALUE!</v>
      </c>
      <c r="Y321" s="6"/>
      <c r="AJ321" s="5" t="str">
        <f t="shared" si="49"/>
        <v>MO 1065 - Partnership</v>
      </c>
      <c r="AK321" s="5" t="str">
        <f t="shared" si="50"/>
        <v>MO-Tax Services-ANN-1065 - Partnership_Basic</v>
      </c>
      <c r="AL321" s="5" t="str">
        <f t="shared" si="51"/>
        <v>IC Group_1065_36-4898405_MO 1065 - Partnership</v>
      </c>
      <c r="AM321" s="5" t="str">
        <f t="shared" si="52"/>
        <v>IC Group_1065_36-4898405_MO-Tax Services-ANN-1065 - Partnership_Basic</v>
      </c>
    </row>
    <row r="322" spans="1:39" x14ac:dyDescent="0.25">
      <c r="A322" s="2" t="s">
        <v>986</v>
      </c>
      <c r="B322" s="2" t="s">
        <v>987</v>
      </c>
      <c r="C322" s="2" t="s">
        <v>1196</v>
      </c>
      <c r="D322" s="8">
        <v>43831</v>
      </c>
      <c r="E322" s="5" t="str">
        <f t="shared" si="53"/>
        <v>IC Venues, LLC_01-01-20</v>
      </c>
      <c r="F322" s="2" t="s">
        <v>1200</v>
      </c>
      <c r="G322" s="2" t="s">
        <v>1241</v>
      </c>
      <c r="H322" s="2" t="s">
        <v>1220</v>
      </c>
      <c r="I322" s="2" t="s">
        <v>1223</v>
      </c>
      <c r="J322" s="2" t="s">
        <v>1234</v>
      </c>
      <c r="M322" s="5" t="str">
        <f t="shared" ref="M322:M385" si="55">I322</f>
        <v>Basic</v>
      </c>
      <c r="N322" s="5" t="str">
        <f t="shared" ref="N322:N385" si="56">$J322&amp;"-"&amp;"Staff"&amp;"-"&amp;$M322</f>
        <v>Tax-Staff-Basic</v>
      </c>
      <c r="O322" s="5" t="str">
        <f t="shared" ref="O322:O385" si="57">$J322&amp;"-"&amp;"Reviewer"&amp;"-"&amp;$M322</f>
        <v>Tax-Reviewer-Basic</v>
      </c>
      <c r="P322" s="5" t="str">
        <f t="shared" ref="P322:P385" si="58">$J322&amp;"-"&amp;"Signer"&amp;"-"&amp;$M322</f>
        <v>Tax-Signer-Basic</v>
      </c>
      <c r="Q322" s="6">
        <v>0.5</v>
      </c>
      <c r="R322" s="6">
        <v>0.1</v>
      </c>
      <c r="S322" s="6">
        <v>0.05</v>
      </c>
      <c r="T322" s="7">
        <f t="shared" si="54"/>
        <v>0.65</v>
      </c>
      <c r="U322" s="6" t="e">
        <f>SUMIFS([1]Sheet1!$L:$L,[1]Sheet1!$I:$I,AJ322,[1]Sheet1!$C:$C,A322)</f>
        <v>#VALUE!</v>
      </c>
      <c r="V322" s="6"/>
      <c r="W322" s="6"/>
      <c r="X322" s="7" t="e">
        <f t="shared" ref="X322:X385" si="59">SUM(U322:W322)</f>
        <v>#VALUE!</v>
      </c>
      <c r="Y322" s="6"/>
      <c r="AJ322" s="5" t="str">
        <f t="shared" ref="AJ322:AJ385" si="60">C322&amp;" "&amp;F322</f>
        <v>NM Texas Franchise Tax Return</v>
      </c>
      <c r="AK322" s="5" t="str">
        <f t="shared" ref="AK322:AK385" si="61">C322&amp;"-"&amp;G322&amp;"-"&amp;H322&amp;"-"&amp;F322&amp;"_"&amp;I322</f>
        <v>NM-Tax Services-ANN-Texas Franchise Tax Return_Basic</v>
      </c>
      <c r="AL322" s="5" t="str">
        <f t="shared" ref="AL322:AL385" si="62">A322&amp;"_"&amp;AJ322</f>
        <v>IC Venue_TX-FTR_36-4898405_NM Texas Franchise Tax Return</v>
      </c>
      <c r="AM322" s="5" t="str">
        <f t="shared" ref="AM322:AM385" si="63">A322&amp;"_"&amp;AK322</f>
        <v>IC Venue_TX-FTR_36-4898405_NM-Tax Services-ANN-Texas Franchise Tax Return_Basic</v>
      </c>
    </row>
    <row r="323" spans="1:39" x14ac:dyDescent="0.25">
      <c r="A323" s="2" t="s">
        <v>76</v>
      </c>
      <c r="B323" s="2" t="s">
        <v>77</v>
      </c>
      <c r="C323" s="2" t="s">
        <v>1197</v>
      </c>
      <c r="D323" s="8">
        <v>43831</v>
      </c>
      <c r="E323" s="5" t="str">
        <f t="shared" ref="E323:E386" si="64">B323&amp;"_"&amp;TEXT(D323,"DD-MM-YY")</f>
        <v>Ignite Synergy LLC_01-01-20</v>
      </c>
      <c r="F323" s="2" t="s">
        <v>1199</v>
      </c>
      <c r="G323" s="2" t="s">
        <v>1241</v>
      </c>
      <c r="H323" s="2" t="s">
        <v>1220</v>
      </c>
      <c r="I323" s="2" t="s">
        <v>1221</v>
      </c>
      <c r="J323" s="2" t="s">
        <v>1234</v>
      </c>
      <c r="M323" s="5" t="str">
        <f t="shared" si="55"/>
        <v>Mid</v>
      </c>
      <c r="N323" s="5" t="str">
        <f t="shared" si="56"/>
        <v>Tax-Staff-Mid</v>
      </c>
      <c r="O323" s="5" t="str">
        <f t="shared" si="57"/>
        <v>Tax-Reviewer-Mid</v>
      </c>
      <c r="P323" s="5" t="str">
        <f t="shared" si="58"/>
        <v>Tax-Signer-Mid</v>
      </c>
      <c r="Q323" s="6">
        <v>2.7401969696969677</v>
      </c>
      <c r="R323" s="6">
        <v>0.5480393939393936</v>
      </c>
      <c r="S323" s="6">
        <v>0.2740196969696968</v>
      </c>
      <c r="T323" s="7">
        <f t="shared" ref="T323:T386" si="65">SUM(Q323:S323)</f>
        <v>3.562256060606058</v>
      </c>
      <c r="U323" s="6" t="e">
        <f>SUMIFS([1]Sheet1!$L:$L,[1]Sheet1!$I:$I,AJ323,[1]Sheet1!$C:$C,A323)</f>
        <v>#VALUE!</v>
      </c>
      <c r="V323" s="6"/>
      <c r="W323" s="6"/>
      <c r="X323" s="7" t="e">
        <f t="shared" si="59"/>
        <v>#VALUE!</v>
      </c>
      <c r="Y323" s="6"/>
      <c r="AJ323" s="5" t="str">
        <f t="shared" si="60"/>
        <v>MO 1065 - Partnership</v>
      </c>
      <c r="AK323" s="5" t="str">
        <f t="shared" si="61"/>
        <v>MO-Tax Services-ANN-1065 - Partnership_Mid</v>
      </c>
      <c r="AL323" s="5" t="str">
        <f t="shared" si="62"/>
        <v>Ignite S_1065_1_MO 1065 - Partnership</v>
      </c>
      <c r="AM323" s="5" t="str">
        <f t="shared" si="63"/>
        <v>Ignite S_1065_1_MO-Tax Services-ANN-1065 - Partnership_Mid</v>
      </c>
    </row>
    <row r="324" spans="1:39" x14ac:dyDescent="0.25">
      <c r="A324" s="2" t="s">
        <v>76</v>
      </c>
      <c r="B324" s="2" t="s">
        <v>77</v>
      </c>
      <c r="C324" s="2" t="s">
        <v>1197</v>
      </c>
      <c r="D324" s="8">
        <v>43831</v>
      </c>
      <c r="E324" s="5" t="str">
        <f t="shared" si="64"/>
        <v>Ignite Synergy LLC_01-01-20</v>
      </c>
      <c r="F324" s="2" t="s">
        <v>1201</v>
      </c>
      <c r="G324" s="2" t="s">
        <v>1201</v>
      </c>
      <c r="H324" s="2" t="s">
        <v>1197</v>
      </c>
      <c r="I324" s="2" t="s">
        <v>1223</v>
      </c>
      <c r="J324" s="2" t="s">
        <v>1235</v>
      </c>
      <c r="M324" s="5" t="str">
        <f t="shared" si="55"/>
        <v>Basic</v>
      </c>
      <c r="N324" s="5" t="str">
        <f t="shared" si="56"/>
        <v>Accountant-Staff-Basic</v>
      </c>
      <c r="O324" s="5" t="str">
        <f t="shared" si="57"/>
        <v>Accountant-Reviewer-Basic</v>
      </c>
      <c r="P324" s="5" t="str">
        <f t="shared" si="58"/>
        <v>Accountant-Signer-Basic</v>
      </c>
      <c r="Q324" s="6">
        <v>1.47</v>
      </c>
      <c r="R324" s="6">
        <v>0.29399999999999998</v>
      </c>
      <c r="S324" s="6">
        <v>0.14699999999999999</v>
      </c>
      <c r="T324" s="7">
        <f t="shared" si="65"/>
        <v>1.911</v>
      </c>
      <c r="U324" s="6" t="e">
        <f>SUMIFS([1]Sheet1!$L:$L,[1]Sheet1!$I:$I,AJ324,[1]Sheet1!$C:$C,A324)</f>
        <v>#VALUE!</v>
      </c>
      <c r="V324" s="6"/>
      <c r="W324" s="6"/>
      <c r="X324" s="7" t="e">
        <f t="shared" si="59"/>
        <v>#VALUE!</v>
      </c>
      <c r="Y324" s="6"/>
      <c r="AJ324" s="5" t="str">
        <f t="shared" si="60"/>
        <v>MO Accounting Services</v>
      </c>
      <c r="AK324" s="5" t="str">
        <f t="shared" si="61"/>
        <v>MO-Accounting Services-MO-Accounting Services_Basic</v>
      </c>
      <c r="AL324" s="5" t="str">
        <f t="shared" si="62"/>
        <v>Ignite S_1065_1_MO Accounting Services</v>
      </c>
      <c r="AM324" s="5" t="str">
        <f t="shared" si="63"/>
        <v>Ignite S_1065_1_MO-Accounting Services-MO-Accounting Services_Basic</v>
      </c>
    </row>
    <row r="325" spans="1:39" x14ac:dyDescent="0.25">
      <c r="A325" s="2" t="s">
        <v>76</v>
      </c>
      <c r="B325" s="2" t="s">
        <v>77</v>
      </c>
      <c r="C325" s="2" t="s">
        <v>1197</v>
      </c>
      <c r="D325" s="8">
        <v>43831</v>
      </c>
      <c r="E325" s="5" t="str">
        <f t="shared" si="64"/>
        <v>Ignite Synergy LLC_01-01-20</v>
      </c>
      <c r="F325" s="2" t="s">
        <v>1200</v>
      </c>
      <c r="G325" s="2" t="s">
        <v>1241</v>
      </c>
      <c r="H325" s="2" t="s">
        <v>1220</v>
      </c>
      <c r="I325" s="2" t="s">
        <v>1223</v>
      </c>
      <c r="J325" s="2" t="s">
        <v>1234</v>
      </c>
      <c r="M325" s="5" t="str">
        <f t="shared" si="55"/>
        <v>Basic</v>
      </c>
      <c r="N325" s="5" t="str">
        <f t="shared" si="56"/>
        <v>Tax-Staff-Basic</v>
      </c>
      <c r="O325" s="5" t="str">
        <f t="shared" si="57"/>
        <v>Tax-Reviewer-Basic</v>
      </c>
      <c r="P325" s="5" t="str">
        <f t="shared" si="58"/>
        <v>Tax-Signer-Basic</v>
      </c>
      <c r="Q325" s="6">
        <v>0.5</v>
      </c>
      <c r="R325" s="6">
        <v>0.1</v>
      </c>
      <c r="S325" s="6">
        <v>0.05</v>
      </c>
      <c r="T325" s="7">
        <f t="shared" si="65"/>
        <v>0.65</v>
      </c>
      <c r="U325" s="6" t="e">
        <f>SUMIFS([1]Sheet1!$L:$L,[1]Sheet1!$I:$I,AJ325,[1]Sheet1!$C:$C,A325)</f>
        <v>#VALUE!</v>
      </c>
      <c r="V325" s="6"/>
      <c r="W325" s="6"/>
      <c r="X325" s="7" t="e">
        <f t="shared" si="59"/>
        <v>#VALUE!</v>
      </c>
      <c r="Y325" s="6"/>
      <c r="AJ325" s="5" t="str">
        <f t="shared" si="60"/>
        <v>MO Texas Franchise Tax Return</v>
      </c>
      <c r="AK325" s="5" t="str">
        <f t="shared" si="61"/>
        <v>MO-Tax Services-ANN-Texas Franchise Tax Return_Basic</v>
      </c>
      <c r="AL325" s="5" t="str">
        <f t="shared" si="62"/>
        <v>Ignite S_1065_1_MO Texas Franchise Tax Return</v>
      </c>
      <c r="AM325" s="5" t="str">
        <f t="shared" si="63"/>
        <v>Ignite S_1065_1_MO-Tax Services-ANN-Texas Franchise Tax Return_Basic</v>
      </c>
    </row>
    <row r="326" spans="1:39" x14ac:dyDescent="0.25">
      <c r="A326" s="2" t="s">
        <v>261</v>
      </c>
      <c r="B326" s="2" t="s">
        <v>262</v>
      </c>
      <c r="C326" s="2" t="s">
        <v>1196</v>
      </c>
      <c r="D326" s="8">
        <v>43831</v>
      </c>
      <c r="E326" s="5" t="str">
        <f t="shared" si="64"/>
        <v>IHH Inc (DBA Universal Capital_01-01-20</v>
      </c>
      <c r="F326" s="2" t="s">
        <v>1204</v>
      </c>
      <c r="G326" s="2" t="s">
        <v>1241</v>
      </c>
      <c r="H326" s="2" t="s">
        <v>1220</v>
      </c>
      <c r="I326" s="2" t="s">
        <v>1223</v>
      </c>
      <c r="J326" s="2" t="s">
        <v>1234</v>
      </c>
      <c r="M326" s="5" t="str">
        <f t="shared" si="55"/>
        <v>Basic</v>
      </c>
      <c r="N326" s="5" t="str">
        <f t="shared" si="56"/>
        <v>Tax-Staff-Basic</v>
      </c>
      <c r="O326" s="5" t="str">
        <f t="shared" si="57"/>
        <v>Tax-Reviewer-Basic</v>
      </c>
      <c r="P326" s="5" t="str">
        <f t="shared" si="58"/>
        <v>Tax-Signer-Basic</v>
      </c>
      <c r="Q326" s="6">
        <v>1.4675000000000016</v>
      </c>
      <c r="R326" s="6">
        <v>0.29350000000000032</v>
      </c>
      <c r="S326" s="6">
        <v>0.14675000000000016</v>
      </c>
      <c r="T326" s="7">
        <f t="shared" si="65"/>
        <v>1.9077500000000021</v>
      </c>
      <c r="U326" s="6" t="e">
        <f>SUMIFS([1]Sheet1!$L:$L,[1]Sheet1!$I:$I,AJ326,[1]Sheet1!$C:$C,A326)</f>
        <v>#VALUE!</v>
      </c>
      <c r="V326" s="6"/>
      <c r="W326" s="6"/>
      <c r="X326" s="7" t="e">
        <f t="shared" si="59"/>
        <v>#VALUE!</v>
      </c>
      <c r="Y326" s="6"/>
      <c r="AJ326" s="5" t="str">
        <f t="shared" si="60"/>
        <v>NM 1120S - S Corporation</v>
      </c>
      <c r="AK326" s="5" t="str">
        <f t="shared" si="61"/>
        <v>NM-Tax Services-ANN-1120S - S Corporation_Basic</v>
      </c>
      <c r="AL326" s="5" t="str">
        <f t="shared" si="62"/>
        <v>IHH Inc _1120S_75-2633248_NM 1120S - S Corporation</v>
      </c>
      <c r="AM326" s="5" t="str">
        <f t="shared" si="63"/>
        <v>IHH Inc _1120S_75-2633248_NM-Tax Services-ANN-1120S - S Corporation_Basic</v>
      </c>
    </row>
    <row r="327" spans="1:39" x14ac:dyDescent="0.25">
      <c r="A327" s="2" t="s">
        <v>78</v>
      </c>
      <c r="B327" s="2" t="s">
        <v>79</v>
      </c>
      <c r="C327" s="2" t="s">
        <v>1197</v>
      </c>
      <c r="D327" s="8">
        <v>43831</v>
      </c>
      <c r="E327" s="5" t="str">
        <f t="shared" si="64"/>
        <v>Integrity Custom_01-01-20</v>
      </c>
      <c r="F327" s="2" t="s">
        <v>1201</v>
      </c>
      <c r="G327" s="2" t="s">
        <v>1201</v>
      </c>
      <c r="H327" s="2" t="s">
        <v>1197</v>
      </c>
      <c r="I327" s="2" t="s">
        <v>1222</v>
      </c>
      <c r="J327" s="2" t="s">
        <v>1235</v>
      </c>
      <c r="M327" s="5" t="str">
        <f t="shared" si="55"/>
        <v>Adv</v>
      </c>
      <c r="N327" s="5" t="str">
        <f t="shared" si="56"/>
        <v>Accountant-Staff-Adv</v>
      </c>
      <c r="O327" s="5" t="str">
        <f t="shared" si="57"/>
        <v>Accountant-Reviewer-Adv</v>
      </c>
      <c r="P327" s="5" t="str">
        <f t="shared" si="58"/>
        <v>Accountant-Signer-Adv</v>
      </c>
      <c r="Q327" s="6">
        <v>1.47</v>
      </c>
      <c r="R327" s="6">
        <v>0.29399999999999998</v>
      </c>
      <c r="S327" s="6">
        <v>0.14699999999999999</v>
      </c>
      <c r="T327" s="7">
        <f t="shared" si="65"/>
        <v>1.911</v>
      </c>
      <c r="U327" s="6" t="e">
        <f>SUMIFS([1]Sheet1!$L:$L,[1]Sheet1!$I:$I,AJ327,[1]Sheet1!$C:$C,A327)</f>
        <v>#VALUE!</v>
      </c>
      <c r="V327" s="6"/>
      <c r="W327" s="6"/>
      <c r="X327" s="7" t="e">
        <f t="shared" si="59"/>
        <v>#VALUE!</v>
      </c>
      <c r="Y327" s="6"/>
      <c r="AJ327" s="5" t="str">
        <f t="shared" si="60"/>
        <v>MO Accounting Services</v>
      </c>
      <c r="AK327" s="5" t="str">
        <f t="shared" si="61"/>
        <v>MO-Accounting Services-MO-Accounting Services_Adv</v>
      </c>
      <c r="AL327" s="5" t="str">
        <f t="shared" si="62"/>
        <v>Integr_1_MO Accounting Services</v>
      </c>
      <c r="AM327" s="5" t="str">
        <f t="shared" si="63"/>
        <v>Integr_1_MO-Accounting Services-MO-Accounting Services_Adv</v>
      </c>
    </row>
    <row r="328" spans="1:39" x14ac:dyDescent="0.25">
      <c r="A328" s="2" t="s">
        <v>78</v>
      </c>
      <c r="B328" s="2" t="s">
        <v>79</v>
      </c>
      <c r="C328" s="2" t="s">
        <v>1197</v>
      </c>
      <c r="D328" s="8">
        <v>43831</v>
      </c>
      <c r="E328" s="5" t="str">
        <f t="shared" si="64"/>
        <v>Integrity Custom_01-01-20</v>
      </c>
      <c r="F328" s="2" t="s">
        <v>1202</v>
      </c>
      <c r="G328" s="2" t="s">
        <v>1201</v>
      </c>
      <c r="H328" s="2" t="s">
        <v>1197</v>
      </c>
      <c r="I328" s="2" t="s">
        <v>1221</v>
      </c>
      <c r="J328" s="2" t="s">
        <v>1235</v>
      </c>
      <c r="M328" s="5" t="str">
        <f t="shared" si="55"/>
        <v>Mid</v>
      </c>
      <c r="N328" s="5" t="str">
        <f t="shared" si="56"/>
        <v>Accountant-Staff-Mid</v>
      </c>
      <c r="O328" s="5" t="str">
        <f t="shared" si="57"/>
        <v>Accountant-Reviewer-Mid</v>
      </c>
      <c r="P328" s="5" t="str">
        <f t="shared" si="58"/>
        <v>Accountant-Signer-Mid</v>
      </c>
      <c r="Q328" s="6">
        <v>1</v>
      </c>
      <c r="R328" s="6">
        <v>0.2</v>
      </c>
      <c r="S328" s="6">
        <v>0.1</v>
      </c>
      <c r="T328" s="7">
        <f t="shared" si="65"/>
        <v>1.3</v>
      </c>
      <c r="U328" s="6" t="e">
        <f>SUMIFS([1]Sheet1!$L:$L,[1]Sheet1!$I:$I,AJ328,[1]Sheet1!$C:$C,A328)</f>
        <v>#VALUE!</v>
      </c>
      <c r="V328" s="6"/>
      <c r="W328" s="6"/>
      <c r="X328" s="7" t="e">
        <f t="shared" si="59"/>
        <v>#VALUE!</v>
      </c>
      <c r="Y328" s="6"/>
      <c r="AJ328" s="5" t="str">
        <f t="shared" si="60"/>
        <v>MO Sales Tax Services</v>
      </c>
      <c r="AK328" s="5" t="str">
        <f t="shared" si="61"/>
        <v>MO-Accounting Services-MO-Sales Tax Services_Mid</v>
      </c>
      <c r="AL328" s="5" t="str">
        <f t="shared" si="62"/>
        <v>Integr_1_MO Sales Tax Services</v>
      </c>
      <c r="AM328" s="5" t="str">
        <f t="shared" si="63"/>
        <v>Integr_1_MO-Accounting Services-MO-Sales Tax Services_Mid</v>
      </c>
    </row>
    <row r="329" spans="1:39" x14ac:dyDescent="0.25">
      <c r="A329" s="2" t="s">
        <v>1105</v>
      </c>
      <c r="B329" s="2" t="s">
        <v>1106</v>
      </c>
      <c r="C329" s="2" t="s">
        <v>1196</v>
      </c>
      <c r="D329" s="8">
        <v>43831</v>
      </c>
      <c r="E329" s="5" t="str">
        <f t="shared" si="64"/>
        <v>Integrity Appraisers of Texas, LLC_01-01-20</v>
      </c>
      <c r="F329" s="2" t="s">
        <v>1204</v>
      </c>
      <c r="G329" s="2" t="s">
        <v>1241</v>
      </c>
      <c r="H329" s="2" t="s">
        <v>1220</v>
      </c>
      <c r="I329" s="2" t="s">
        <v>1223</v>
      </c>
      <c r="J329" s="2" t="s">
        <v>1234</v>
      </c>
      <c r="M329" s="5" t="str">
        <f t="shared" si="55"/>
        <v>Basic</v>
      </c>
      <c r="N329" s="5" t="str">
        <f t="shared" si="56"/>
        <v>Tax-Staff-Basic</v>
      </c>
      <c r="O329" s="5" t="str">
        <f t="shared" si="57"/>
        <v>Tax-Reviewer-Basic</v>
      </c>
      <c r="P329" s="5" t="str">
        <f t="shared" si="58"/>
        <v>Tax-Signer-Basic</v>
      </c>
      <c r="Q329" s="6">
        <v>1.4675000000000016</v>
      </c>
      <c r="R329" s="6">
        <v>0.29350000000000032</v>
      </c>
      <c r="S329" s="6">
        <v>0.14675000000000016</v>
      </c>
      <c r="T329" s="7">
        <f t="shared" si="65"/>
        <v>1.9077500000000021</v>
      </c>
      <c r="U329" s="6" t="e">
        <f>SUMIFS([1]Sheet1!$L:$L,[1]Sheet1!$I:$I,AJ329,[1]Sheet1!$C:$C,A329)</f>
        <v>#VALUE!</v>
      </c>
      <c r="V329" s="6"/>
      <c r="W329" s="6"/>
      <c r="X329" s="7" t="e">
        <f t="shared" si="59"/>
        <v>#VALUE!</v>
      </c>
      <c r="Y329" s="6"/>
      <c r="AJ329" s="5" t="str">
        <f t="shared" si="60"/>
        <v>NM 1120S - S Corporation</v>
      </c>
      <c r="AK329" s="5" t="str">
        <f t="shared" si="61"/>
        <v>NM-Tax Services-ANN-1120S - S Corporation_Basic</v>
      </c>
      <c r="AL329" s="5" t="str">
        <f t="shared" si="62"/>
        <v>Integrit_1120S_11-3830498_NM 1120S - S Corporation</v>
      </c>
      <c r="AM329" s="5" t="str">
        <f t="shared" si="63"/>
        <v>Integrit_1120S_11-3830498_NM-Tax Services-ANN-1120S - S Corporation_Basic</v>
      </c>
    </row>
    <row r="330" spans="1:39" x14ac:dyDescent="0.25">
      <c r="A330" s="2" t="s">
        <v>1105</v>
      </c>
      <c r="B330" s="2" t="s">
        <v>1106</v>
      </c>
      <c r="C330" s="2" t="s">
        <v>1196</v>
      </c>
      <c r="D330" s="8">
        <v>43831</v>
      </c>
      <c r="E330" s="5" t="str">
        <f t="shared" si="64"/>
        <v>Integrity Appraisers of Texas, LLC_01-01-20</v>
      </c>
      <c r="F330" s="2" t="s">
        <v>1200</v>
      </c>
      <c r="G330" s="2" t="s">
        <v>1241</v>
      </c>
      <c r="H330" s="2" t="s">
        <v>1220</v>
      </c>
      <c r="I330" s="2" t="s">
        <v>1223</v>
      </c>
      <c r="J330" s="2" t="s">
        <v>1234</v>
      </c>
      <c r="M330" s="5" t="str">
        <f t="shared" si="55"/>
        <v>Basic</v>
      </c>
      <c r="N330" s="5" t="str">
        <f t="shared" si="56"/>
        <v>Tax-Staff-Basic</v>
      </c>
      <c r="O330" s="5" t="str">
        <f t="shared" si="57"/>
        <v>Tax-Reviewer-Basic</v>
      </c>
      <c r="P330" s="5" t="str">
        <f t="shared" si="58"/>
        <v>Tax-Signer-Basic</v>
      </c>
      <c r="Q330" s="6">
        <v>0.5</v>
      </c>
      <c r="R330" s="6">
        <v>0.1</v>
      </c>
      <c r="S330" s="6">
        <v>0.05</v>
      </c>
      <c r="T330" s="7">
        <f t="shared" si="65"/>
        <v>0.65</v>
      </c>
      <c r="U330" s="6" t="e">
        <f>SUMIFS([1]Sheet1!$L:$L,[1]Sheet1!$I:$I,AJ330,[1]Sheet1!$C:$C,A330)</f>
        <v>#VALUE!</v>
      </c>
      <c r="V330" s="6"/>
      <c r="W330" s="6"/>
      <c r="X330" s="7" t="e">
        <f t="shared" si="59"/>
        <v>#VALUE!</v>
      </c>
      <c r="Y330" s="6"/>
      <c r="AJ330" s="5" t="str">
        <f t="shared" si="60"/>
        <v>NM Texas Franchise Tax Return</v>
      </c>
      <c r="AK330" s="5" t="str">
        <f t="shared" si="61"/>
        <v>NM-Tax Services-ANN-Texas Franchise Tax Return_Basic</v>
      </c>
      <c r="AL330" s="5" t="str">
        <f t="shared" si="62"/>
        <v>Integrit_1120S_11-3830498_NM Texas Franchise Tax Return</v>
      </c>
      <c r="AM330" s="5" t="str">
        <f t="shared" si="63"/>
        <v>Integrit_1120S_11-3830498_NM-Tax Services-ANN-Texas Franchise Tax Return_Basic</v>
      </c>
    </row>
    <row r="331" spans="1:39" x14ac:dyDescent="0.25">
      <c r="A331" s="2" t="s">
        <v>309</v>
      </c>
      <c r="B331" s="2" t="s">
        <v>310</v>
      </c>
      <c r="C331" s="2" t="s">
        <v>1197</v>
      </c>
      <c r="D331" s="8">
        <v>43831</v>
      </c>
      <c r="E331" s="5" t="str">
        <f t="shared" si="64"/>
        <v>James Jenkins Agency_01-01-20</v>
      </c>
      <c r="F331" s="2" t="s">
        <v>1206</v>
      </c>
      <c r="G331" s="2" t="s">
        <v>1241</v>
      </c>
      <c r="H331" s="2" t="s">
        <v>1220</v>
      </c>
      <c r="I331" s="2" t="s">
        <v>1223</v>
      </c>
      <c r="J331" s="2" t="s">
        <v>1234</v>
      </c>
      <c r="M331" s="5" t="str">
        <f t="shared" si="55"/>
        <v>Basic</v>
      </c>
      <c r="N331" s="5" t="str">
        <f t="shared" si="56"/>
        <v>Tax-Staff-Basic</v>
      </c>
      <c r="O331" s="5" t="str">
        <f t="shared" si="57"/>
        <v>Tax-Reviewer-Basic</v>
      </c>
      <c r="P331" s="5" t="str">
        <f t="shared" si="58"/>
        <v>Tax-Signer-Basic</v>
      </c>
      <c r="Q331" s="6">
        <v>1.4675000000000016</v>
      </c>
      <c r="R331" s="6">
        <v>0.29350000000000032</v>
      </c>
      <c r="S331" s="6">
        <v>0.14675000000000016</v>
      </c>
      <c r="T331" s="7">
        <f t="shared" si="65"/>
        <v>1.9077500000000021</v>
      </c>
      <c r="U331" s="6" t="e">
        <f>SUMIFS([1]Sheet1!$L:$L,[1]Sheet1!$I:$I,AJ331,[1]Sheet1!$C:$C,A331)</f>
        <v>#VALUE!</v>
      </c>
      <c r="V331" s="6"/>
      <c r="W331" s="6"/>
      <c r="X331" s="7" t="e">
        <f t="shared" si="59"/>
        <v>#VALUE!</v>
      </c>
      <c r="Y331" s="6"/>
      <c r="AJ331" s="5" t="str">
        <f t="shared" si="60"/>
        <v>MO 1120 - C Corporation</v>
      </c>
      <c r="AK331" s="5" t="str">
        <f t="shared" si="61"/>
        <v>MO-Tax Services-ANN-1120 - C Corporation_Basic</v>
      </c>
      <c r="AL331" s="5" t="str">
        <f t="shared" si="62"/>
        <v>James Je_1120S_82-2587236_MO 1120 - C Corporation</v>
      </c>
      <c r="AM331" s="5" t="str">
        <f t="shared" si="63"/>
        <v>James Je_1120S_82-2587236_MO-Tax Services-ANN-1120 - C Corporation_Basic</v>
      </c>
    </row>
    <row r="332" spans="1:39" x14ac:dyDescent="0.25">
      <c r="A332" s="2" t="s">
        <v>1167</v>
      </c>
      <c r="B332" s="2" t="s">
        <v>1168</v>
      </c>
      <c r="C332" s="2" t="s">
        <v>1196</v>
      </c>
      <c r="D332" s="8">
        <v>43831</v>
      </c>
      <c r="E332" s="5" t="str">
        <f t="shared" si="64"/>
        <v>Jaroszuk, Tomasz_01-01-20</v>
      </c>
      <c r="F332" s="2" t="s">
        <v>1203</v>
      </c>
      <c r="G332" s="2" t="s">
        <v>1241</v>
      </c>
      <c r="H332" s="2" t="s">
        <v>1220</v>
      </c>
      <c r="I332" s="2" t="s">
        <v>1223</v>
      </c>
      <c r="J332" s="2" t="s">
        <v>1234</v>
      </c>
      <c r="M332" s="5" t="str">
        <f t="shared" si="55"/>
        <v>Basic</v>
      </c>
      <c r="N332" s="5" t="str">
        <f t="shared" si="56"/>
        <v>Tax-Staff-Basic</v>
      </c>
      <c r="O332" s="5" t="str">
        <f t="shared" si="57"/>
        <v>Tax-Reviewer-Basic</v>
      </c>
      <c r="P332" s="5" t="str">
        <f t="shared" si="58"/>
        <v>Tax-Signer-Basic</v>
      </c>
      <c r="Q332" s="6">
        <v>1.4675000000000016</v>
      </c>
      <c r="R332" s="6">
        <v>0.29350000000000032</v>
      </c>
      <c r="S332" s="6">
        <v>0.14675000000000016</v>
      </c>
      <c r="T332" s="7">
        <f t="shared" si="65"/>
        <v>1.9077500000000021</v>
      </c>
      <c r="U332" s="6" t="e">
        <f>SUMIFS([1]Sheet1!$L:$L,[1]Sheet1!$I:$I,AJ332,[1]Sheet1!$C:$C,A332)</f>
        <v>#VALUE!</v>
      </c>
      <c r="V332" s="6"/>
      <c r="W332" s="6"/>
      <c r="X332" s="7" t="e">
        <f t="shared" si="59"/>
        <v>#VALUE!</v>
      </c>
      <c r="Y332" s="6"/>
      <c r="AJ332" s="5" t="str">
        <f t="shared" si="60"/>
        <v>NM 1040 - Personal</v>
      </c>
      <c r="AK332" s="5" t="str">
        <f t="shared" si="61"/>
        <v>NM-Tax Services-ANN-1040 - Personal_Basic</v>
      </c>
      <c r="AL332" s="5" t="str">
        <f t="shared" si="62"/>
        <v>Jaroszuk_1040NR_ITIN_NM 1040 - Personal</v>
      </c>
      <c r="AM332" s="5" t="str">
        <f t="shared" si="63"/>
        <v>Jaroszuk_1040NR_ITIN_NM-Tax Services-ANN-1040 - Personal_Basic</v>
      </c>
    </row>
    <row r="333" spans="1:39" x14ac:dyDescent="0.25">
      <c r="A333" s="2" t="s">
        <v>802</v>
      </c>
      <c r="B333" s="2" t="s">
        <v>803</v>
      </c>
      <c r="C333" s="2" t="s">
        <v>1197</v>
      </c>
      <c r="D333" s="8">
        <v>43831</v>
      </c>
      <c r="E333" s="5" t="str">
        <f t="shared" si="64"/>
        <v>Jenkins, James_01-01-20</v>
      </c>
      <c r="F333" s="2" t="s">
        <v>1203</v>
      </c>
      <c r="G333" s="2" t="s">
        <v>1241</v>
      </c>
      <c r="H333" s="2" t="s">
        <v>1220</v>
      </c>
      <c r="I333" s="2" t="s">
        <v>1221</v>
      </c>
      <c r="J333" s="2" t="s">
        <v>1234</v>
      </c>
      <c r="M333" s="5" t="str">
        <f t="shared" si="55"/>
        <v>Mid</v>
      </c>
      <c r="N333" s="5" t="str">
        <f t="shared" si="56"/>
        <v>Tax-Staff-Mid</v>
      </c>
      <c r="O333" s="5" t="str">
        <f t="shared" si="57"/>
        <v>Tax-Reviewer-Mid</v>
      </c>
      <c r="P333" s="5" t="str">
        <f t="shared" si="58"/>
        <v>Tax-Signer-Mid</v>
      </c>
      <c r="Q333" s="6">
        <v>2.7401969696969677</v>
      </c>
      <c r="R333" s="6">
        <v>0.5480393939393936</v>
      </c>
      <c r="S333" s="6">
        <v>0.2740196969696968</v>
      </c>
      <c r="T333" s="7">
        <f t="shared" si="65"/>
        <v>3.562256060606058</v>
      </c>
      <c r="U333" s="6" t="e">
        <f>SUMIFS([1]Sheet1!$L:$L,[1]Sheet1!$I:$I,AJ333,[1]Sheet1!$C:$C,A333)</f>
        <v>#VALUE!</v>
      </c>
      <c r="V333" s="6"/>
      <c r="W333" s="6"/>
      <c r="X333" s="7" t="e">
        <f t="shared" si="59"/>
        <v>#VALUE!</v>
      </c>
      <c r="Y333" s="6"/>
      <c r="AJ333" s="5" t="str">
        <f t="shared" si="60"/>
        <v>MO 1040 - Personal</v>
      </c>
      <c r="AK333" s="5" t="str">
        <f t="shared" si="61"/>
        <v>MO-Tax Services-ANN-1040 - Personal_Mid</v>
      </c>
      <c r="AL333" s="5" t="str">
        <f t="shared" si="62"/>
        <v>Jenkin_7386_MO 1040 - Personal</v>
      </c>
      <c r="AM333" s="5" t="str">
        <f t="shared" si="63"/>
        <v>Jenkin_7386_MO-Tax Services-ANN-1040 - Personal_Mid</v>
      </c>
    </row>
    <row r="334" spans="1:39" x14ac:dyDescent="0.25">
      <c r="A334" s="2" t="s">
        <v>804</v>
      </c>
      <c r="B334" s="2" t="s">
        <v>805</v>
      </c>
      <c r="C334" s="2" t="s">
        <v>1197</v>
      </c>
      <c r="D334" s="8">
        <v>43831</v>
      </c>
      <c r="E334" s="5" t="str">
        <f t="shared" si="64"/>
        <v>Jennings, Erica_01-01-20</v>
      </c>
      <c r="F334" s="2" t="s">
        <v>1203</v>
      </c>
      <c r="G334" s="2" t="s">
        <v>1241</v>
      </c>
      <c r="H334" s="2" t="s">
        <v>1220</v>
      </c>
      <c r="I334" s="2" t="s">
        <v>1221</v>
      </c>
      <c r="J334" s="2" t="s">
        <v>1234</v>
      </c>
      <c r="M334" s="5" t="str">
        <f t="shared" si="55"/>
        <v>Mid</v>
      </c>
      <c r="N334" s="5" t="str">
        <f t="shared" si="56"/>
        <v>Tax-Staff-Mid</v>
      </c>
      <c r="O334" s="5" t="str">
        <f t="shared" si="57"/>
        <v>Tax-Reviewer-Mid</v>
      </c>
      <c r="P334" s="5" t="str">
        <f t="shared" si="58"/>
        <v>Tax-Signer-Mid</v>
      </c>
      <c r="Q334" s="6">
        <v>2.7401969696969677</v>
      </c>
      <c r="R334" s="6">
        <v>0.5480393939393936</v>
      </c>
      <c r="S334" s="6">
        <v>0.2740196969696968</v>
      </c>
      <c r="T334" s="7">
        <f t="shared" si="65"/>
        <v>3.562256060606058</v>
      </c>
      <c r="U334" s="6" t="e">
        <f>SUMIFS([1]Sheet1!$L:$L,[1]Sheet1!$I:$I,AJ334,[1]Sheet1!$C:$C,A334)</f>
        <v>#VALUE!</v>
      </c>
      <c r="V334" s="6"/>
      <c r="W334" s="6"/>
      <c r="X334" s="7" t="e">
        <f t="shared" si="59"/>
        <v>#VALUE!</v>
      </c>
      <c r="Y334" s="6"/>
      <c r="AJ334" s="5" t="str">
        <f t="shared" si="60"/>
        <v>MO 1040 - Personal</v>
      </c>
      <c r="AK334" s="5" t="str">
        <f t="shared" si="61"/>
        <v>MO-Tax Services-ANN-1040 - Personal_Mid</v>
      </c>
      <c r="AL334" s="5" t="str">
        <f t="shared" si="62"/>
        <v>Jennin_9368_MO 1040 - Personal</v>
      </c>
      <c r="AM334" s="5" t="str">
        <f t="shared" si="63"/>
        <v>Jennin_9368_MO-Tax Services-ANN-1040 - Personal_Mid</v>
      </c>
    </row>
    <row r="335" spans="1:39" x14ac:dyDescent="0.25">
      <c r="A335" s="2" t="s">
        <v>80</v>
      </c>
      <c r="B335" s="2" t="s">
        <v>81</v>
      </c>
      <c r="C335" s="2" t="s">
        <v>1197</v>
      </c>
      <c r="D335" s="8">
        <v>43831</v>
      </c>
      <c r="E335" s="5" t="str">
        <f t="shared" si="64"/>
        <v>Jennings Design_01-01-20</v>
      </c>
      <c r="F335" s="2" t="s">
        <v>1204</v>
      </c>
      <c r="G335" s="2" t="s">
        <v>1241</v>
      </c>
      <c r="H335" s="2" t="s">
        <v>1220</v>
      </c>
      <c r="I335" s="2" t="s">
        <v>1223</v>
      </c>
      <c r="J335" s="2" t="s">
        <v>1234</v>
      </c>
      <c r="M335" s="5" t="str">
        <f t="shared" si="55"/>
        <v>Basic</v>
      </c>
      <c r="N335" s="5" t="str">
        <f t="shared" si="56"/>
        <v>Tax-Staff-Basic</v>
      </c>
      <c r="O335" s="5" t="str">
        <f t="shared" si="57"/>
        <v>Tax-Reviewer-Basic</v>
      </c>
      <c r="P335" s="5" t="str">
        <f t="shared" si="58"/>
        <v>Tax-Signer-Basic</v>
      </c>
      <c r="Q335" s="6">
        <v>1.4675000000000016</v>
      </c>
      <c r="R335" s="6">
        <v>0.29350000000000032</v>
      </c>
      <c r="S335" s="6">
        <v>0.14675000000000016</v>
      </c>
      <c r="T335" s="7">
        <f t="shared" si="65"/>
        <v>1.9077500000000021</v>
      </c>
      <c r="U335" s="6" t="e">
        <f>SUMIFS([1]Sheet1!$L:$L,[1]Sheet1!$I:$I,AJ335,[1]Sheet1!$C:$C,A335)</f>
        <v>#VALUE!</v>
      </c>
      <c r="V335" s="6"/>
      <c r="W335" s="6"/>
      <c r="X335" s="7" t="e">
        <f t="shared" si="59"/>
        <v>#VALUE!</v>
      </c>
      <c r="Y335" s="6"/>
      <c r="AJ335" s="5" t="str">
        <f t="shared" si="60"/>
        <v>MO 1120S - S Corporation</v>
      </c>
      <c r="AK335" s="5" t="str">
        <f t="shared" si="61"/>
        <v>MO-Tax Services-ANN-1120S - S Corporation_Basic</v>
      </c>
      <c r="AL335" s="5" t="str">
        <f t="shared" si="62"/>
        <v>Jennings_1120S_46-1143777_MO 1120S - S Corporation</v>
      </c>
      <c r="AM335" s="5" t="str">
        <f t="shared" si="63"/>
        <v>Jennings_1120S_46-1143777_MO-Tax Services-ANN-1120S - S Corporation_Basic</v>
      </c>
    </row>
    <row r="336" spans="1:39" x14ac:dyDescent="0.25">
      <c r="A336" s="2" t="s">
        <v>80</v>
      </c>
      <c r="B336" s="2" t="s">
        <v>81</v>
      </c>
      <c r="C336" s="2" t="s">
        <v>1197</v>
      </c>
      <c r="D336" s="8">
        <v>43831</v>
      </c>
      <c r="E336" s="5" t="str">
        <f t="shared" si="64"/>
        <v>Jennings Design_01-01-20</v>
      </c>
      <c r="F336" s="2" t="s">
        <v>1201</v>
      </c>
      <c r="G336" s="2" t="s">
        <v>1201</v>
      </c>
      <c r="H336" s="2" t="s">
        <v>1197</v>
      </c>
      <c r="I336" s="2" t="s">
        <v>1223</v>
      </c>
      <c r="J336" s="2" t="s">
        <v>1235</v>
      </c>
      <c r="M336" s="5" t="str">
        <f t="shared" si="55"/>
        <v>Basic</v>
      </c>
      <c r="N336" s="5" t="str">
        <f t="shared" si="56"/>
        <v>Accountant-Staff-Basic</v>
      </c>
      <c r="O336" s="5" t="str">
        <f t="shared" si="57"/>
        <v>Accountant-Reviewer-Basic</v>
      </c>
      <c r="P336" s="5" t="str">
        <f t="shared" si="58"/>
        <v>Accountant-Signer-Basic</v>
      </c>
      <c r="Q336" s="6">
        <v>1.47</v>
      </c>
      <c r="R336" s="6">
        <v>0.29399999999999998</v>
      </c>
      <c r="S336" s="6">
        <v>0.14699999999999999</v>
      </c>
      <c r="T336" s="7">
        <f t="shared" si="65"/>
        <v>1.911</v>
      </c>
      <c r="U336" s="6" t="e">
        <f>SUMIFS([1]Sheet1!$L:$L,[1]Sheet1!$I:$I,AJ336,[1]Sheet1!$C:$C,A336)</f>
        <v>#VALUE!</v>
      </c>
      <c r="V336" s="6"/>
      <c r="W336" s="6"/>
      <c r="X336" s="7" t="e">
        <f t="shared" si="59"/>
        <v>#VALUE!</v>
      </c>
      <c r="Y336" s="6"/>
      <c r="AJ336" s="5" t="str">
        <f t="shared" si="60"/>
        <v>MO Accounting Services</v>
      </c>
      <c r="AK336" s="5" t="str">
        <f t="shared" si="61"/>
        <v>MO-Accounting Services-MO-Accounting Services_Basic</v>
      </c>
      <c r="AL336" s="5" t="str">
        <f t="shared" si="62"/>
        <v>Jennings_1120S_46-1143777_MO Accounting Services</v>
      </c>
      <c r="AM336" s="5" t="str">
        <f t="shared" si="63"/>
        <v>Jennings_1120S_46-1143777_MO-Accounting Services-MO-Accounting Services_Basic</v>
      </c>
    </row>
    <row r="337" spans="1:39" x14ac:dyDescent="0.25">
      <c r="A337" s="2" t="s">
        <v>80</v>
      </c>
      <c r="B337" s="2" t="s">
        <v>81</v>
      </c>
      <c r="C337" s="2" t="s">
        <v>1197</v>
      </c>
      <c r="D337" s="8">
        <v>43831</v>
      </c>
      <c r="E337" s="5" t="str">
        <f t="shared" si="64"/>
        <v>Jennings Design_01-01-20</v>
      </c>
      <c r="F337" s="2" t="s">
        <v>1200</v>
      </c>
      <c r="G337" s="2" t="s">
        <v>1241</v>
      </c>
      <c r="H337" s="2" t="s">
        <v>1220</v>
      </c>
      <c r="I337" s="2" t="s">
        <v>1223</v>
      </c>
      <c r="J337" s="2" t="s">
        <v>1234</v>
      </c>
      <c r="M337" s="5" t="str">
        <f t="shared" si="55"/>
        <v>Basic</v>
      </c>
      <c r="N337" s="5" t="str">
        <f t="shared" si="56"/>
        <v>Tax-Staff-Basic</v>
      </c>
      <c r="O337" s="5" t="str">
        <f t="shared" si="57"/>
        <v>Tax-Reviewer-Basic</v>
      </c>
      <c r="P337" s="5" t="str">
        <f t="shared" si="58"/>
        <v>Tax-Signer-Basic</v>
      </c>
      <c r="Q337" s="6">
        <v>0.5</v>
      </c>
      <c r="R337" s="6">
        <v>0.1</v>
      </c>
      <c r="S337" s="6">
        <v>0.05</v>
      </c>
      <c r="T337" s="7">
        <f t="shared" si="65"/>
        <v>0.65</v>
      </c>
      <c r="U337" s="6" t="e">
        <f>SUMIFS([1]Sheet1!$L:$L,[1]Sheet1!$I:$I,AJ337,[1]Sheet1!$C:$C,A337)</f>
        <v>#VALUE!</v>
      </c>
      <c r="V337" s="6"/>
      <c r="W337" s="6"/>
      <c r="X337" s="7" t="e">
        <f t="shared" si="59"/>
        <v>#VALUE!</v>
      </c>
      <c r="Y337" s="6"/>
      <c r="AJ337" s="5" t="str">
        <f t="shared" si="60"/>
        <v>MO Texas Franchise Tax Return</v>
      </c>
      <c r="AK337" s="5" t="str">
        <f t="shared" si="61"/>
        <v>MO-Tax Services-ANN-Texas Franchise Tax Return_Basic</v>
      </c>
      <c r="AL337" s="5" t="str">
        <f t="shared" si="62"/>
        <v>Jennings_1120S_46-1143777_MO Texas Franchise Tax Return</v>
      </c>
      <c r="AM337" s="5" t="str">
        <f t="shared" si="63"/>
        <v>Jennings_1120S_46-1143777_MO-Tax Services-ANN-Texas Franchise Tax Return_Basic</v>
      </c>
    </row>
    <row r="338" spans="1:39" x14ac:dyDescent="0.25">
      <c r="A338" s="2" t="s">
        <v>82</v>
      </c>
      <c r="B338" s="2" t="s">
        <v>83</v>
      </c>
      <c r="C338" s="2" t="s">
        <v>1197</v>
      </c>
      <c r="D338" s="8">
        <v>43831</v>
      </c>
      <c r="E338" s="5" t="str">
        <f t="shared" si="64"/>
        <v>Jessy Realty LLC_01-01-20</v>
      </c>
      <c r="F338" s="2" t="s">
        <v>1206</v>
      </c>
      <c r="G338" s="2" t="s">
        <v>1241</v>
      </c>
      <c r="H338" s="2" t="s">
        <v>1220</v>
      </c>
      <c r="I338" s="2" t="s">
        <v>1223</v>
      </c>
      <c r="J338" s="2" t="s">
        <v>1234</v>
      </c>
      <c r="M338" s="5" t="str">
        <f t="shared" si="55"/>
        <v>Basic</v>
      </c>
      <c r="N338" s="5" t="str">
        <f t="shared" si="56"/>
        <v>Tax-Staff-Basic</v>
      </c>
      <c r="O338" s="5" t="str">
        <f t="shared" si="57"/>
        <v>Tax-Reviewer-Basic</v>
      </c>
      <c r="P338" s="5" t="str">
        <f t="shared" si="58"/>
        <v>Tax-Signer-Basic</v>
      </c>
      <c r="Q338" s="6">
        <v>1.4675000000000016</v>
      </c>
      <c r="R338" s="6">
        <v>0.29350000000000032</v>
      </c>
      <c r="S338" s="6">
        <v>0.14675000000000016</v>
      </c>
      <c r="T338" s="7">
        <f t="shared" si="65"/>
        <v>1.9077500000000021</v>
      </c>
      <c r="U338" s="6" t="e">
        <f>SUMIFS([1]Sheet1!$L:$L,[1]Sheet1!$I:$I,AJ338,[1]Sheet1!$C:$C,A338)</f>
        <v>#VALUE!</v>
      </c>
      <c r="V338" s="6"/>
      <c r="W338" s="6"/>
      <c r="X338" s="7" t="e">
        <f t="shared" si="59"/>
        <v>#VALUE!</v>
      </c>
      <c r="Y338" s="6"/>
      <c r="AJ338" s="5" t="str">
        <f t="shared" si="60"/>
        <v>MO 1120 - C Corporation</v>
      </c>
      <c r="AK338" s="5" t="str">
        <f t="shared" si="61"/>
        <v>MO-Tax Services-ANN-1120 - C Corporation_Basic</v>
      </c>
      <c r="AL338" s="5" t="str">
        <f t="shared" si="62"/>
        <v>Jessy Re_1120S_82-4267426_MO 1120 - C Corporation</v>
      </c>
      <c r="AM338" s="5" t="str">
        <f t="shared" si="63"/>
        <v>Jessy Re_1120S_82-4267426_MO-Tax Services-ANN-1120 - C Corporation_Basic</v>
      </c>
    </row>
    <row r="339" spans="1:39" x14ac:dyDescent="0.25">
      <c r="A339" s="2" t="s">
        <v>82</v>
      </c>
      <c r="B339" s="2" t="s">
        <v>83</v>
      </c>
      <c r="C339" s="2" t="s">
        <v>1197</v>
      </c>
      <c r="D339" s="8">
        <v>43831</v>
      </c>
      <c r="E339" s="5" t="str">
        <f t="shared" si="64"/>
        <v>Jessy Realty LLC_01-01-20</v>
      </c>
      <c r="F339" s="2" t="s">
        <v>1201</v>
      </c>
      <c r="G339" s="2" t="s">
        <v>1201</v>
      </c>
      <c r="H339" s="2" t="s">
        <v>1197</v>
      </c>
      <c r="I339" s="2" t="s">
        <v>1223</v>
      </c>
      <c r="J339" s="2" t="s">
        <v>1235</v>
      </c>
      <c r="M339" s="5" t="str">
        <f t="shared" si="55"/>
        <v>Basic</v>
      </c>
      <c r="N339" s="5" t="str">
        <f t="shared" si="56"/>
        <v>Accountant-Staff-Basic</v>
      </c>
      <c r="O339" s="5" t="str">
        <f t="shared" si="57"/>
        <v>Accountant-Reviewer-Basic</v>
      </c>
      <c r="P339" s="5" t="str">
        <f t="shared" si="58"/>
        <v>Accountant-Signer-Basic</v>
      </c>
      <c r="Q339" s="6">
        <v>1.47</v>
      </c>
      <c r="R339" s="6">
        <v>0.29399999999999998</v>
      </c>
      <c r="S339" s="6">
        <v>0.14699999999999999</v>
      </c>
      <c r="T339" s="7">
        <f t="shared" si="65"/>
        <v>1.911</v>
      </c>
      <c r="U339" s="6" t="e">
        <f>SUMIFS([1]Sheet1!$L:$L,[1]Sheet1!$I:$I,AJ339,[1]Sheet1!$C:$C,A339)</f>
        <v>#VALUE!</v>
      </c>
      <c r="V339" s="6"/>
      <c r="W339" s="6"/>
      <c r="X339" s="7" t="e">
        <f t="shared" si="59"/>
        <v>#VALUE!</v>
      </c>
      <c r="Y339" s="6"/>
      <c r="AJ339" s="5" t="str">
        <f t="shared" si="60"/>
        <v>MO Accounting Services</v>
      </c>
      <c r="AK339" s="5" t="str">
        <f t="shared" si="61"/>
        <v>MO-Accounting Services-MO-Accounting Services_Basic</v>
      </c>
      <c r="AL339" s="5" t="str">
        <f t="shared" si="62"/>
        <v>Jessy Re_1120S_82-4267426_MO Accounting Services</v>
      </c>
      <c r="AM339" s="5" t="str">
        <f t="shared" si="63"/>
        <v>Jessy Re_1120S_82-4267426_MO-Accounting Services-MO-Accounting Services_Basic</v>
      </c>
    </row>
    <row r="340" spans="1:39" x14ac:dyDescent="0.25">
      <c r="A340" s="2" t="s">
        <v>84</v>
      </c>
      <c r="B340" s="2" t="s">
        <v>85</v>
      </c>
      <c r="C340" s="2" t="s">
        <v>1197</v>
      </c>
      <c r="D340" s="8">
        <v>43831</v>
      </c>
      <c r="E340" s="5" t="str">
        <f t="shared" si="64"/>
        <v>Jewell Realty_01-01-20</v>
      </c>
      <c r="F340" s="2" t="s">
        <v>1204</v>
      </c>
      <c r="G340" s="2" t="s">
        <v>1241</v>
      </c>
      <c r="H340" s="2" t="s">
        <v>1220</v>
      </c>
      <c r="I340" s="2" t="s">
        <v>1223</v>
      </c>
      <c r="J340" s="2" t="s">
        <v>1234</v>
      </c>
      <c r="M340" s="5" t="str">
        <f t="shared" si="55"/>
        <v>Basic</v>
      </c>
      <c r="N340" s="5" t="str">
        <f t="shared" si="56"/>
        <v>Tax-Staff-Basic</v>
      </c>
      <c r="O340" s="5" t="str">
        <f t="shared" si="57"/>
        <v>Tax-Reviewer-Basic</v>
      </c>
      <c r="P340" s="5" t="str">
        <f t="shared" si="58"/>
        <v>Tax-Signer-Basic</v>
      </c>
      <c r="Q340" s="6">
        <v>1.4675000000000016</v>
      </c>
      <c r="R340" s="6">
        <v>0.29350000000000032</v>
      </c>
      <c r="S340" s="6">
        <v>0.14675000000000016</v>
      </c>
      <c r="T340" s="7">
        <f t="shared" si="65"/>
        <v>1.9077500000000021</v>
      </c>
      <c r="U340" s="6" t="e">
        <f>SUMIFS([1]Sheet1!$L:$L,[1]Sheet1!$I:$I,AJ340,[1]Sheet1!$C:$C,A340)</f>
        <v>#VALUE!</v>
      </c>
      <c r="V340" s="6"/>
      <c r="W340" s="6"/>
      <c r="X340" s="7" t="e">
        <f t="shared" si="59"/>
        <v>#VALUE!</v>
      </c>
      <c r="Y340" s="6"/>
      <c r="AJ340" s="5" t="str">
        <f t="shared" si="60"/>
        <v>MO 1120S - S Corporation</v>
      </c>
      <c r="AK340" s="5" t="str">
        <f t="shared" si="61"/>
        <v>MO-Tax Services-ANN-1120S - S Corporation_Basic</v>
      </c>
      <c r="AL340" s="5" t="str">
        <f t="shared" si="62"/>
        <v>Jewell R_1120S_82-1296266_MO 1120S - S Corporation</v>
      </c>
      <c r="AM340" s="5" t="str">
        <f t="shared" si="63"/>
        <v>Jewell R_1120S_82-1296266_MO-Tax Services-ANN-1120S - S Corporation_Basic</v>
      </c>
    </row>
    <row r="341" spans="1:39" x14ac:dyDescent="0.25">
      <c r="A341" s="2" t="s">
        <v>84</v>
      </c>
      <c r="B341" s="2" t="s">
        <v>85</v>
      </c>
      <c r="C341" s="2" t="s">
        <v>1197</v>
      </c>
      <c r="D341" s="8">
        <v>43831</v>
      </c>
      <c r="E341" s="5" t="str">
        <f t="shared" si="64"/>
        <v>Jewell Realty_01-01-20</v>
      </c>
      <c r="F341" s="2" t="s">
        <v>1205</v>
      </c>
      <c r="G341" s="2" t="s">
        <v>1201</v>
      </c>
      <c r="H341" s="2" t="s">
        <v>1224</v>
      </c>
      <c r="I341" s="2" t="s">
        <v>1223</v>
      </c>
      <c r="J341" s="2" t="s">
        <v>1235</v>
      </c>
      <c r="M341" s="5" t="str">
        <f t="shared" si="55"/>
        <v>Basic</v>
      </c>
      <c r="N341" s="5" t="str">
        <f t="shared" si="56"/>
        <v>Accountant-Staff-Basic</v>
      </c>
      <c r="O341" s="5" t="str">
        <f t="shared" si="57"/>
        <v>Accountant-Reviewer-Basic</v>
      </c>
      <c r="P341" s="5" t="str">
        <f t="shared" si="58"/>
        <v>Accountant-Signer-Basic</v>
      </c>
      <c r="Q341" s="6">
        <v>0.5</v>
      </c>
      <c r="R341" s="6">
        <v>0.1</v>
      </c>
      <c r="S341" s="6">
        <v>0.05</v>
      </c>
      <c r="T341" s="7">
        <f t="shared" si="65"/>
        <v>0.65</v>
      </c>
      <c r="U341" s="6" t="e">
        <f>SUMIFS([1]Sheet1!$L:$L,[1]Sheet1!$I:$I,AJ341,[1]Sheet1!$C:$C,A341)</f>
        <v>#VALUE!</v>
      </c>
      <c r="V341" s="6"/>
      <c r="W341" s="6"/>
      <c r="X341" s="7" t="e">
        <f t="shared" si="59"/>
        <v>#VALUE!</v>
      </c>
      <c r="Y341" s="6"/>
      <c r="AJ341" s="5" t="str">
        <f t="shared" si="60"/>
        <v>MO Payroll Services</v>
      </c>
      <c r="AK341" s="5" t="str">
        <f t="shared" si="61"/>
        <v>MO-Accounting Services-QTR-Payroll Services_Basic</v>
      </c>
      <c r="AL341" s="5" t="str">
        <f t="shared" si="62"/>
        <v>Jewell R_1120S_82-1296266_MO Payroll Services</v>
      </c>
      <c r="AM341" s="5" t="str">
        <f t="shared" si="63"/>
        <v>Jewell R_1120S_82-1296266_MO-Accounting Services-QTR-Payroll Services_Basic</v>
      </c>
    </row>
    <row r="342" spans="1:39" x14ac:dyDescent="0.25">
      <c r="A342" s="2" t="s">
        <v>84</v>
      </c>
      <c r="B342" s="2" t="s">
        <v>85</v>
      </c>
      <c r="C342" s="2" t="s">
        <v>1197</v>
      </c>
      <c r="D342" s="8">
        <v>43831</v>
      </c>
      <c r="E342" s="5" t="str">
        <f t="shared" si="64"/>
        <v>Jewell Realty_01-01-20</v>
      </c>
      <c r="F342" s="2" t="s">
        <v>1200</v>
      </c>
      <c r="G342" s="2" t="s">
        <v>1241</v>
      </c>
      <c r="H342" s="2" t="s">
        <v>1220</v>
      </c>
      <c r="I342" s="2" t="s">
        <v>1223</v>
      </c>
      <c r="J342" s="2" t="s">
        <v>1234</v>
      </c>
      <c r="M342" s="5" t="str">
        <f t="shared" si="55"/>
        <v>Basic</v>
      </c>
      <c r="N342" s="5" t="str">
        <f t="shared" si="56"/>
        <v>Tax-Staff-Basic</v>
      </c>
      <c r="O342" s="5" t="str">
        <f t="shared" si="57"/>
        <v>Tax-Reviewer-Basic</v>
      </c>
      <c r="P342" s="5" t="str">
        <f t="shared" si="58"/>
        <v>Tax-Signer-Basic</v>
      </c>
      <c r="Q342" s="6">
        <v>0.5</v>
      </c>
      <c r="R342" s="6">
        <v>0.1</v>
      </c>
      <c r="S342" s="6">
        <v>0.05</v>
      </c>
      <c r="T342" s="7">
        <f t="shared" si="65"/>
        <v>0.65</v>
      </c>
      <c r="U342" s="6" t="e">
        <f>SUMIFS([1]Sheet1!$L:$L,[1]Sheet1!$I:$I,AJ342,[1]Sheet1!$C:$C,A342)</f>
        <v>#VALUE!</v>
      </c>
      <c r="V342" s="6"/>
      <c r="W342" s="6"/>
      <c r="X342" s="7" t="e">
        <f t="shared" si="59"/>
        <v>#VALUE!</v>
      </c>
      <c r="Y342" s="6"/>
      <c r="AJ342" s="5" t="str">
        <f t="shared" si="60"/>
        <v>MO Texas Franchise Tax Return</v>
      </c>
      <c r="AK342" s="5" t="str">
        <f t="shared" si="61"/>
        <v>MO-Tax Services-ANN-Texas Franchise Tax Return_Basic</v>
      </c>
      <c r="AL342" s="5" t="str">
        <f t="shared" si="62"/>
        <v>Jewell R_1120S_82-1296266_MO Texas Franchise Tax Return</v>
      </c>
      <c r="AM342" s="5" t="str">
        <f t="shared" si="63"/>
        <v>Jewell R_1120S_82-1296266_MO-Tax Services-ANN-Texas Franchise Tax Return_Basic</v>
      </c>
    </row>
    <row r="343" spans="1:39" x14ac:dyDescent="0.25">
      <c r="A343" s="2" t="s">
        <v>1002</v>
      </c>
      <c r="B343" s="2" t="s">
        <v>1003</v>
      </c>
      <c r="C343" s="2" t="s">
        <v>1197</v>
      </c>
      <c r="D343" s="8">
        <v>43831</v>
      </c>
      <c r="E343" s="5" t="str">
        <f t="shared" si="64"/>
        <v>JKC Tyler Holdings, LLC_01-01-20</v>
      </c>
      <c r="F343" s="2" t="s">
        <v>1200</v>
      </c>
      <c r="G343" s="2" t="s">
        <v>1241</v>
      </c>
      <c r="H343" s="2" t="s">
        <v>1220</v>
      </c>
      <c r="I343" s="2" t="s">
        <v>1223</v>
      </c>
      <c r="J343" s="2" t="s">
        <v>1234</v>
      </c>
      <c r="M343" s="5" t="str">
        <f t="shared" si="55"/>
        <v>Basic</v>
      </c>
      <c r="N343" s="5" t="str">
        <f t="shared" si="56"/>
        <v>Tax-Staff-Basic</v>
      </c>
      <c r="O343" s="5" t="str">
        <f t="shared" si="57"/>
        <v>Tax-Reviewer-Basic</v>
      </c>
      <c r="P343" s="5" t="str">
        <f t="shared" si="58"/>
        <v>Tax-Signer-Basic</v>
      </c>
      <c r="Q343" s="6">
        <v>0.5</v>
      </c>
      <c r="R343" s="6">
        <v>0.1</v>
      </c>
      <c r="S343" s="6">
        <v>0.05</v>
      </c>
      <c r="T343" s="7">
        <f t="shared" si="65"/>
        <v>0.65</v>
      </c>
      <c r="U343" s="6" t="e">
        <f>SUMIFS([1]Sheet1!$L:$L,[1]Sheet1!$I:$I,AJ343,[1]Sheet1!$C:$C,A343)</f>
        <v>#VALUE!</v>
      </c>
      <c r="V343" s="6"/>
      <c r="W343" s="6"/>
      <c r="X343" s="7" t="e">
        <f t="shared" si="59"/>
        <v>#VALUE!</v>
      </c>
      <c r="Y343" s="6"/>
      <c r="AJ343" s="5" t="str">
        <f t="shared" si="60"/>
        <v>MO Texas Franchise Tax Return</v>
      </c>
      <c r="AK343" s="5" t="str">
        <f t="shared" si="61"/>
        <v>MO-Tax Services-ANN-Texas Franchise Tax Return_Basic</v>
      </c>
      <c r="AL343" s="5" t="str">
        <f t="shared" si="62"/>
        <v>JKC Tyle_1040_83-1870298_MO Texas Franchise Tax Return</v>
      </c>
      <c r="AM343" s="5" t="str">
        <f t="shared" si="63"/>
        <v>JKC Tyle_1040_83-1870298_MO-Tax Services-ANN-Texas Franchise Tax Return_Basic</v>
      </c>
    </row>
    <row r="344" spans="1:39" x14ac:dyDescent="0.25">
      <c r="A344" s="2" t="s">
        <v>199</v>
      </c>
      <c r="B344" s="2" t="s">
        <v>200</v>
      </c>
      <c r="C344" s="2" t="s">
        <v>1196</v>
      </c>
      <c r="D344" s="8">
        <v>43831</v>
      </c>
      <c r="E344" s="5" t="str">
        <f t="shared" si="64"/>
        <v>Joe &amp; Jean Enterprises, Inc_01-01-20</v>
      </c>
      <c r="F344" s="2" t="s">
        <v>1206</v>
      </c>
      <c r="G344" s="2" t="s">
        <v>1241</v>
      </c>
      <c r="H344" s="2" t="s">
        <v>1220</v>
      </c>
      <c r="I344" s="2" t="s">
        <v>1223</v>
      </c>
      <c r="J344" s="2" t="s">
        <v>1234</v>
      </c>
      <c r="M344" s="5" t="str">
        <f t="shared" si="55"/>
        <v>Basic</v>
      </c>
      <c r="N344" s="5" t="str">
        <f t="shared" si="56"/>
        <v>Tax-Staff-Basic</v>
      </c>
      <c r="O344" s="5" t="str">
        <f t="shared" si="57"/>
        <v>Tax-Reviewer-Basic</v>
      </c>
      <c r="P344" s="5" t="str">
        <f t="shared" si="58"/>
        <v>Tax-Signer-Basic</v>
      </c>
      <c r="Q344" s="6">
        <v>1.4675000000000016</v>
      </c>
      <c r="R344" s="6">
        <v>0.29350000000000032</v>
      </c>
      <c r="S344" s="6">
        <v>0.14675000000000016</v>
      </c>
      <c r="T344" s="7">
        <f t="shared" si="65"/>
        <v>1.9077500000000021</v>
      </c>
      <c r="U344" s="6" t="e">
        <f>SUMIFS([1]Sheet1!$L:$L,[1]Sheet1!$I:$I,AJ344,[1]Sheet1!$C:$C,A344)</f>
        <v>#VALUE!</v>
      </c>
      <c r="V344" s="6"/>
      <c r="W344" s="6"/>
      <c r="X344" s="7" t="e">
        <f t="shared" si="59"/>
        <v>#VALUE!</v>
      </c>
      <c r="Y344" s="6"/>
      <c r="AJ344" s="5" t="str">
        <f t="shared" si="60"/>
        <v>NM 1120 - C Corporation</v>
      </c>
      <c r="AK344" s="5" t="str">
        <f t="shared" si="61"/>
        <v>NM-Tax Services-ANN-1120 - C Corporation_Basic</v>
      </c>
      <c r="AL344" s="5" t="str">
        <f t="shared" si="62"/>
        <v>Joe &amp; Je_1120C_83-0838504_NM 1120 - C Corporation</v>
      </c>
      <c r="AM344" s="5" t="str">
        <f t="shared" si="63"/>
        <v>Joe &amp; Je_1120C_83-0838504_NM-Tax Services-ANN-1120 - C Corporation_Basic</v>
      </c>
    </row>
    <row r="345" spans="1:39" x14ac:dyDescent="0.25">
      <c r="A345" s="2" t="s">
        <v>625</v>
      </c>
      <c r="B345" s="2" t="s">
        <v>1254</v>
      </c>
      <c r="C345" s="2" t="s">
        <v>1196</v>
      </c>
      <c r="D345" s="8">
        <v>43831</v>
      </c>
      <c r="E345" s="5" t="str">
        <f t="shared" si="64"/>
        <v>Johanson, Erik A. &amp; Janette B._01-01-20</v>
      </c>
      <c r="F345" s="2" t="s">
        <v>1203</v>
      </c>
      <c r="G345" s="2" t="s">
        <v>1241</v>
      </c>
      <c r="H345" s="2" t="s">
        <v>1220</v>
      </c>
      <c r="I345" s="2" t="s">
        <v>1221</v>
      </c>
      <c r="J345" s="2" t="s">
        <v>1234</v>
      </c>
      <c r="M345" s="5" t="str">
        <f t="shared" si="55"/>
        <v>Mid</v>
      </c>
      <c r="N345" s="5" t="str">
        <f t="shared" si="56"/>
        <v>Tax-Staff-Mid</v>
      </c>
      <c r="O345" s="5" t="str">
        <f t="shared" si="57"/>
        <v>Tax-Reviewer-Mid</v>
      </c>
      <c r="P345" s="5" t="str">
        <f t="shared" si="58"/>
        <v>Tax-Signer-Mid</v>
      </c>
      <c r="Q345" s="6">
        <v>2.7401969696969677</v>
      </c>
      <c r="R345" s="6">
        <v>0.5480393939393936</v>
      </c>
      <c r="S345" s="6">
        <v>0.2740196969696968</v>
      </c>
      <c r="T345" s="7">
        <f t="shared" si="65"/>
        <v>3.562256060606058</v>
      </c>
      <c r="U345" s="6" t="e">
        <f>SUMIFS([1]Sheet1!$L:$L,[1]Sheet1!$I:$I,AJ345,[1]Sheet1!$C:$C,A345)</f>
        <v>#VALUE!</v>
      </c>
      <c r="V345" s="6"/>
      <c r="W345" s="6"/>
      <c r="X345" s="7" t="e">
        <f t="shared" si="59"/>
        <v>#VALUE!</v>
      </c>
      <c r="Y345" s="6"/>
      <c r="AJ345" s="5" t="str">
        <f t="shared" si="60"/>
        <v>NM 1040 - Personal</v>
      </c>
      <c r="AK345" s="5" t="str">
        <f t="shared" si="61"/>
        <v>NM-Tax Services-ANN-1040 - Personal_Mid</v>
      </c>
      <c r="AL345" s="5" t="str">
        <f t="shared" si="62"/>
        <v>Johans_7165_NM 1040 - Personal</v>
      </c>
      <c r="AM345" s="5" t="str">
        <f t="shared" si="63"/>
        <v>Johans_7165_NM-Tax Services-ANN-1040 - Personal_Mid</v>
      </c>
    </row>
    <row r="346" spans="1:39" x14ac:dyDescent="0.25">
      <c r="A346" s="2" t="s">
        <v>626</v>
      </c>
      <c r="B346" s="2" t="s">
        <v>627</v>
      </c>
      <c r="C346" s="2" t="s">
        <v>1196</v>
      </c>
      <c r="D346" s="8">
        <v>43831</v>
      </c>
      <c r="E346" s="5" t="str">
        <f t="shared" si="64"/>
        <v>Johns, Tiffany_01-01-20</v>
      </c>
      <c r="F346" s="2" t="s">
        <v>1203</v>
      </c>
      <c r="G346" s="2" t="s">
        <v>1241</v>
      </c>
      <c r="H346" s="2" t="s">
        <v>1220</v>
      </c>
      <c r="I346" s="2" t="s">
        <v>1223</v>
      </c>
      <c r="J346" s="2" t="s">
        <v>1234</v>
      </c>
      <c r="M346" s="5" t="str">
        <f t="shared" si="55"/>
        <v>Basic</v>
      </c>
      <c r="N346" s="5" t="str">
        <f t="shared" si="56"/>
        <v>Tax-Staff-Basic</v>
      </c>
      <c r="O346" s="5" t="str">
        <f t="shared" si="57"/>
        <v>Tax-Reviewer-Basic</v>
      </c>
      <c r="P346" s="5" t="str">
        <f t="shared" si="58"/>
        <v>Tax-Signer-Basic</v>
      </c>
      <c r="Q346" s="6">
        <v>1.4675000000000016</v>
      </c>
      <c r="R346" s="6">
        <v>0.29350000000000032</v>
      </c>
      <c r="S346" s="6">
        <v>0.14675000000000016</v>
      </c>
      <c r="T346" s="7">
        <f t="shared" si="65"/>
        <v>1.9077500000000021</v>
      </c>
      <c r="U346" s="6" t="e">
        <f>SUMIFS([1]Sheet1!$L:$L,[1]Sheet1!$I:$I,AJ346,[1]Sheet1!$C:$C,A346)</f>
        <v>#VALUE!</v>
      </c>
      <c r="V346" s="6"/>
      <c r="W346" s="6"/>
      <c r="X346" s="7" t="e">
        <f t="shared" si="59"/>
        <v>#VALUE!</v>
      </c>
      <c r="Y346" s="6"/>
      <c r="AJ346" s="5" t="str">
        <f t="shared" si="60"/>
        <v>NM 1040 - Personal</v>
      </c>
      <c r="AK346" s="5" t="str">
        <f t="shared" si="61"/>
        <v>NM-Tax Services-ANN-1040 - Personal_Basic</v>
      </c>
      <c r="AL346" s="5" t="str">
        <f t="shared" si="62"/>
        <v>Johns,_0119_NM 1040 - Personal</v>
      </c>
      <c r="AM346" s="5" t="str">
        <f t="shared" si="63"/>
        <v>Johns,_0119_NM-Tax Services-ANN-1040 - Personal_Basic</v>
      </c>
    </row>
    <row r="347" spans="1:39" x14ac:dyDescent="0.25">
      <c r="A347" s="2" t="s">
        <v>806</v>
      </c>
      <c r="B347" s="2" t="s">
        <v>807</v>
      </c>
      <c r="C347" s="2" t="s">
        <v>1197</v>
      </c>
      <c r="D347" s="8">
        <v>43831</v>
      </c>
      <c r="E347" s="5" t="str">
        <f t="shared" si="64"/>
        <v>Johnson, Maxwell_01-01-20</v>
      </c>
      <c r="F347" s="2" t="s">
        <v>1203</v>
      </c>
      <c r="G347" s="2" t="s">
        <v>1241</v>
      </c>
      <c r="H347" s="2" t="s">
        <v>1220</v>
      </c>
      <c r="I347" s="2" t="s">
        <v>1223</v>
      </c>
      <c r="J347" s="2" t="s">
        <v>1234</v>
      </c>
      <c r="M347" s="5" t="str">
        <f t="shared" si="55"/>
        <v>Basic</v>
      </c>
      <c r="N347" s="5" t="str">
        <f t="shared" si="56"/>
        <v>Tax-Staff-Basic</v>
      </c>
      <c r="O347" s="5" t="str">
        <f t="shared" si="57"/>
        <v>Tax-Reviewer-Basic</v>
      </c>
      <c r="P347" s="5" t="str">
        <f t="shared" si="58"/>
        <v>Tax-Signer-Basic</v>
      </c>
      <c r="Q347" s="6">
        <v>1.4675000000000016</v>
      </c>
      <c r="R347" s="6">
        <v>0.29350000000000032</v>
      </c>
      <c r="S347" s="6">
        <v>0.14675000000000016</v>
      </c>
      <c r="T347" s="7">
        <f t="shared" si="65"/>
        <v>1.9077500000000021</v>
      </c>
      <c r="U347" s="6" t="e">
        <f>SUMIFS([1]Sheet1!$L:$L,[1]Sheet1!$I:$I,AJ347,[1]Sheet1!$C:$C,A347)</f>
        <v>#VALUE!</v>
      </c>
      <c r="V347" s="6"/>
      <c r="W347" s="6"/>
      <c r="X347" s="7" t="e">
        <f t="shared" si="59"/>
        <v>#VALUE!</v>
      </c>
      <c r="Y347" s="6"/>
      <c r="AJ347" s="5" t="str">
        <f t="shared" si="60"/>
        <v>MO 1040 - Personal</v>
      </c>
      <c r="AK347" s="5" t="str">
        <f t="shared" si="61"/>
        <v>MO-Tax Services-ANN-1040 - Personal_Basic</v>
      </c>
      <c r="AL347" s="5" t="str">
        <f t="shared" si="62"/>
        <v>Johnso_1496_MO 1040 - Personal</v>
      </c>
      <c r="AM347" s="5" t="str">
        <f t="shared" si="63"/>
        <v>Johnso_1496_MO-Tax Services-ANN-1040 - Personal_Basic</v>
      </c>
    </row>
    <row r="348" spans="1:39" x14ac:dyDescent="0.25">
      <c r="A348" s="2" t="s">
        <v>630</v>
      </c>
      <c r="B348" s="2" t="s">
        <v>631</v>
      </c>
      <c r="C348" s="2" t="s">
        <v>1196</v>
      </c>
      <c r="D348" s="8">
        <v>43831</v>
      </c>
      <c r="E348" s="5" t="str">
        <f t="shared" si="64"/>
        <v>Johnson, Luke M &amp; Sheena M_01-01-20</v>
      </c>
      <c r="F348" s="2" t="s">
        <v>1203</v>
      </c>
      <c r="G348" s="2" t="s">
        <v>1241</v>
      </c>
      <c r="H348" s="2" t="s">
        <v>1220</v>
      </c>
      <c r="I348" s="2" t="s">
        <v>1221</v>
      </c>
      <c r="J348" s="2" t="s">
        <v>1234</v>
      </c>
      <c r="M348" s="5" t="str">
        <f t="shared" si="55"/>
        <v>Mid</v>
      </c>
      <c r="N348" s="5" t="str">
        <f t="shared" si="56"/>
        <v>Tax-Staff-Mid</v>
      </c>
      <c r="O348" s="5" t="str">
        <f t="shared" si="57"/>
        <v>Tax-Reviewer-Mid</v>
      </c>
      <c r="P348" s="5" t="str">
        <f t="shared" si="58"/>
        <v>Tax-Signer-Mid</v>
      </c>
      <c r="Q348" s="6">
        <v>2.7401969696969677</v>
      </c>
      <c r="R348" s="6">
        <v>0.5480393939393936</v>
      </c>
      <c r="S348" s="6">
        <v>0.2740196969696968</v>
      </c>
      <c r="T348" s="7">
        <f t="shared" si="65"/>
        <v>3.562256060606058</v>
      </c>
      <c r="U348" s="6" t="e">
        <f>SUMIFS([1]Sheet1!$L:$L,[1]Sheet1!$I:$I,AJ348,[1]Sheet1!$C:$C,A348)</f>
        <v>#VALUE!</v>
      </c>
      <c r="V348" s="6"/>
      <c r="W348" s="6"/>
      <c r="X348" s="7" t="e">
        <f t="shared" si="59"/>
        <v>#VALUE!</v>
      </c>
      <c r="Y348" s="6"/>
      <c r="AJ348" s="5" t="str">
        <f t="shared" si="60"/>
        <v>NM 1040 - Personal</v>
      </c>
      <c r="AK348" s="5" t="str">
        <f t="shared" si="61"/>
        <v>NM-Tax Services-ANN-1040 - Personal_Mid</v>
      </c>
      <c r="AL348" s="5" t="str">
        <f t="shared" si="62"/>
        <v>Johnso_1516_NM 1040 - Personal</v>
      </c>
      <c r="AM348" s="5" t="str">
        <f t="shared" si="63"/>
        <v>Johnso_1516_NM-Tax Services-ANN-1040 - Personal_Mid</v>
      </c>
    </row>
    <row r="349" spans="1:39" x14ac:dyDescent="0.25">
      <c r="A349" s="2" t="s">
        <v>628</v>
      </c>
      <c r="B349" s="2" t="s">
        <v>629</v>
      </c>
      <c r="C349" s="2" t="s">
        <v>1196</v>
      </c>
      <c r="D349" s="8">
        <v>43831</v>
      </c>
      <c r="E349" s="5" t="str">
        <f t="shared" si="64"/>
        <v>Johnson, Julian_01-01-20</v>
      </c>
      <c r="F349" s="2" t="s">
        <v>1203</v>
      </c>
      <c r="G349" s="2" t="s">
        <v>1241</v>
      </c>
      <c r="H349" s="2" t="s">
        <v>1220</v>
      </c>
      <c r="I349" s="2" t="s">
        <v>1223</v>
      </c>
      <c r="J349" s="2" t="s">
        <v>1234</v>
      </c>
      <c r="M349" s="5" t="str">
        <f t="shared" si="55"/>
        <v>Basic</v>
      </c>
      <c r="N349" s="5" t="str">
        <f t="shared" si="56"/>
        <v>Tax-Staff-Basic</v>
      </c>
      <c r="O349" s="5" t="str">
        <f t="shared" si="57"/>
        <v>Tax-Reviewer-Basic</v>
      </c>
      <c r="P349" s="5" t="str">
        <f t="shared" si="58"/>
        <v>Tax-Signer-Basic</v>
      </c>
      <c r="Q349" s="6">
        <v>1.4675000000000016</v>
      </c>
      <c r="R349" s="6">
        <v>0.29350000000000032</v>
      </c>
      <c r="S349" s="6">
        <v>0.14675000000000016</v>
      </c>
      <c r="T349" s="7">
        <f t="shared" si="65"/>
        <v>1.9077500000000021</v>
      </c>
      <c r="U349" s="6" t="e">
        <f>SUMIFS([1]Sheet1!$L:$L,[1]Sheet1!$I:$I,AJ349,[1]Sheet1!$C:$C,A349)</f>
        <v>#VALUE!</v>
      </c>
      <c r="V349" s="6"/>
      <c r="W349" s="6"/>
      <c r="X349" s="7" t="e">
        <f t="shared" si="59"/>
        <v>#VALUE!</v>
      </c>
      <c r="Y349" s="6"/>
      <c r="AJ349" s="5" t="str">
        <f t="shared" si="60"/>
        <v>NM 1040 - Personal</v>
      </c>
      <c r="AK349" s="5" t="str">
        <f t="shared" si="61"/>
        <v>NM-Tax Services-ANN-1040 - Personal_Basic</v>
      </c>
      <c r="AL349" s="5" t="str">
        <f t="shared" si="62"/>
        <v>Johnso_3512_NM 1040 - Personal</v>
      </c>
      <c r="AM349" s="5" t="str">
        <f t="shared" si="63"/>
        <v>Johnso_3512_NM-Tax Services-ANN-1040 - Personal_Basic</v>
      </c>
    </row>
    <row r="350" spans="1:39" x14ac:dyDescent="0.25">
      <c r="A350" s="2" t="s">
        <v>808</v>
      </c>
      <c r="B350" s="2" t="s">
        <v>809</v>
      </c>
      <c r="C350" s="2" t="s">
        <v>1197</v>
      </c>
      <c r="D350" s="8">
        <v>43831</v>
      </c>
      <c r="E350" s="5" t="str">
        <f t="shared" si="64"/>
        <v>Jones, Keitric_01-01-20</v>
      </c>
      <c r="F350" s="2" t="s">
        <v>1203</v>
      </c>
      <c r="G350" s="2" t="s">
        <v>1241</v>
      </c>
      <c r="H350" s="2" t="s">
        <v>1220</v>
      </c>
      <c r="I350" s="2" t="s">
        <v>1221</v>
      </c>
      <c r="J350" s="2" t="s">
        <v>1234</v>
      </c>
      <c r="M350" s="5" t="str">
        <f t="shared" si="55"/>
        <v>Mid</v>
      </c>
      <c r="N350" s="5" t="str">
        <f t="shared" si="56"/>
        <v>Tax-Staff-Mid</v>
      </c>
      <c r="O350" s="5" t="str">
        <f t="shared" si="57"/>
        <v>Tax-Reviewer-Mid</v>
      </c>
      <c r="P350" s="5" t="str">
        <f t="shared" si="58"/>
        <v>Tax-Signer-Mid</v>
      </c>
      <c r="Q350" s="6">
        <v>2.7401969696969677</v>
      </c>
      <c r="R350" s="6">
        <v>0.5480393939393936</v>
      </c>
      <c r="S350" s="6">
        <v>0.2740196969696968</v>
      </c>
      <c r="T350" s="7">
        <f t="shared" si="65"/>
        <v>3.562256060606058</v>
      </c>
      <c r="U350" s="6" t="e">
        <f>SUMIFS([1]Sheet1!$L:$L,[1]Sheet1!$I:$I,AJ350,[1]Sheet1!$C:$C,A350)</f>
        <v>#VALUE!</v>
      </c>
      <c r="V350" s="6"/>
      <c r="W350" s="6"/>
      <c r="X350" s="7" t="e">
        <f t="shared" si="59"/>
        <v>#VALUE!</v>
      </c>
      <c r="Y350" s="6"/>
      <c r="AJ350" s="5" t="str">
        <f t="shared" si="60"/>
        <v>MO 1040 - Personal</v>
      </c>
      <c r="AK350" s="5" t="str">
        <f t="shared" si="61"/>
        <v>MO-Tax Services-ANN-1040 - Personal_Mid</v>
      </c>
      <c r="AL350" s="5" t="str">
        <f t="shared" si="62"/>
        <v>Jones,_0252_MO 1040 - Personal</v>
      </c>
      <c r="AM350" s="5" t="str">
        <f t="shared" si="63"/>
        <v>Jones,_0252_MO-Tax Services-ANN-1040 - Personal_Mid</v>
      </c>
    </row>
    <row r="351" spans="1:39" x14ac:dyDescent="0.25">
      <c r="A351" s="2" t="s">
        <v>632</v>
      </c>
      <c r="B351" s="2" t="s">
        <v>633</v>
      </c>
      <c r="C351" s="2" t="s">
        <v>1196</v>
      </c>
      <c r="D351" s="8">
        <v>43831</v>
      </c>
      <c r="E351" s="5" t="str">
        <f t="shared" si="64"/>
        <v>Jones, Channa_01-01-20</v>
      </c>
      <c r="F351" s="2" t="s">
        <v>1203</v>
      </c>
      <c r="G351" s="2" t="s">
        <v>1241</v>
      </c>
      <c r="H351" s="2" t="s">
        <v>1220</v>
      </c>
      <c r="I351" s="2" t="s">
        <v>1223</v>
      </c>
      <c r="J351" s="2" t="s">
        <v>1234</v>
      </c>
      <c r="M351" s="5" t="str">
        <f t="shared" si="55"/>
        <v>Basic</v>
      </c>
      <c r="N351" s="5" t="str">
        <f t="shared" si="56"/>
        <v>Tax-Staff-Basic</v>
      </c>
      <c r="O351" s="5" t="str">
        <f t="shared" si="57"/>
        <v>Tax-Reviewer-Basic</v>
      </c>
      <c r="P351" s="5" t="str">
        <f t="shared" si="58"/>
        <v>Tax-Signer-Basic</v>
      </c>
      <c r="Q351" s="6">
        <v>1.4675000000000016</v>
      </c>
      <c r="R351" s="6">
        <v>0.29350000000000032</v>
      </c>
      <c r="S351" s="6">
        <v>0.14675000000000016</v>
      </c>
      <c r="T351" s="7">
        <f t="shared" si="65"/>
        <v>1.9077500000000021</v>
      </c>
      <c r="U351" s="6" t="e">
        <f>SUMIFS([1]Sheet1!$L:$L,[1]Sheet1!$I:$I,AJ351,[1]Sheet1!$C:$C,A351)</f>
        <v>#VALUE!</v>
      </c>
      <c r="V351" s="6"/>
      <c r="W351" s="6"/>
      <c r="X351" s="7" t="e">
        <f t="shared" si="59"/>
        <v>#VALUE!</v>
      </c>
      <c r="Y351" s="6"/>
      <c r="AJ351" s="5" t="str">
        <f t="shared" si="60"/>
        <v>NM 1040 - Personal</v>
      </c>
      <c r="AK351" s="5" t="str">
        <f t="shared" si="61"/>
        <v>NM-Tax Services-ANN-1040 - Personal_Basic</v>
      </c>
      <c r="AL351" s="5" t="str">
        <f t="shared" si="62"/>
        <v>Jones,_4434_NM 1040 - Personal</v>
      </c>
      <c r="AM351" s="5" t="str">
        <f t="shared" si="63"/>
        <v>Jones,_4434_NM-Tax Services-ANN-1040 - Personal_Basic</v>
      </c>
    </row>
    <row r="352" spans="1:39" x14ac:dyDescent="0.25">
      <c r="A352" s="2" t="s">
        <v>88</v>
      </c>
      <c r="B352" s="2" t="s">
        <v>89</v>
      </c>
      <c r="C352" s="2" t="s">
        <v>1197</v>
      </c>
      <c r="D352" s="8">
        <v>43831</v>
      </c>
      <c r="E352" s="5" t="str">
        <f t="shared" si="64"/>
        <v>Jordan Development_01-01-20</v>
      </c>
      <c r="F352" s="2" t="s">
        <v>1204</v>
      </c>
      <c r="G352" s="2" t="s">
        <v>1241</v>
      </c>
      <c r="H352" s="2" t="s">
        <v>1220</v>
      </c>
      <c r="I352" s="2" t="s">
        <v>1223</v>
      </c>
      <c r="J352" s="2" t="s">
        <v>1234</v>
      </c>
      <c r="M352" s="5" t="str">
        <f t="shared" si="55"/>
        <v>Basic</v>
      </c>
      <c r="N352" s="5" t="str">
        <f t="shared" si="56"/>
        <v>Tax-Staff-Basic</v>
      </c>
      <c r="O352" s="5" t="str">
        <f t="shared" si="57"/>
        <v>Tax-Reviewer-Basic</v>
      </c>
      <c r="P352" s="5" t="str">
        <f t="shared" si="58"/>
        <v>Tax-Signer-Basic</v>
      </c>
      <c r="Q352" s="6">
        <v>1.4675000000000016</v>
      </c>
      <c r="R352" s="6">
        <v>0.29350000000000032</v>
      </c>
      <c r="S352" s="6">
        <v>0.14675000000000016</v>
      </c>
      <c r="T352" s="7">
        <f t="shared" si="65"/>
        <v>1.9077500000000021</v>
      </c>
      <c r="U352" s="6" t="e">
        <f>SUMIFS([1]Sheet1!$L:$L,[1]Sheet1!$I:$I,AJ352,[1]Sheet1!$C:$C,A352)</f>
        <v>#VALUE!</v>
      </c>
      <c r="V352" s="6"/>
      <c r="W352" s="6"/>
      <c r="X352" s="7" t="e">
        <f t="shared" si="59"/>
        <v>#VALUE!</v>
      </c>
      <c r="Y352" s="6"/>
      <c r="AJ352" s="5" t="str">
        <f t="shared" si="60"/>
        <v>MO 1120S - S Corporation</v>
      </c>
      <c r="AK352" s="5" t="str">
        <f t="shared" si="61"/>
        <v>MO-Tax Services-ANN-1120S - S Corporation_Basic</v>
      </c>
      <c r="AL352" s="5" t="str">
        <f t="shared" si="62"/>
        <v>Jordan D_1120S_75-2770808_MO 1120S - S Corporation</v>
      </c>
      <c r="AM352" s="5" t="str">
        <f t="shared" si="63"/>
        <v>Jordan D_1120S_75-2770808_MO-Tax Services-ANN-1120S - S Corporation_Basic</v>
      </c>
    </row>
    <row r="353" spans="1:39" x14ac:dyDescent="0.25">
      <c r="A353" s="2" t="s">
        <v>88</v>
      </c>
      <c r="B353" s="2" t="s">
        <v>89</v>
      </c>
      <c r="C353" s="2" t="s">
        <v>1197</v>
      </c>
      <c r="D353" s="8">
        <v>43831</v>
      </c>
      <c r="E353" s="5" t="str">
        <f t="shared" si="64"/>
        <v>Jordan Development_01-01-20</v>
      </c>
      <c r="F353" s="2" t="s">
        <v>1201</v>
      </c>
      <c r="G353" s="2" t="s">
        <v>1201</v>
      </c>
      <c r="H353" s="2" t="s">
        <v>1197</v>
      </c>
      <c r="I353" s="2" t="s">
        <v>1223</v>
      </c>
      <c r="J353" s="2" t="s">
        <v>1235</v>
      </c>
      <c r="M353" s="5" t="str">
        <f t="shared" si="55"/>
        <v>Basic</v>
      </c>
      <c r="N353" s="5" t="str">
        <f t="shared" si="56"/>
        <v>Accountant-Staff-Basic</v>
      </c>
      <c r="O353" s="5" t="str">
        <f t="shared" si="57"/>
        <v>Accountant-Reviewer-Basic</v>
      </c>
      <c r="P353" s="5" t="str">
        <f t="shared" si="58"/>
        <v>Accountant-Signer-Basic</v>
      </c>
      <c r="Q353" s="6">
        <v>1.47</v>
      </c>
      <c r="R353" s="6">
        <v>0.29399999999999998</v>
      </c>
      <c r="S353" s="6">
        <v>0.14699999999999999</v>
      </c>
      <c r="T353" s="7">
        <f t="shared" si="65"/>
        <v>1.911</v>
      </c>
      <c r="U353" s="6" t="e">
        <f>SUMIFS([1]Sheet1!$L:$L,[1]Sheet1!$I:$I,AJ353,[1]Sheet1!$C:$C,A353)</f>
        <v>#VALUE!</v>
      </c>
      <c r="V353" s="6"/>
      <c r="W353" s="6"/>
      <c r="X353" s="7" t="e">
        <f t="shared" si="59"/>
        <v>#VALUE!</v>
      </c>
      <c r="Y353" s="6"/>
      <c r="AJ353" s="5" t="str">
        <f t="shared" si="60"/>
        <v>MO Accounting Services</v>
      </c>
      <c r="AK353" s="5" t="str">
        <f t="shared" si="61"/>
        <v>MO-Accounting Services-MO-Accounting Services_Basic</v>
      </c>
      <c r="AL353" s="5" t="str">
        <f t="shared" si="62"/>
        <v>Jordan D_1120S_75-2770808_MO Accounting Services</v>
      </c>
      <c r="AM353" s="5" t="str">
        <f t="shared" si="63"/>
        <v>Jordan D_1120S_75-2770808_MO-Accounting Services-MO-Accounting Services_Basic</v>
      </c>
    </row>
    <row r="354" spans="1:39" x14ac:dyDescent="0.25">
      <c r="A354" s="2" t="s">
        <v>88</v>
      </c>
      <c r="B354" s="2" t="s">
        <v>89</v>
      </c>
      <c r="C354" s="2" t="s">
        <v>1197</v>
      </c>
      <c r="D354" s="8">
        <v>43831</v>
      </c>
      <c r="E354" s="5" t="str">
        <f t="shared" si="64"/>
        <v>Jordan Development_01-01-20</v>
      </c>
      <c r="F354" s="2" t="s">
        <v>1205</v>
      </c>
      <c r="G354" s="2" t="s">
        <v>1201</v>
      </c>
      <c r="H354" s="2" t="s">
        <v>1224</v>
      </c>
      <c r="I354" s="2" t="s">
        <v>1223</v>
      </c>
      <c r="J354" s="2" t="s">
        <v>1235</v>
      </c>
      <c r="M354" s="5" t="str">
        <f t="shared" si="55"/>
        <v>Basic</v>
      </c>
      <c r="N354" s="5" t="str">
        <f t="shared" si="56"/>
        <v>Accountant-Staff-Basic</v>
      </c>
      <c r="O354" s="5" t="str">
        <f t="shared" si="57"/>
        <v>Accountant-Reviewer-Basic</v>
      </c>
      <c r="P354" s="5" t="str">
        <f t="shared" si="58"/>
        <v>Accountant-Signer-Basic</v>
      </c>
      <c r="Q354" s="6">
        <v>0.5</v>
      </c>
      <c r="R354" s="6">
        <v>0.1</v>
      </c>
      <c r="S354" s="6">
        <v>0.05</v>
      </c>
      <c r="T354" s="7">
        <f t="shared" si="65"/>
        <v>0.65</v>
      </c>
      <c r="U354" s="6" t="e">
        <f>SUMIFS([1]Sheet1!$L:$L,[1]Sheet1!$I:$I,AJ354,[1]Sheet1!$C:$C,A354)</f>
        <v>#VALUE!</v>
      </c>
      <c r="V354" s="6"/>
      <c r="W354" s="6"/>
      <c r="X354" s="7" t="e">
        <f t="shared" si="59"/>
        <v>#VALUE!</v>
      </c>
      <c r="Y354" s="6"/>
      <c r="AJ354" s="5" t="str">
        <f t="shared" si="60"/>
        <v>MO Payroll Services</v>
      </c>
      <c r="AK354" s="5" t="str">
        <f t="shared" si="61"/>
        <v>MO-Accounting Services-QTR-Payroll Services_Basic</v>
      </c>
      <c r="AL354" s="5" t="str">
        <f t="shared" si="62"/>
        <v>Jordan D_1120S_75-2770808_MO Payroll Services</v>
      </c>
      <c r="AM354" s="5" t="str">
        <f t="shared" si="63"/>
        <v>Jordan D_1120S_75-2770808_MO-Accounting Services-QTR-Payroll Services_Basic</v>
      </c>
    </row>
    <row r="355" spans="1:39" x14ac:dyDescent="0.25">
      <c r="A355" s="2" t="s">
        <v>88</v>
      </c>
      <c r="B355" s="2" t="s">
        <v>89</v>
      </c>
      <c r="C355" s="2" t="s">
        <v>1197</v>
      </c>
      <c r="D355" s="8">
        <v>43831</v>
      </c>
      <c r="E355" s="5" t="str">
        <f t="shared" si="64"/>
        <v>Jordan Development_01-01-20</v>
      </c>
      <c r="F355" s="2" t="s">
        <v>1200</v>
      </c>
      <c r="G355" s="2" t="s">
        <v>1241</v>
      </c>
      <c r="H355" s="2" t="s">
        <v>1220</v>
      </c>
      <c r="I355" s="2" t="s">
        <v>1223</v>
      </c>
      <c r="J355" s="2" t="s">
        <v>1234</v>
      </c>
      <c r="M355" s="5" t="str">
        <f t="shared" si="55"/>
        <v>Basic</v>
      </c>
      <c r="N355" s="5" t="str">
        <f t="shared" si="56"/>
        <v>Tax-Staff-Basic</v>
      </c>
      <c r="O355" s="5" t="str">
        <f t="shared" si="57"/>
        <v>Tax-Reviewer-Basic</v>
      </c>
      <c r="P355" s="5" t="str">
        <f t="shared" si="58"/>
        <v>Tax-Signer-Basic</v>
      </c>
      <c r="Q355" s="6">
        <v>0.5</v>
      </c>
      <c r="R355" s="6">
        <v>0.1</v>
      </c>
      <c r="S355" s="6">
        <v>0.05</v>
      </c>
      <c r="T355" s="7">
        <f t="shared" si="65"/>
        <v>0.65</v>
      </c>
      <c r="U355" s="6" t="e">
        <f>SUMIFS([1]Sheet1!$L:$L,[1]Sheet1!$I:$I,AJ355,[1]Sheet1!$C:$C,A355)</f>
        <v>#VALUE!</v>
      </c>
      <c r="V355" s="6"/>
      <c r="W355" s="6"/>
      <c r="X355" s="7" t="e">
        <f t="shared" si="59"/>
        <v>#VALUE!</v>
      </c>
      <c r="Y355" s="6"/>
      <c r="AJ355" s="5" t="str">
        <f t="shared" si="60"/>
        <v>MO Texas Franchise Tax Return</v>
      </c>
      <c r="AK355" s="5" t="str">
        <f t="shared" si="61"/>
        <v>MO-Tax Services-ANN-Texas Franchise Tax Return_Basic</v>
      </c>
      <c r="AL355" s="5" t="str">
        <f t="shared" si="62"/>
        <v>Jordan D_1120S_75-2770808_MO Texas Franchise Tax Return</v>
      </c>
      <c r="AM355" s="5" t="str">
        <f t="shared" si="63"/>
        <v>Jordan D_1120S_75-2770808_MO-Tax Services-ANN-Texas Franchise Tax Return_Basic</v>
      </c>
    </row>
    <row r="356" spans="1:39" x14ac:dyDescent="0.25">
      <c r="A356" s="2" t="s">
        <v>810</v>
      </c>
      <c r="B356" s="2" t="s">
        <v>811</v>
      </c>
      <c r="C356" s="2" t="s">
        <v>1197</v>
      </c>
      <c r="D356" s="8">
        <v>43831</v>
      </c>
      <c r="E356" s="5" t="str">
        <f t="shared" si="64"/>
        <v>Jordan, Joseph_01-01-20</v>
      </c>
      <c r="F356" s="2" t="s">
        <v>1203</v>
      </c>
      <c r="G356" s="2" t="s">
        <v>1241</v>
      </c>
      <c r="H356" s="2" t="s">
        <v>1220</v>
      </c>
      <c r="I356" s="2" t="s">
        <v>1221</v>
      </c>
      <c r="J356" s="2" t="s">
        <v>1234</v>
      </c>
      <c r="M356" s="5" t="str">
        <f t="shared" si="55"/>
        <v>Mid</v>
      </c>
      <c r="N356" s="5" t="str">
        <f t="shared" si="56"/>
        <v>Tax-Staff-Mid</v>
      </c>
      <c r="O356" s="5" t="str">
        <f t="shared" si="57"/>
        <v>Tax-Reviewer-Mid</v>
      </c>
      <c r="P356" s="5" t="str">
        <f t="shared" si="58"/>
        <v>Tax-Signer-Mid</v>
      </c>
      <c r="Q356" s="6">
        <v>2.7401969696969677</v>
      </c>
      <c r="R356" s="6">
        <v>0.5480393939393936</v>
      </c>
      <c r="S356" s="6">
        <v>0.2740196969696968</v>
      </c>
      <c r="T356" s="7">
        <f t="shared" si="65"/>
        <v>3.562256060606058</v>
      </c>
      <c r="U356" s="6" t="e">
        <f>SUMIFS([1]Sheet1!$L:$L,[1]Sheet1!$I:$I,AJ356,[1]Sheet1!$C:$C,A356)</f>
        <v>#VALUE!</v>
      </c>
      <c r="V356" s="6"/>
      <c r="W356" s="6"/>
      <c r="X356" s="7" t="e">
        <f t="shared" si="59"/>
        <v>#VALUE!</v>
      </c>
      <c r="Y356" s="6"/>
      <c r="AJ356" s="5" t="str">
        <f t="shared" si="60"/>
        <v>MO 1040 - Personal</v>
      </c>
      <c r="AK356" s="5" t="str">
        <f t="shared" si="61"/>
        <v>MO-Tax Services-ANN-1040 - Personal_Mid</v>
      </c>
      <c r="AL356" s="5" t="str">
        <f t="shared" si="62"/>
        <v>Jordan_3082_MO 1040 - Personal</v>
      </c>
      <c r="AM356" s="5" t="str">
        <f t="shared" si="63"/>
        <v>Jordan_3082_MO-Tax Services-ANN-1040 - Personal_Mid</v>
      </c>
    </row>
    <row r="357" spans="1:39" x14ac:dyDescent="0.25">
      <c r="A357" s="2" t="s">
        <v>1073</v>
      </c>
      <c r="B357" s="2" t="s">
        <v>1074</v>
      </c>
      <c r="C357" s="2" t="s">
        <v>1196</v>
      </c>
      <c r="D357" s="8">
        <v>43831</v>
      </c>
      <c r="E357" s="5" t="str">
        <f t="shared" si="64"/>
        <v>Juan Ardila Isurance Agency, LLC_01-01-20</v>
      </c>
      <c r="F357" s="2" t="s">
        <v>1204</v>
      </c>
      <c r="G357" s="2" t="s">
        <v>1241</v>
      </c>
      <c r="H357" s="2" t="s">
        <v>1220</v>
      </c>
      <c r="I357" s="2" t="s">
        <v>1223</v>
      </c>
      <c r="J357" s="2" t="s">
        <v>1234</v>
      </c>
      <c r="M357" s="5" t="str">
        <f t="shared" si="55"/>
        <v>Basic</v>
      </c>
      <c r="N357" s="5" t="str">
        <f t="shared" si="56"/>
        <v>Tax-Staff-Basic</v>
      </c>
      <c r="O357" s="5" t="str">
        <f t="shared" si="57"/>
        <v>Tax-Reviewer-Basic</v>
      </c>
      <c r="P357" s="5" t="str">
        <f t="shared" si="58"/>
        <v>Tax-Signer-Basic</v>
      </c>
      <c r="Q357" s="6">
        <v>1.4675000000000016</v>
      </c>
      <c r="R357" s="6">
        <v>0.29350000000000032</v>
      </c>
      <c r="S357" s="6">
        <v>0.14675000000000016</v>
      </c>
      <c r="T357" s="7">
        <f t="shared" si="65"/>
        <v>1.9077500000000021</v>
      </c>
      <c r="U357" s="6" t="e">
        <f>SUMIFS([1]Sheet1!$L:$L,[1]Sheet1!$I:$I,AJ357,[1]Sheet1!$C:$C,A357)</f>
        <v>#VALUE!</v>
      </c>
      <c r="V357" s="6"/>
      <c r="W357" s="6"/>
      <c r="X357" s="7" t="e">
        <f t="shared" si="59"/>
        <v>#VALUE!</v>
      </c>
      <c r="Y357" s="6"/>
      <c r="AJ357" s="5" t="str">
        <f t="shared" si="60"/>
        <v>NM 1120S - S Corporation</v>
      </c>
      <c r="AK357" s="5" t="str">
        <f t="shared" si="61"/>
        <v>NM-Tax Services-ANN-1120S - S Corporation_Basic</v>
      </c>
      <c r="AL357" s="5" t="str">
        <f t="shared" si="62"/>
        <v>Juan Ard_1120S_810837682_NM 1120S - S Corporation</v>
      </c>
      <c r="AM357" s="5" t="str">
        <f t="shared" si="63"/>
        <v>Juan Ard_1120S_810837682_NM-Tax Services-ANN-1120S - S Corporation_Basic</v>
      </c>
    </row>
    <row r="358" spans="1:39" x14ac:dyDescent="0.25">
      <c r="A358" s="2" t="s">
        <v>369</v>
      </c>
      <c r="B358" s="2" t="s">
        <v>370</v>
      </c>
      <c r="C358" s="2" t="s">
        <v>1196</v>
      </c>
      <c r="D358" s="8">
        <v>43831</v>
      </c>
      <c r="E358" s="5" t="str">
        <f t="shared" si="64"/>
        <v>Juicy Bottoms, LLC_01-01-20</v>
      </c>
      <c r="F358" s="2" t="s">
        <v>1199</v>
      </c>
      <c r="G358" s="2" t="s">
        <v>1241</v>
      </c>
      <c r="H358" s="2" t="s">
        <v>1220</v>
      </c>
      <c r="I358" s="2" t="s">
        <v>1221</v>
      </c>
      <c r="J358" s="2" t="s">
        <v>1234</v>
      </c>
      <c r="M358" s="5" t="str">
        <f t="shared" si="55"/>
        <v>Mid</v>
      </c>
      <c r="N358" s="5" t="str">
        <f t="shared" si="56"/>
        <v>Tax-Staff-Mid</v>
      </c>
      <c r="O358" s="5" t="str">
        <f t="shared" si="57"/>
        <v>Tax-Reviewer-Mid</v>
      </c>
      <c r="P358" s="5" t="str">
        <f t="shared" si="58"/>
        <v>Tax-Signer-Mid</v>
      </c>
      <c r="Q358" s="6">
        <v>2.7401969696969677</v>
      </c>
      <c r="R358" s="6">
        <v>0.5480393939393936</v>
      </c>
      <c r="S358" s="6">
        <v>0.2740196969696968</v>
      </c>
      <c r="T358" s="7">
        <f t="shared" si="65"/>
        <v>3.562256060606058</v>
      </c>
      <c r="U358" s="6" t="e">
        <f>SUMIFS([1]Sheet1!$L:$L,[1]Sheet1!$I:$I,AJ358,[1]Sheet1!$C:$C,A358)</f>
        <v>#VALUE!</v>
      </c>
      <c r="V358" s="6"/>
      <c r="W358" s="6"/>
      <c r="X358" s="7" t="e">
        <f t="shared" si="59"/>
        <v>#VALUE!</v>
      </c>
      <c r="Y358" s="6"/>
      <c r="AJ358" s="5" t="str">
        <f t="shared" si="60"/>
        <v>NM 1065 - Partnership</v>
      </c>
      <c r="AK358" s="5" t="str">
        <f t="shared" si="61"/>
        <v>NM-Tax Services-ANN-1065 - Partnership_Mid</v>
      </c>
      <c r="AL358" s="5" t="str">
        <f t="shared" si="62"/>
        <v>Juicy Bo_1065_46-3696239_NM 1065 - Partnership</v>
      </c>
      <c r="AM358" s="5" t="str">
        <f t="shared" si="63"/>
        <v>Juicy Bo_1065_46-3696239_NM-Tax Services-ANN-1065 - Partnership_Mid</v>
      </c>
    </row>
    <row r="359" spans="1:39" x14ac:dyDescent="0.25">
      <c r="A359" s="2" t="s">
        <v>263</v>
      </c>
      <c r="B359" s="2" t="s">
        <v>264</v>
      </c>
      <c r="C359" s="2" t="s">
        <v>1196</v>
      </c>
      <c r="D359" s="8">
        <v>43831</v>
      </c>
      <c r="E359" s="5" t="str">
        <f t="shared" si="64"/>
        <v>K Todryk &amp; Associates_01-01-20</v>
      </c>
      <c r="F359" s="2" t="s">
        <v>1204</v>
      </c>
      <c r="G359" s="2" t="s">
        <v>1241</v>
      </c>
      <c r="H359" s="2" t="s">
        <v>1220</v>
      </c>
      <c r="I359" s="2" t="s">
        <v>1223</v>
      </c>
      <c r="J359" s="2" t="s">
        <v>1234</v>
      </c>
      <c r="M359" s="5" t="str">
        <f t="shared" si="55"/>
        <v>Basic</v>
      </c>
      <c r="N359" s="5" t="str">
        <f t="shared" si="56"/>
        <v>Tax-Staff-Basic</v>
      </c>
      <c r="O359" s="5" t="str">
        <f t="shared" si="57"/>
        <v>Tax-Reviewer-Basic</v>
      </c>
      <c r="P359" s="5" t="str">
        <f t="shared" si="58"/>
        <v>Tax-Signer-Basic</v>
      </c>
      <c r="Q359" s="6">
        <v>1.4675000000000016</v>
      </c>
      <c r="R359" s="6">
        <v>0.29350000000000032</v>
      </c>
      <c r="S359" s="6">
        <v>0.14675000000000016</v>
      </c>
      <c r="T359" s="7">
        <f t="shared" si="65"/>
        <v>1.9077500000000021</v>
      </c>
      <c r="U359" s="6" t="e">
        <f>SUMIFS([1]Sheet1!$L:$L,[1]Sheet1!$I:$I,AJ359,[1]Sheet1!$C:$C,A359)</f>
        <v>#VALUE!</v>
      </c>
      <c r="V359" s="6"/>
      <c r="W359" s="6"/>
      <c r="X359" s="7" t="e">
        <f t="shared" si="59"/>
        <v>#VALUE!</v>
      </c>
      <c r="Y359" s="6"/>
      <c r="AJ359" s="5" t="str">
        <f t="shared" si="60"/>
        <v>NM 1120S - S Corporation</v>
      </c>
      <c r="AK359" s="5" t="str">
        <f t="shared" si="61"/>
        <v>NM-Tax Services-ANN-1120S - S Corporation_Basic</v>
      </c>
      <c r="AL359" s="5" t="str">
        <f t="shared" si="62"/>
        <v>K Todryk_1120S_81-4541139_NM 1120S - S Corporation</v>
      </c>
      <c r="AM359" s="5" t="str">
        <f t="shared" si="63"/>
        <v>K Todryk_1120S_81-4541139_NM-Tax Services-ANN-1120S - S Corporation_Basic</v>
      </c>
    </row>
    <row r="360" spans="1:39" x14ac:dyDescent="0.25">
      <c r="A360" s="2" t="s">
        <v>263</v>
      </c>
      <c r="B360" s="2" t="s">
        <v>264</v>
      </c>
      <c r="C360" s="2" t="s">
        <v>1196</v>
      </c>
      <c r="D360" s="8">
        <v>43831</v>
      </c>
      <c r="E360" s="5" t="str">
        <f t="shared" si="64"/>
        <v>K Todryk &amp; Associates_01-01-20</v>
      </c>
      <c r="F360" s="2" t="s">
        <v>1200</v>
      </c>
      <c r="G360" s="2" t="s">
        <v>1241</v>
      </c>
      <c r="H360" s="2" t="s">
        <v>1220</v>
      </c>
      <c r="I360" s="2" t="s">
        <v>1223</v>
      </c>
      <c r="J360" s="2" t="s">
        <v>1234</v>
      </c>
      <c r="M360" s="5" t="str">
        <f t="shared" si="55"/>
        <v>Basic</v>
      </c>
      <c r="N360" s="5" t="str">
        <f t="shared" si="56"/>
        <v>Tax-Staff-Basic</v>
      </c>
      <c r="O360" s="5" t="str">
        <f t="shared" si="57"/>
        <v>Tax-Reviewer-Basic</v>
      </c>
      <c r="P360" s="5" t="str">
        <f t="shared" si="58"/>
        <v>Tax-Signer-Basic</v>
      </c>
      <c r="Q360" s="6">
        <v>0.5</v>
      </c>
      <c r="R360" s="6">
        <v>0.1</v>
      </c>
      <c r="S360" s="6">
        <v>0.05</v>
      </c>
      <c r="T360" s="7">
        <f t="shared" si="65"/>
        <v>0.65</v>
      </c>
      <c r="U360" s="6" t="e">
        <f>SUMIFS([1]Sheet1!$L:$L,[1]Sheet1!$I:$I,AJ360,[1]Sheet1!$C:$C,A360)</f>
        <v>#VALUE!</v>
      </c>
      <c r="V360" s="6"/>
      <c r="W360" s="6"/>
      <c r="X360" s="7" t="e">
        <f t="shared" si="59"/>
        <v>#VALUE!</v>
      </c>
      <c r="Y360" s="6"/>
      <c r="AJ360" s="5" t="str">
        <f t="shared" si="60"/>
        <v>NM Texas Franchise Tax Return</v>
      </c>
      <c r="AK360" s="5" t="str">
        <f t="shared" si="61"/>
        <v>NM-Tax Services-ANN-Texas Franchise Tax Return_Basic</v>
      </c>
      <c r="AL360" s="5" t="str">
        <f t="shared" si="62"/>
        <v>K Todryk_1120S_81-4541139_NM Texas Franchise Tax Return</v>
      </c>
      <c r="AM360" s="5" t="str">
        <f t="shared" si="63"/>
        <v>K Todryk_1120S_81-4541139_NM-Tax Services-ANN-Texas Franchise Tax Return_Basic</v>
      </c>
    </row>
    <row r="361" spans="1:39" x14ac:dyDescent="0.25">
      <c r="A361" s="2" t="s">
        <v>93</v>
      </c>
      <c r="B361" s="2" t="s">
        <v>94</v>
      </c>
      <c r="C361" s="2" t="s">
        <v>1197</v>
      </c>
      <c r="D361" s="8">
        <v>43831</v>
      </c>
      <c r="E361" s="5" t="str">
        <f t="shared" si="64"/>
        <v>K&amp;J Small Town Trucking, LLC_01-01-20</v>
      </c>
      <c r="F361" s="2" t="s">
        <v>1201</v>
      </c>
      <c r="G361" s="2" t="s">
        <v>1201</v>
      </c>
      <c r="H361" s="2" t="s">
        <v>1197</v>
      </c>
      <c r="I361" s="2" t="s">
        <v>1223</v>
      </c>
      <c r="J361" s="2" t="s">
        <v>1235</v>
      </c>
      <c r="M361" s="5" t="str">
        <f t="shared" si="55"/>
        <v>Basic</v>
      </c>
      <c r="N361" s="5" t="str">
        <f t="shared" si="56"/>
        <v>Accountant-Staff-Basic</v>
      </c>
      <c r="O361" s="5" t="str">
        <f t="shared" si="57"/>
        <v>Accountant-Reviewer-Basic</v>
      </c>
      <c r="P361" s="5" t="str">
        <f t="shared" si="58"/>
        <v>Accountant-Signer-Basic</v>
      </c>
      <c r="Q361" s="6">
        <v>1.47</v>
      </c>
      <c r="R361" s="6">
        <v>0.29399999999999998</v>
      </c>
      <c r="S361" s="6">
        <v>0.14699999999999999</v>
      </c>
      <c r="T361" s="7">
        <f t="shared" si="65"/>
        <v>1.911</v>
      </c>
      <c r="U361" s="6" t="e">
        <f>SUMIFS([1]Sheet1!$L:$L,[1]Sheet1!$I:$I,AJ361,[1]Sheet1!$C:$C,A361)</f>
        <v>#VALUE!</v>
      </c>
      <c r="V361" s="6"/>
      <c r="W361" s="6"/>
      <c r="X361" s="7" t="e">
        <f t="shared" si="59"/>
        <v>#VALUE!</v>
      </c>
      <c r="Y361" s="6"/>
      <c r="AJ361" s="5" t="str">
        <f t="shared" si="60"/>
        <v>MO Accounting Services</v>
      </c>
      <c r="AK361" s="5" t="str">
        <f t="shared" si="61"/>
        <v>MO-Accounting Services-MO-Accounting Services_Basic</v>
      </c>
      <c r="AL361" s="5" t="str">
        <f t="shared" si="62"/>
        <v>K&amp;J Smal_1065_81-3546614_MO Accounting Services</v>
      </c>
      <c r="AM361" s="5" t="str">
        <f t="shared" si="63"/>
        <v>K&amp;J Smal_1065_81-3546614_MO-Accounting Services-MO-Accounting Services_Basic</v>
      </c>
    </row>
    <row r="362" spans="1:39" x14ac:dyDescent="0.25">
      <c r="A362" s="2" t="s">
        <v>93</v>
      </c>
      <c r="B362" s="2" t="s">
        <v>94</v>
      </c>
      <c r="C362" s="2" t="s">
        <v>1196</v>
      </c>
      <c r="D362" s="8">
        <v>43831</v>
      </c>
      <c r="E362" s="5" t="str">
        <f t="shared" si="64"/>
        <v>K&amp;J Small Town Trucking, LLC_01-01-20</v>
      </c>
      <c r="F362" s="2" t="s">
        <v>1199</v>
      </c>
      <c r="G362" s="2" t="s">
        <v>1241</v>
      </c>
      <c r="H362" s="2" t="s">
        <v>1220</v>
      </c>
      <c r="I362" s="2" t="s">
        <v>1221</v>
      </c>
      <c r="J362" s="2" t="s">
        <v>1234</v>
      </c>
      <c r="M362" s="5" t="str">
        <f t="shared" si="55"/>
        <v>Mid</v>
      </c>
      <c r="N362" s="5" t="str">
        <f t="shared" si="56"/>
        <v>Tax-Staff-Mid</v>
      </c>
      <c r="O362" s="5" t="str">
        <f t="shared" si="57"/>
        <v>Tax-Reviewer-Mid</v>
      </c>
      <c r="P362" s="5" t="str">
        <f t="shared" si="58"/>
        <v>Tax-Signer-Mid</v>
      </c>
      <c r="Q362" s="6">
        <v>2.7401969696969677</v>
      </c>
      <c r="R362" s="6">
        <v>0.5480393939393936</v>
      </c>
      <c r="S362" s="6">
        <v>0.2740196969696968</v>
      </c>
      <c r="T362" s="7">
        <f t="shared" si="65"/>
        <v>3.562256060606058</v>
      </c>
      <c r="U362" s="6" t="e">
        <f>SUMIFS([1]Sheet1!$L:$L,[1]Sheet1!$I:$I,AJ362,[1]Sheet1!$C:$C,A362)</f>
        <v>#VALUE!</v>
      </c>
      <c r="V362" s="6"/>
      <c r="W362" s="6"/>
      <c r="X362" s="7" t="e">
        <f t="shared" si="59"/>
        <v>#VALUE!</v>
      </c>
      <c r="Y362" s="6"/>
      <c r="AJ362" s="5" t="str">
        <f t="shared" si="60"/>
        <v>NM 1065 - Partnership</v>
      </c>
      <c r="AK362" s="5" t="str">
        <f t="shared" si="61"/>
        <v>NM-Tax Services-ANN-1065 - Partnership_Mid</v>
      </c>
      <c r="AL362" s="5" t="str">
        <f t="shared" si="62"/>
        <v>K&amp;J Smal_1065_81-3546614_NM 1065 - Partnership</v>
      </c>
      <c r="AM362" s="5" t="str">
        <f t="shared" si="63"/>
        <v>K&amp;J Smal_1065_81-3546614_NM-Tax Services-ANN-1065 - Partnership_Mid</v>
      </c>
    </row>
    <row r="363" spans="1:39" x14ac:dyDescent="0.25">
      <c r="A363" s="2" t="s">
        <v>634</v>
      </c>
      <c r="B363" s="2" t="s">
        <v>635</v>
      </c>
      <c r="C363" s="2" t="s">
        <v>1196</v>
      </c>
      <c r="D363" s="8">
        <v>43831</v>
      </c>
      <c r="E363" s="5" t="str">
        <f t="shared" si="64"/>
        <v>Kamineni, Indraneel &amp; Sireesha_01-01-20</v>
      </c>
      <c r="F363" s="2" t="s">
        <v>1203</v>
      </c>
      <c r="G363" s="2" t="s">
        <v>1241</v>
      </c>
      <c r="H363" s="2" t="s">
        <v>1220</v>
      </c>
      <c r="I363" s="2" t="s">
        <v>1221</v>
      </c>
      <c r="J363" s="2" t="s">
        <v>1234</v>
      </c>
      <c r="M363" s="5" t="str">
        <f t="shared" si="55"/>
        <v>Mid</v>
      </c>
      <c r="N363" s="5" t="str">
        <f t="shared" si="56"/>
        <v>Tax-Staff-Mid</v>
      </c>
      <c r="O363" s="5" t="str">
        <f t="shared" si="57"/>
        <v>Tax-Reviewer-Mid</v>
      </c>
      <c r="P363" s="5" t="str">
        <f t="shared" si="58"/>
        <v>Tax-Signer-Mid</v>
      </c>
      <c r="Q363" s="6">
        <v>2.7401969696969677</v>
      </c>
      <c r="R363" s="6">
        <v>0.5480393939393936</v>
      </c>
      <c r="S363" s="6">
        <v>0.2740196969696968</v>
      </c>
      <c r="T363" s="7">
        <f t="shared" si="65"/>
        <v>3.562256060606058</v>
      </c>
      <c r="U363" s="6" t="e">
        <f>SUMIFS([1]Sheet1!$L:$L,[1]Sheet1!$I:$I,AJ363,[1]Sheet1!$C:$C,A363)</f>
        <v>#VALUE!</v>
      </c>
      <c r="V363" s="6"/>
      <c r="W363" s="6"/>
      <c r="X363" s="7" t="e">
        <f t="shared" si="59"/>
        <v>#VALUE!</v>
      </c>
      <c r="Y363" s="6"/>
      <c r="AJ363" s="5" t="str">
        <f t="shared" si="60"/>
        <v>NM 1040 - Personal</v>
      </c>
      <c r="AK363" s="5" t="str">
        <f t="shared" si="61"/>
        <v>NM-Tax Services-ANN-1040 - Personal_Mid</v>
      </c>
      <c r="AL363" s="5" t="str">
        <f t="shared" si="62"/>
        <v>Kamine_0009_NM 1040 - Personal</v>
      </c>
      <c r="AM363" s="5" t="str">
        <f t="shared" si="63"/>
        <v>Kamine_0009_NM-Tax Services-ANN-1040 - Personal_Mid</v>
      </c>
    </row>
    <row r="364" spans="1:39" x14ac:dyDescent="0.25">
      <c r="A364" s="2" t="s">
        <v>936</v>
      </c>
      <c r="B364" s="2" t="s">
        <v>937</v>
      </c>
      <c r="C364" s="2" t="s">
        <v>1196</v>
      </c>
      <c r="D364" s="8">
        <v>43831</v>
      </c>
      <c r="E364" s="5" t="str">
        <f t="shared" si="64"/>
        <v>Kasnetz, Andrew_01-01-20</v>
      </c>
      <c r="F364" s="2" t="s">
        <v>1203</v>
      </c>
      <c r="G364" s="2" t="s">
        <v>1241</v>
      </c>
      <c r="H364" s="2" t="s">
        <v>1220</v>
      </c>
      <c r="I364" s="2" t="s">
        <v>1223</v>
      </c>
      <c r="J364" s="2" t="s">
        <v>1234</v>
      </c>
      <c r="M364" s="5" t="str">
        <f t="shared" si="55"/>
        <v>Basic</v>
      </c>
      <c r="N364" s="5" t="str">
        <f t="shared" si="56"/>
        <v>Tax-Staff-Basic</v>
      </c>
      <c r="O364" s="5" t="str">
        <f t="shared" si="57"/>
        <v>Tax-Reviewer-Basic</v>
      </c>
      <c r="P364" s="5" t="str">
        <f t="shared" si="58"/>
        <v>Tax-Signer-Basic</v>
      </c>
      <c r="Q364" s="6">
        <v>1.4675000000000016</v>
      </c>
      <c r="R364" s="6">
        <v>0.29350000000000032</v>
      </c>
      <c r="S364" s="6">
        <v>0.14675000000000016</v>
      </c>
      <c r="T364" s="7">
        <f t="shared" si="65"/>
        <v>1.9077500000000021</v>
      </c>
      <c r="U364" s="6" t="e">
        <f>SUMIFS([1]Sheet1!$L:$L,[1]Sheet1!$I:$I,AJ364,[1]Sheet1!$C:$C,A364)</f>
        <v>#VALUE!</v>
      </c>
      <c r="V364" s="6"/>
      <c r="W364" s="6"/>
      <c r="X364" s="7" t="e">
        <f t="shared" si="59"/>
        <v>#VALUE!</v>
      </c>
      <c r="Y364" s="6"/>
      <c r="AJ364" s="5" t="str">
        <f t="shared" si="60"/>
        <v>NM 1040 - Personal</v>
      </c>
      <c r="AK364" s="5" t="str">
        <f t="shared" si="61"/>
        <v>NM-Tax Services-ANN-1040 - Personal_Basic</v>
      </c>
      <c r="AL364" s="5" t="str">
        <f t="shared" si="62"/>
        <v>Kasnet_1715_NM 1040 - Personal</v>
      </c>
      <c r="AM364" s="5" t="str">
        <f t="shared" si="63"/>
        <v>Kasnet_1715_NM-Tax Services-ANN-1040 - Personal_Basic</v>
      </c>
    </row>
    <row r="365" spans="1:39" x14ac:dyDescent="0.25">
      <c r="A365" s="2" t="s">
        <v>371</v>
      </c>
      <c r="B365" s="2" t="s">
        <v>372</v>
      </c>
      <c r="C365" s="2" t="s">
        <v>1196</v>
      </c>
      <c r="D365" s="8">
        <v>43831</v>
      </c>
      <c r="E365" s="5" t="str">
        <f t="shared" si="64"/>
        <v>Kasnetz Properties, LLC_01-01-20</v>
      </c>
      <c r="F365" s="2" t="s">
        <v>1199</v>
      </c>
      <c r="G365" s="2" t="s">
        <v>1241</v>
      </c>
      <c r="H365" s="2" t="s">
        <v>1220</v>
      </c>
      <c r="I365" s="2" t="s">
        <v>1223</v>
      </c>
      <c r="J365" s="2" t="s">
        <v>1234</v>
      </c>
      <c r="M365" s="5" t="str">
        <f t="shared" si="55"/>
        <v>Basic</v>
      </c>
      <c r="N365" s="5" t="str">
        <f t="shared" si="56"/>
        <v>Tax-Staff-Basic</v>
      </c>
      <c r="O365" s="5" t="str">
        <f t="shared" si="57"/>
        <v>Tax-Reviewer-Basic</v>
      </c>
      <c r="P365" s="5" t="str">
        <f t="shared" si="58"/>
        <v>Tax-Signer-Basic</v>
      </c>
      <c r="Q365" s="6">
        <v>1.4675000000000016</v>
      </c>
      <c r="R365" s="6">
        <v>0.29350000000000032</v>
      </c>
      <c r="S365" s="6">
        <v>0.14675000000000016</v>
      </c>
      <c r="T365" s="7">
        <f t="shared" si="65"/>
        <v>1.9077500000000021</v>
      </c>
      <c r="U365" s="6" t="e">
        <f>SUMIFS([1]Sheet1!$L:$L,[1]Sheet1!$I:$I,AJ365,[1]Sheet1!$C:$C,A365)</f>
        <v>#VALUE!</v>
      </c>
      <c r="V365" s="6"/>
      <c r="W365" s="6"/>
      <c r="X365" s="7" t="e">
        <f t="shared" si="59"/>
        <v>#VALUE!</v>
      </c>
      <c r="Y365" s="6"/>
      <c r="AJ365" s="5" t="str">
        <f t="shared" si="60"/>
        <v>NM 1065 - Partnership</v>
      </c>
      <c r="AK365" s="5" t="str">
        <f t="shared" si="61"/>
        <v>NM-Tax Services-ANN-1065 - Partnership_Basic</v>
      </c>
      <c r="AL365" s="5" t="str">
        <f t="shared" si="62"/>
        <v>Kasnetz _1065_75-2651423_NM 1065 - Partnership</v>
      </c>
      <c r="AM365" s="5" t="str">
        <f t="shared" si="63"/>
        <v>Kasnetz _1065_75-2651423_NM-Tax Services-ANN-1065 - Partnership_Basic</v>
      </c>
    </row>
    <row r="366" spans="1:39" x14ac:dyDescent="0.25">
      <c r="A366" s="2" t="s">
        <v>636</v>
      </c>
      <c r="B366" s="2" t="s">
        <v>637</v>
      </c>
      <c r="C366" s="2" t="s">
        <v>1196</v>
      </c>
      <c r="D366" s="8">
        <v>43831</v>
      </c>
      <c r="E366" s="5" t="str">
        <f t="shared" si="64"/>
        <v>Keene, Brian_01-01-20</v>
      </c>
      <c r="F366" s="2" t="s">
        <v>1203</v>
      </c>
      <c r="G366" s="2" t="s">
        <v>1241</v>
      </c>
      <c r="H366" s="2" t="s">
        <v>1220</v>
      </c>
      <c r="I366" s="2" t="s">
        <v>1221</v>
      </c>
      <c r="J366" s="2" t="s">
        <v>1234</v>
      </c>
      <c r="M366" s="5" t="str">
        <f t="shared" si="55"/>
        <v>Mid</v>
      </c>
      <c r="N366" s="5" t="str">
        <f t="shared" si="56"/>
        <v>Tax-Staff-Mid</v>
      </c>
      <c r="O366" s="5" t="str">
        <f t="shared" si="57"/>
        <v>Tax-Reviewer-Mid</v>
      </c>
      <c r="P366" s="5" t="str">
        <f t="shared" si="58"/>
        <v>Tax-Signer-Mid</v>
      </c>
      <c r="Q366" s="6">
        <v>2.7401969696969677</v>
      </c>
      <c r="R366" s="6">
        <v>0.5480393939393936</v>
      </c>
      <c r="S366" s="6">
        <v>0.2740196969696968</v>
      </c>
      <c r="T366" s="7">
        <f t="shared" si="65"/>
        <v>3.562256060606058</v>
      </c>
      <c r="U366" s="6" t="e">
        <f>SUMIFS([1]Sheet1!$L:$L,[1]Sheet1!$I:$I,AJ366,[1]Sheet1!$C:$C,A366)</f>
        <v>#VALUE!</v>
      </c>
      <c r="V366" s="6"/>
      <c r="W366" s="6"/>
      <c r="X366" s="7" t="e">
        <f t="shared" si="59"/>
        <v>#VALUE!</v>
      </c>
      <c r="Y366" s="6"/>
      <c r="AJ366" s="5" t="str">
        <f t="shared" si="60"/>
        <v>NM 1040 - Personal</v>
      </c>
      <c r="AK366" s="5" t="str">
        <f t="shared" si="61"/>
        <v>NM-Tax Services-ANN-1040 - Personal_Mid</v>
      </c>
      <c r="AL366" s="5" t="str">
        <f t="shared" si="62"/>
        <v>Keene,_0695_NM 1040 - Personal</v>
      </c>
      <c r="AM366" s="5" t="str">
        <f t="shared" si="63"/>
        <v>Keene,_0695_NM-Tax Services-ANN-1040 - Personal_Mid</v>
      </c>
    </row>
    <row r="367" spans="1:39" x14ac:dyDescent="0.25">
      <c r="A367" s="2" t="s">
        <v>1089</v>
      </c>
      <c r="B367" s="2" t="s">
        <v>1090</v>
      </c>
      <c r="C367" s="2" t="s">
        <v>1196</v>
      </c>
      <c r="D367" s="8">
        <v>43831</v>
      </c>
      <c r="E367" s="5" t="str">
        <f t="shared" si="64"/>
        <v>Kelby Washa_01-01-20</v>
      </c>
      <c r="F367" s="2" t="s">
        <v>1203</v>
      </c>
      <c r="G367" s="2" t="s">
        <v>1241</v>
      </c>
      <c r="H367" s="2" t="s">
        <v>1220</v>
      </c>
      <c r="I367" s="2" t="s">
        <v>1223</v>
      </c>
      <c r="J367" s="2" t="s">
        <v>1234</v>
      </c>
      <c r="M367" s="5" t="str">
        <f t="shared" si="55"/>
        <v>Basic</v>
      </c>
      <c r="N367" s="5" t="str">
        <f t="shared" si="56"/>
        <v>Tax-Staff-Basic</v>
      </c>
      <c r="O367" s="5" t="str">
        <f t="shared" si="57"/>
        <v>Tax-Reviewer-Basic</v>
      </c>
      <c r="P367" s="5" t="str">
        <f t="shared" si="58"/>
        <v>Tax-Signer-Basic</v>
      </c>
      <c r="Q367" s="6">
        <v>1.4675000000000016</v>
      </c>
      <c r="R367" s="6">
        <v>0.29350000000000032</v>
      </c>
      <c r="S367" s="6">
        <v>0.14675000000000016</v>
      </c>
      <c r="T367" s="7">
        <f t="shared" si="65"/>
        <v>1.9077500000000021</v>
      </c>
      <c r="U367" s="6" t="e">
        <f>SUMIFS([1]Sheet1!$L:$L,[1]Sheet1!$I:$I,AJ367,[1]Sheet1!$C:$C,A367)</f>
        <v>#VALUE!</v>
      </c>
      <c r="V367" s="6"/>
      <c r="W367" s="6"/>
      <c r="X367" s="7" t="e">
        <f t="shared" si="59"/>
        <v>#VALUE!</v>
      </c>
      <c r="Y367" s="6"/>
      <c r="AJ367" s="5" t="str">
        <f t="shared" si="60"/>
        <v>NM 1040 - Personal</v>
      </c>
      <c r="AK367" s="5" t="str">
        <f t="shared" si="61"/>
        <v>NM-Tax Services-ANN-1040 - Personal_Basic</v>
      </c>
      <c r="AL367" s="5" t="str">
        <f t="shared" si="62"/>
        <v>Kelby _4359_NM 1040 - Personal</v>
      </c>
      <c r="AM367" s="5" t="str">
        <f t="shared" si="63"/>
        <v>Kelby _4359_NM-Tax Services-ANN-1040 - Personal_Basic</v>
      </c>
    </row>
    <row r="368" spans="1:39" x14ac:dyDescent="0.25">
      <c r="A368" s="2" t="s">
        <v>638</v>
      </c>
      <c r="B368" s="2" t="s">
        <v>639</v>
      </c>
      <c r="C368" s="2" t="s">
        <v>1196</v>
      </c>
      <c r="D368" s="8">
        <v>43831</v>
      </c>
      <c r="E368" s="5" t="str">
        <f t="shared" si="64"/>
        <v>Kelley, Kevin M &amp; Nina D_01-01-20</v>
      </c>
      <c r="F368" s="2" t="s">
        <v>1203</v>
      </c>
      <c r="G368" s="2" t="s">
        <v>1241</v>
      </c>
      <c r="H368" s="2" t="s">
        <v>1220</v>
      </c>
      <c r="I368" s="2" t="s">
        <v>1223</v>
      </c>
      <c r="J368" s="2" t="s">
        <v>1234</v>
      </c>
      <c r="M368" s="5" t="str">
        <f t="shared" si="55"/>
        <v>Basic</v>
      </c>
      <c r="N368" s="5" t="str">
        <f t="shared" si="56"/>
        <v>Tax-Staff-Basic</v>
      </c>
      <c r="O368" s="5" t="str">
        <f t="shared" si="57"/>
        <v>Tax-Reviewer-Basic</v>
      </c>
      <c r="P368" s="5" t="str">
        <f t="shared" si="58"/>
        <v>Tax-Signer-Basic</v>
      </c>
      <c r="Q368" s="6">
        <v>1.4675000000000016</v>
      </c>
      <c r="R368" s="6">
        <v>0.29350000000000032</v>
      </c>
      <c r="S368" s="6">
        <v>0.14675000000000016</v>
      </c>
      <c r="T368" s="7">
        <f t="shared" si="65"/>
        <v>1.9077500000000021</v>
      </c>
      <c r="U368" s="6" t="e">
        <f>SUMIFS([1]Sheet1!$L:$L,[1]Sheet1!$I:$I,AJ368,[1]Sheet1!$C:$C,A368)</f>
        <v>#VALUE!</v>
      </c>
      <c r="V368" s="6"/>
      <c r="W368" s="6"/>
      <c r="X368" s="7" t="e">
        <f t="shared" si="59"/>
        <v>#VALUE!</v>
      </c>
      <c r="Y368" s="6"/>
      <c r="AJ368" s="5" t="str">
        <f t="shared" si="60"/>
        <v>NM 1040 - Personal</v>
      </c>
      <c r="AK368" s="5" t="str">
        <f t="shared" si="61"/>
        <v>NM-Tax Services-ANN-1040 - Personal_Basic</v>
      </c>
      <c r="AL368" s="5" t="str">
        <f t="shared" si="62"/>
        <v>Kelley_2525_NM 1040 - Personal</v>
      </c>
      <c r="AM368" s="5" t="str">
        <f t="shared" si="63"/>
        <v>Kelley_2525_NM-Tax Services-ANN-1040 - Personal_Basic</v>
      </c>
    </row>
    <row r="369" spans="1:39" x14ac:dyDescent="0.25">
      <c r="A369" s="2" t="s">
        <v>812</v>
      </c>
      <c r="B369" s="2" t="s">
        <v>813</v>
      </c>
      <c r="C369" s="2" t="s">
        <v>1197</v>
      </c>
      <c r="D369" s="8">
        <v>43831</v>
      </c>
      <c r="E369" s="5" t="str">
        <f t="shared" si="64"/>
        <v>Key, Justin &amp; Brittany_01-01-20</v>
      </c>
      <c r="F369" s="2" t="s">
        <v>1203</v>
      </c>
      <c r="G369" s="2" t="s">
        <v>1241</v>
      </c>
      <c r="H369" s="2" t="s">
        <v>1220</v>
      </c>
      <c r="I369" s="2" t="s">
        <v>1221</v>
      </c>
      <c r="J369" s="2" t="s">
        <v>1234</v>
      </c>
      <c r="M369" s="5" t="str">
        <f t="shared" si="55"/>
        <v>Mid</v>
      </c>
      <c r="N369" s="5" t="str">
        <f t="shared" si="56"/>
        <v>Tax-Staff-Mid</v>
      </c>
      <c r="O369" s="5" t="str">
        <f t="shared" si="57"/>
        <v>Tax-Reviewer-Mid</v>
      </c>
      <c r="P369" s="5" t="str">
        <f t="shared" si="58"/>
        <v>Tax-Signer-Mid</v>
      </c>
      <c r="Q369" s="6">
        <v>2.7401969696969677</v>
      </c>
      <c r="R369" s="6">
        <v>0.5480393939393936</v>
      </c>
      <c r="S369" s="6">
        <v>0.2740196969696968</v>
      </c>
      <c r="T369" s="7">
        <f t="shared" si="65"/>
        <v>3.562256060606058</v>
      </c>
      <c r="U369" s="6" t="e">
        <f>SUMIFS([1]Sheet1!$L:$L,[1]Sheet1!$I:$I,AJ369,[1]Sheet1!$C:$C,A369)</f>
        <v>#VALUE!</v>
      </c>
      <c r="V369" s="6"/>
      <c r="W369" s="6"/>
      <c r="X369" s="7" t="e">
        <f t="shared" si="59"/>
        <v>#VALUE!</v>
      </c>
      <c r="Y369" s="6"/>
      <c r="AJ369" s="5" t="str">
        <f t="shared" si="60"/>
        <v>MO 1040 - Personal</v>
      </c>
      <c r="AK369" s="5" t="str">
        <f t="shared" si="61"/>
        <v>MO-Tax Services-ANN-1040 - Personal_Mid</v>
      </c>
      <c r="AL369" s="5" t="str">
        <f t="shared" si="62"/>
        <v>Key, J_5448_MO 1040 - Personal</v>
      </c>
      <c r="AM369" s="5" t="str">
        <f t="shared" si="63"/>
        <v>Key, J_5448_MO-Tax Services-ANN-1040 - Personal_Mid</v>
      </c>
    </row>
    <row r="370" spans="1:39" x14ac:dyDescent="0.25">
      <c r="A370" s="2" t="s">
        <v>95</v>
      </c>
      <c r="B370" s="2" t="s">
        <v>96</v>
      </c>
      <c r="C370" s="2" t="s">
        <v>1197</v>
      </c>
      <c r="D370" s="8">
        <v>43831</v>
      </c>
      <c r="E370" s="5" t="str">
        <f t="shared" si="64"/>
        <v>KFIT Club, Inc._01-01-20</v>
      </c>
      <c r="F370" s="2" t="s">
        <v>1201</v>
      </c>
      <c r="G370" s="2" t="s">
        <v>1201</v>
      </c>
      <c r="H370" s="2" t="s">
        <v>1197</v>
      </c>
      <c r="I370" s="2" t="s">
        <v>1221</v>
      </c>
      <c r="J370" s="2" t="s">
        <v>1235</v>
      </c>
      <c r="M370" s="5" t="str">
        <f t="shared" si="55"/>
        <v>Mid</v>
      </c>
      <c r="N370" s="5" t="str">
        <f t="shared" si="56"/>
        <v>Accountant-Staff-Mid</v>
      </c>
      <c r="O370" s="5" t="str">
        <f t="shared" si="57"/>
        <v>Accountant-Reviewer-Mid</v>
      </c>
      <c r="P370" s="5" t="str">
        <f t="shared" si="58"/>
        <v>Accountant-Signer-Mid</v>
      </c>
      <c r="Q370" s="6">
        <v>1.47</v>
      </c>
      <c r="R370" s="6">
        <v>0.29399999999999998</v>
      </c>
      <c r="S370" s="6">
        <v>0.14699999999999999</v>
      </c>
      <c r="T370" s="7">
        <f t="shared" si="65"/>
        <v>1.911</v>
      </c>
      <c r="U370" s="6" t="e">
        <f>SUMIFS([1]Sheet1!$L:$L,[1]Sheet1!$I:$I,AJ370,[1]Sheet1!$C:$C,A370)</f>
        <v>#VALUE!</v>
      </c>
      <c r="V370" s="6"/>
      <c r="W370" s="6"/>
      <c r="X370" s="7" t="e">
        <f t="shared" si="59"/>
        <v>#VALUE!</v>
      </c>
      <c r="Y370" s="6"/>
      <c r="AJ370" s="5" t="str">
        <f t="shared" si="60"/>
        <v>MO Accounting Services</v>
      </c>
      <c r="AK370" s="5" t="str">
        <f t="shared" si="61"/>
        <v>MO-Accounting Services-MO-Accounting Services_Mid</v>
      </c>
      <c r="AL370" s="5" t="str">
        <f t="shared" si="62"/>
        <v>KFIT Clu_1120S_45-4689322_MO Accounting Services</v>
      </c>
      <c r="AM370" s="5" t="str">
        <f t="shared" si="63"/>
        <v>KFIT Clu_1120S_45-4689322_MO-Accounting Services-MO-Accounting Services_Mid</v>
      </c>
    </row>
    <row r="371" spans="1:39" x14ac:dyDescent="0.25">
      <c r="A371" s="2" t="s">
        <v>95</v>
      </c>
      <c r="B371" s="2" t="s">
        <v>96</v>
      </c>
      <c r="C371" s="2" t="s">
        <v>1196</v>
      </c>
      <c r="D371" s="8">
        <v>43831</v>
      </c>
      <c r="E371" s="5" t="str">
        <f t="shared" si="64"/>
        <v>KFIT Club, Inc._01-01-20</v>
      </c>
      <c r="F371" s="2" t="s">
        <v>1204</v>
      </c>
      <c r="G371" s="2" t="s">
        <v>1241</v>
      </c>
      <c r="H371" s="2" t="s">
        <v>1220</v>
      </c>
      <c r="I371" s="2" t="s">
        <v>1221</v>
      </c>
      <c r="J371" s="2" t="s">
        <v>1234</v>
      </c>
      <c r="M371" s="5" t="str">
        <f t="shared" si="55"/>
        <v>Mid</v>
      </c>
      <c r="N371" s="5" t="str">
        <f t="shared" si="56"/>
        <v>Tax-Staff-Mid</v>
      </c>
      <c r="O371" s="5" t="str">
        <f t="shared" si="57"/>
        <v>Tax-Reviewer-Mid</v>
      </c>
      <c r="P371" s="5" t="str">
        <f t="shared" si="58"/>
        <v>Tax-Signer-Mid</v>
      </c>
      <c r="Q371" s="6">
        <v>2.7401969696969677</v>
      </c>
      <c r="R371" s="6">
        <v>0.5480393939393936</v>
      </c>
      <c r="S371" s="6">
        <v>0.2740196969696968</v>
      </c>
      <c r="T371" s="7">
        <f t="shared" si="65"/>
        <v>3.562256060606058</v>
      </c>
      <c r="U371" s="6" t="e">
        <f>SUMIFS([1]Sheet1!$L:$L,[1]Sheet1!$I:$I,AJ371,[1]Sheet1!$C:$C,A371)</f>
        <v>#VALUE!</v>
      </c>
      <c r="V371" s="6"/>
      <c r="W371" s="6"/>
      <c r="X371" s="7" t="e">
        <f t="shared" si="59"/>
        <v>#VALUE!</v>
      </c>
      <c r="Y371" s="6"/>
      <c r="AJ371" s="5" t="str">
        <f t="shared" si="60"/>
        <v>NM 1120S - S Corporation</v>
      </c>
      <c r="AK371" s="5" t="str">
        <f t="shared" si="61"/>
        <v>NM-Tax Services-ANN-1120S - S Corporation_Mid</v>
      </c>
      <c r="AL371" s="5" t="str">
        <f t="shared" si="62"/>
        <v>KFIT Clu_1120S_45-4689322_NM 1120S - S Corporation</v>
      </c>
      <c r="AM371" s="5" t="str">
        <f t="shared" si="63"/>
        <v>KFIT Clu_1120S_45-4689322_NM-Tax Services-ANN-1120S - S Corporation_Mid</v>
      </c>
    </row>
    <row r="372" spans="1:39" x14ac:dyDescent="0.25">
      <c r="A372" s="2" t="s">
        <v>640</v>
      </c>
      <c r="B372" s="2" t="s">
        <v>641</v>
      </c>
      <c r="C372" s="2" t="s">
        <v>1196</v>
      </c>
      <c r="D372" s="8">
        <v>43831</v>
      </c>
      <c r="E372" s="5" t="str">
        <f t="shared" si="64"/>
        <v>Khamnouane, Saengmeuang &amp; Inkham_01-01-20</v>
      </c>
      <c r="F372" s="2" t="s">
        <v>1203</v>
      </c>
      <c r="G372" s="2" t="s">
        <v>1241</v>
      </c>
      <c r="H372" s="2" t="s">
        <v>1220</v>
      </c>
      <c r="I372" s="2" t="s">
        <v>1223</v>
      </c>
      <c r="J372" s="2" t="s">
        <v>1234</v>
      </c>
      <c r="M372" s="5" t="str">
        <f t="shared" si="55"/>
        <v>Basic</v>
      </c>
      <c r="N372" s="5" t="str">
        <f t="shared" si="56"/>
        <v>Tax-Staff-Basic</v>
      </c>
      <c r="O372" s="5" t="str">
        <f t="shared" si="57"/>
        <v>Tax-Reviewer-Basic</v>
      </c>
      <c r="P372" s="5" t="str">
        <f t="shared" si="58"/>
        <v>Tax-Signer-Basic</v>
      </c>
      <c r="Q372" s="6">
        <v>1.4675000000000016</v>
      </c>
      <c r="R372" s="6">
        <v>0.29350000000000032</v>
      </c>
      <c r="S372" s="6">
        <v>0.14675000000000016</v>
      </c>
      <c r="T372" s="7">
        <f t="shared" si="65"/>
        <v>1.9077500000000021</v>
      </c>
      <c r="U372" s="6" t="e">
        <f>SUMIFS([1]Sheet1!$L:$L,[1]Sheet1!$I:$I,AJ372,[1]Sheet1!$C:$C,A372)</f>
        <v>#VALUE!</v>
      </c>
      <c r="V372" s="6"/>
      <c r="W372" s="6"/>
      <c r="X372" s="7" t="e">
        <f t="shared" si="59"/>
        <v>#VALUE!</v>
      </c>
      <c r="Y372" s="6"/>
      <c r="AJ372" s="5" t="str">
        <f t="shared" si="60"/>
        <v>NM 1040 - Personal</v>
      </c>
      <c r="AK372" s="5" t="str">
        <f t="shared" si="61"/>
        <v>NM-Tax Services-ANN-1040 - Personal_Basic</v>
      </c>
      <c r="AL372" s="5" t="str">
        <f t="shared" si="62"/>
        <v>Khamno_1106_NM 1040 - Personal</v>
      </c>
      <c r="AM372" s="5" t="str">
        <f t="shared" si="63"/>
        <v>Khamno_1106_NM-Tax Services-ANN-1040 - Personal_Basic</v>
      </c>
    </row>
    <row r="373" spans="1:39" x14ac:dyDescent="0.25">
      <c r="A373" s="2" t="s">
        <v>814</v>
      </c>
      <c r="B373" s="2" t="s">
        <v>815</v>
      </c>
      <c r="C373" s="2" t="s">
        <v>1196</v>
      </c>
      <c r="D373" s="8">
        <v>43831</v>
      </c>
      <c r="E373" s="5" t="str">
        <f t="shared" si="64"/>
        <v>Khamnouane, Amphone_01-01-20</v>
      </c>
      <c r="F373" s="2" t="s">
        <v>1203</v>
      </c>
      <c r="G373" s="2" t="s">
        <v>1241</v>
      </c>
      <c r="H373" s="2" t="s">
        <v>1220</v>
      </c>
      <c r="I373" s="2" t="s">
        <v>1223</v>
      </c>
      <c r="J373" s="2" t="s">
        <v>1234</v>
      </c>
      <c r="M373" s="5" t="str">
        <f t="shared" si="55"/>
        <v>Basic</v>
      </c>
      <c r="N373" s="5" t="str">
        <f t="shared" si="56"/>
        <v>Tax-Staff-Basic</v>
      </c>
      <c r="O373" s="5" t="str">
        <f t="shared" si="57"/>
        <v>Tax-Reviewer-Basic</v>
      </c>
      <c r="P373" s="5" t="str">
        <f t="shared" si="58"/>
        <v>Tax-Signer-Basic</v>
      </c>
      <c r="Q373" s="6">
        <v>1.4675000000000016</v>
      </c>
      <c r="R373" s="6">
        <v>0.29350000000000032</v>
      </c>
      <c r="S373" s="6">
        <v>0.14675000000000016</v>
      </c>
      <c r="T373" s="7">
        <f t="shared" si="65"/>
        <v>1.9077500000000021</v>
      </c>
      <c r="U373" s="6" t="e">
        <f>SUMIFS([1]Sheet1!$L:$L,[1]Sheet1!$I:$I,AJ373,[1]Sheet1!$C:$C,A373)</f>
        <v>#VALUE!</v>
      </c>
      <c r="V373" s="6"/>
      <c r="W373" s="6"/>
      <c r="X373" s="7" t="e">
        <f t="shared" si="59"/>
        <v>#VALUE!</v>
      </c>
      <c r="Y373" s="6"/>
      <c r="AJ373" s="5" t="str">
        <f t="shared" si="60"/>
        <v>NM 1040 - Personal</v>
      </c>
      <c r="AK373" s="5" t="str">
        <f t="shared" si="61"/>
        <v>NM-Tax Services-ANN-1040 - Personal_Basic</v>
      </c>
      <c r="AL373" s="5" t="str">
        <f t="shared" si="62"/>
        <v>Khamno_3881_NM 1040 - Personal</v>
      </c>
      <c r="AM373" s="5" t="str">
        <f t="shared" si="63"/>
        <v>Khamno_3881_NM-Tax Services-ANN-1040 - Personal_Basic</v>
      </c>
    </row>
    <row r="374" spans="1:39" x14ac:dyDescent="0.25">
      <c r="A374" s="2" t="s">
        <v>642</v>
      </c>
      <c r="B374" s="2" t="s">
        <v>643</v>
      </c>
      <c r="C374" s="2" t="s">
        <v>1196</v>
      </c>
      <c r="D374" s="8">
        <v>43831</v>
      </c>
      <c r="E374" s="5" t="str">
        <f t="shared" si="64"/>
        <v>Khamnouane, Zhang_01-01-20</v>
      </c>
      <c r="F374" s="2" t="s">
        <v>1203</v>
      </c>
      <c r="G374" s="2" t="s">
        <v>1241</v>
      </c>
      <c r="H374" s="2" t="s">
        <v>1220</v>
      </c>
      <c r="I374" s="2" t="s">
        <v>1223</v>
      </c>
      <c r="J374" s="2" t="s">
        <v>1234</v>
      </c>
      <c r="M374" s="5" t="str">
        <f t="shared" si="55"/>
        <v>Basic</v>
      </c>
      <c r="N374" s="5" t="str">
        <f t="shared" si="56"/>
        <v>Tax-Staff-Basic</v>
      </c>
      <c r="O374" s="5" t="str">
        <f t="shared" si="57"/>
        <v>Tax-Reviewer-Basic</v>
      </c>
      <c r="P374" s="5" t="str">
        <f t="shared" si="58"/>
        <v>Tax-Signer-Basic</v>
      </c>
      <c r="Q374" s="6">
        <v>1.4675000000000016</v>
      </c>
      <c r="R374" s="6">
        <v>0.29350000000000032</v>
      </c>
      <c r="S374" s="6">
        <v>0.14675000000000016</v>
      </c>
      <c r="T374" s="7">
        <f t="shared" si="65"/>
        <v>1.9077500000000021</v>
      </c>
      <c r="U374" s="6" t="e">
        <f>SUMIFS([1]Sheet1!$L:$L,[1]Sheet1!$I:$I,AJ374,[1]Sheet1!$C:$C,A374)</f>
        <v>#VALUE!</v>
      </c>
      <c r="V374" s="6"/>
      <c r="W374" s="6"/>
      <c r="X374" s="7" t="e">
        <f t="shared" si="59"/>
        <v>#VALUE!</v>
      </c>
      <c r="Y374" s="6"/>
      <c r="AJ374" s="5" t="str">
        <f t="shared" si="60"/>
        <v>NM 1040 - Personal</v>
      </c>
      <c r="AK374" s="5" t="str">
        <f t="shared" si="61"/>
        <v>NM-Tax Services-ANN-1040 - Personal_Basic</v>
      </c>
      <c r="AL374" s="5" t="str">
        <f t="shared" si="62"/>
        <v>Khamno_6428_NM 1040 - Personal</v>
      </c>
      <c r="AM374" s="5" t="str">
        <f t="shared" si="63"/>
        <v>Khamno_6428_NM-Tax Services-ANN-1040 - Personal_Basic</v>
      </c>
    </row>
    <row r="375" spans="1:39" x14ac:dyDescent="0.25">
      <c r="A375" s="2" t="s">
        <v>644</v>
      </c>
      <c r="B375" s="2" t="s">
        <v>645</v>
      </c>
      <c r="C375" s="2" t="s">
        <v>1196</v>
      </c>
      <c r="D375" s="8">
        <v>43831</v>
      </c>
      <c r="E375" s="5" t="str">
        <f t="shared" si="64"/>
        <v>Khan, Abdul B &amp; Saadia_01-01-20</v>
      </c>
      <c r="F375" s="2" t="s">
        <v>1203</v>
      </c>
      <c r="G375" s="2" t="s">
        <v>1241</v>
      </c>
      <c r="H375" s="2" t="s">
        <v>1220</v>
      </c>
      <c r="I375" s="2" t="s">
        <v>1223</v>
      </c>
      <c r="J375" s="2" t="s">
        <v>1234</v>
      </c>
      <c r="M375" s="5" t="str">
        <f t="shared" si="55"/>
        <v>Basic</v>
      </c>
      <c r="N375" s="5" t="str">
        <f t="shared" si="56"/>
        <v>Tax-Staff-Basic</v>
      </c>
      <c r="O375" s="5" t="str">
        <f t="shared" si="57"/>
        <v>Tax-Reviewer-Basic</v>
      </c>
      <c r="P375" s="5" t="str">
        <f t="shared" si="58"/>
        <v>Tax-Signer-Basic</v>
      </c>
      <c r="Q375" s="6">
        <v>1.4675000000000016</v>
      </c>
      <c r="R375" s="6">
        <v>0.29350000000000032</v>
      </c>
      <c r="S375" s="6">
        <v>0.14675000000000016</v>
      </c>
      <c r="T375" s="7">
        <f t="shared" si="65"/>
        <v>1.9077500000000021</v>
      </c>
      <c r="U375" s="6" t="e">
        <f>SUMIFS([1]Sheet1!$L:$L,[1]Sheet1!$I:$I,AJ375,[1]Sheet1!$C:$C,A375)</f>
        <v>#VALUE!</v>
      </c>
      <c r="V375" s="6"/>
      <c r="W375" s="6"/>
      <c r="X375" s="7" t="e">
        <f t="shared" si="59"/>
        <v>#VALUE!</v>
      </c>
      <c r="Y375" s="6"/>
      <c r="AJ375" s="5" t="str">
        <f t="shared" si="60"/>
        <v>NM 1040 - Personal</v>
      </c>
      <c r="AK375" s="5" t="str">
        <f t="shared" si="61"/>
        <v>NM-Tax Services-ANN-1040 - Personal_Basic</v>
      </c>
      <c r="AL375" s="5" t="str">
        <f t="shared" si="62"/>
        <v>Khan, _3276_NM 1040 - Personal</v>
      </c>
      <c r="AM375" s="5" t="str">
        <f t="shared" si="63"/>
        <v>Khan, _3276_NM-Tax Services-ANN-1040 - Personal_Basic</v>
      </c>
    </row>
    <row r="376" spans="1:39" x14ac:dyDescent="0.25">
      <c r="A376" s="2" t="s">
        <v>97</v>
      </c>
      <c r="B376" s="2" t="s">
        <v>98</v>
      </c>
      <c r="C376" s="2" t="s">
        <v>1197</v>
      </c>
      <c r="D376" s="8">
        <v>43831</v>
      </c>
      <c r="E376" s="5" t="str">
        <f t="shared" si="64"/>
        <v>King Crown Holdings_01-01-20</v>
      </c>
      <c r="F376" s="2" t="s">
        <v>1201</v>
      </c>
      <c r="G376" s="2" t="s">
        <v>1201</v>
      </c>
      <c r="H376" s="2" t="s">
        <v>1197</v>
      </c>
      <c r="I376" s="2" t="s">
        <v>1223</v>
      </c>
      <c r="J376" s="2" t="s">
        <v>1235</v>
      </c>
      <c r="M376" s="5" t="str">
        <f t="shared" si="55"/>
        <v>Basic</v>
      </c>
      <c r="N376" s="5" t="str">
        <f t="shared" si="56"/>
        <v>Accountant-Staff-Basic</v>
      </c>
      <c r="O376" s="5" t="str">
        <f t="shared" si="57"/>
        <v>Accountant-Reviewer-Basic</v>
      </c>
      <c r="P376" s="5" t="str">
        <f t="shared" si="58"/>
        <v>Accountant-Signer-Basic</v>
      </c>
      <c r="Q376" s="6">
        <v>1.47</v>
      </c>
      <c r="R376" s="6">
        <v>0.29399999999999998</v>
      </c>
      <c r="S376" s="6">
        <v>0.14699999999999999</v>
      </c>
      <c r="T376" s="7">
        <f t="shared" si="65"/>
        <v>1.911</v>
      </c>
      <c r="U376" s="6" t="e">
        <f>SUMIFS([1]Sheet1!$L:$L,[1]Sheet1!$I:$I,AJ376,[1]Sheet1!$C:$C,A376)</f>
        <v>#VALUE!</v>
      </c>
      <c r="V376" s="6"/>
      <c r="W376" s="6"/>
      <c r="X376" s="7" t="e">
        <f t="shared" si="59"/>
        <v>#VALUE!</v>
      </c>
      <c r="Y376" s="6"/>
      <c r="AJ376" s="5" t="str">
        <f t="shared" si="60"/>
        <v>MO Accounting Services</v>
      </c>
      <c r="AK376" s="5" t="str">
        <f t="shared" si="61"/>
        <v>MO-Accounting Services-MO-Accounting Services_Basic</v>
      </c>
      <c r="AL376" s="5" t="str">
        <f t="shared" si="62"/>
        <v>King Cro_1120C_82-1157399_MO Accounting Services</v>
      </c>
      <c r="AM376" s="5" t="str">
        <f t="shared" si="63"/>
        <v>King Cro_1120C_82-1157399_MO-Accounting Services-MO-Accounting Services_Basic</v>
      </c>
    </row>
    <row r="377" spans="1:39" x14ac:dyDescent="0.25">
      <c r="A377" s="2" t="s">
        <v>97</v>
      </c>
      <c r="B377" s="2" t="s">
        <v>98</v>
      </c>
      <c r="C377" s="2" t="s">
        <v>1197</v>
      </c>
      <c r="D377" s="8">
        <v>43831</v>
      </c>
      <c r="E377" s="5" t="str">
        <f t="shared" si="64"/>
        <v>King Crown Holdings_01-01-20</v>
      </c>
      <c r="F377" s="2" t="s">
        <v>1206</v>
      </c>
      <c r="G377" s="2" t="s">
        <v>1241</v>
      </c>
      <c r="H377" s="2" t="s">
        <v>1220</v>
      </c>
      <c r="I377" s="2" t="s">
        <v>1223</v>
      </c>
      <c r="J377" s="2" t="s">
        <v>1234</v>
      </c>
      <c r="M377" s="5" t="str">
        <f t="shared" si="55"/>
        <v>Basic</v>
      </c>
      <c r="N377" s="5" t="str">
        <f t="shared" si="56"/>
        <v>Tax-Staff-Basic</v>
      </c>
      <c r="O377" s="5" t="str">
        <f t="shared" si="57"/>
        <v>Tax-Reviewer-Basic</v>
      </c>
      <c r="P377" s="5" t="str">
        <f t="shared" si="58"/>
        <v>Tax-Signer-Basic</v>
      </c>
      <c r="Q377" s="6">
        <v>1.4675000000000016</v>
      </c>
      <c r="R377" s="6">
        <v>0.29350000000000032</v>
      </c>
      <c r="S377" s="6">
        <v>0.14675000000000016</v>
      </c>
      <c r="T377" s="7">
        <f t="shared" si="65"/>
        <v>1.9077500000000021</v>
      </c>
      <c r="U377" s="6" t="e">
        <f>SUMIFS([1]Sheet1!$L:$L,[1]Sheet1!$I:$I,AJ377,[1]Sheet1!$C:$C,A377)</f>
        <v>#VALUE!</v>
      </c>
      <c r="V377" s="6"/>
      <c r="W377" s="6"/>
      <c r="X377" s="7" t="e">
        <f t="shared" si="59"/>
        <v>#VALUE!</v>
      </c>
      <c r="Y377" s="6"/>
      <c r="AJ377" s="5" t="str">
        <f t="shared" si="60"/>
        <v>MO 1120 - C Corporation</v>
      </c>
      <c r="AK377" s="5" t="str">
        <f t="shared" si="61"/>
        <v>MO-Tax Services-ANN-1120 - C Corporation_Basic</v>
      </c>
      <c r="AL377" s="5" t="str">
        <f t="shared" si="62"/>
        <v>King Cro_1120C_82-1157399_MO 1120 - C Corporation</v>
      </c>
      <c r="AM377" s="5" t="str">
        <f t="shared" si="63"/>
        <v>King Cro_1120C_82-1157399_MO-Tax Services-ANN-1120 - C Corporation_Basic</v>
      </c>
    </row>
    <row r="378" spans="1:39" x14ac:dyDescent="0.25">
      <c r="A378" s="2" t="s">
        <v>646</v>
      </c>
      <c r="B378" s="2" t="s">
        <v>647</v>
      </c>
      <c r="C378" s="2" t="s">
        <v>1196</v>
      </c>
      <c r="D378" s="8">
        <v>43831</v>
      </c>
      <c r="E378" s="5" t="str">
        <f t="shared" si="64"/>
        <v>King, Thomas_01-01-20</v>
      </c>
      <c r="F378" s="2" t="s">
        <v>1203</v>
      </c>
      <c r="G378" s="2" t="s">
        <v>1241</v>
      </c>
      <c r="H378" s="2" t="s">
        <v>1220</v>
      </c>
      <c r="I378" s="2" t="s">
        <v>1221</v>
      </c>
      <c r="J378" s="2" t="s">
        <v>1234</v>
      </c>
      <c r="M378" s="5" t="str">
        <f t="shared" si="55"/>
        <v>Mid</v>
      </c>
      <c r="N378" s="5" t="str">
        <f t="shared" si="56"/>
        <v>Tax-Staff-Mid</v>
      </c>
      <c r="O378" s="5" t="str">
        <f t="shared" si="57"/>
        <v>Tax-Reviewer-Mid</v>
      </c>
      <c r="P378" s="5" t="str">
        <f t="shared" si="58"/>
        <v>Tax-Signer-Mid</v>
      </c>
      <c r="Q378" s="6">
        <v>2.7401969696969677</v>
      </c>
      <c r="R378" s="6">
        <v>0.5480393939393936</v>
      </c>
      <c r="S378" s="6">
        <v>0.2740196969696968</v>
      </c>
      <c r="T378" s="7">
        <f t="shared" si="65"/>
        <v>3.562256060606058</v>
      </c>
      <c r="U378" s="6" t="e">
        <f>SUMIFS([1]Sheet1!$L:$L,[1]Sheet1!$I:$I,AJ378,[1]Sheet1!$C:$C,A378)</f>
        <v>#VALUE!</v>
      </c>
      <c r="V378" s="6"/>
      <c r="W378" s="6"/>
      <c r="X378" s="7" t="e">
        <f t="shared" si="59"/>
        <v>#VALUE!</v>
      </c>
      <c r="Y378" s="6"/>
      <c r="AJ378" s="5" t="str">
        <f t="shared" si="60"/>
        <v>NM 1040 - Personal</v>
      </c>
      <c r="AK378" s="5" t="str">
        <f t="shared" si="61"/>
        <v>NM-Tax Services-ANN-1040 - Personal_Mid</v>
      </c>
      <c r="AL378" s="5" t="str">
        <f t="shared" si="62"/>
        <v>King, _0794_NM 1040 - Personal</v>
      </c>
      <c r="AM378" s="5" t="str">
        <f t="shared" si="63"/>
        <v>King, _0794_NM-Tax Services-ANN-1040 - Personal_Mid</v>
      </c>
    </row>
    <row r="379" spans="1:39" x14ac:dyDescent="0.25">
      <c r="A379" s="2" t="s">
        <v>816</v>
      </c>
      <c r="B379" s="2" t="s">
        <v>817</v>
      </c>
      <c r="C379" s="2" t="s">
        <v>1197</v>
      </c>
      <c r="D379" s="8">
        <v>43831</v>
      </c>
      <c r="E379" s="5" t="str">
        <f t="shared" si="64"/>
        <v>King, Leslie_01-01-20</v>
      </c>
      <c r="F379" s="2" t="s">
        <v>1203</v>
      </c>
      <c r="G379" s="2" t="s">
        <v>1241</v>
      </c>
      <c r="H379" s="2" t="s">
        <v>1220</v>
      </c>
      <c r="I379" s="2" t="s">
        <v>1223</v>
      </c>
      <c r="J379" s="2" t="s">
        <v>1234</v>
      </c>
      <c r="M379" s="5" t="str">
        <f t="shared" si="55"/>
        <v>Basic</v>
      </c>
      <c r="N379" s="5" t="str">
        <f t="shared" si="56"/>
        <v>Tax-Staff-Basic</v>
      </c>
      <c r="O379" s="5" t="str">
        <f t="shared" si="57"/>
        <v>Tax-Reviewer-Basic</v>
      </c>
      <c r="P379" s="5" t="str">
        <f t="shared" si="58"/>
        <v>Tax-Signer-Basic</v>
      </c>
      <c r="Q379" s="6">
        <v>1.4675000000000016</v>
      </c>
      <c r="R379" s="6">
        <v>0.29350000000000032</v>
      </c>
      <c r="S379" s="6">
        <v>0.14675000000000016</v>
      </c>
      <c r="T379" s="7">
        <f t="shared" si="65"/>
        <v>1.9077500000000021</v>
      </c>
      <c r="U379" s="6" t="e">
        <f>SUMIFS([1]Sheet1!$L:$L,[1]Sheet1!$I:$I,AJ379,[1]Sheet1!$C:$C,A379)</f>
        <v>#VALUE!</v>
      </c>
      <c r="V379" s="6"/>
      <c r="W379" s="6"/>
      <c r="X379" s="7" t="e">
        <f t="shared" si="59"/>
        <v>#VALUE!</v>
      </c>
      <c r="Y379" s="6"/>
      <c r="AJ379" s="5" t="str">
        <f t="shared" si="60"/>
        <v>MO 1040 - Personal</v>
      </c>
      <c r="AK379" s="5" t="str">
        <f t="shared" si="61"/>
        <v>MO-Tax Services-ANN-1040 - Personal_Basic</v>
      </c>
      <c r="AL379" s="5" t="str">
        <f t="shared" si="62"/>
        <v>King, _2401_MO 1040 - Personal</v>
      </c>
      <c r="AM379" s="5" t="str">
        <f t="shared" si="63"/>
        <v>King, _2401_MO-Tax Services-ANN-1040 - Personal_Basic</v>
      </c>
    </row>
    <row r="380" spans="1:39" x14ac:dyDescent="0.25">
      <c r="A380" s="2" t="s">
        <v>818</v>
      </c>
      <c r="B380" s="2" t="s">
        <v>819</v>
      </c>
      <c r="C380" s="2" t="s">
        <v>1197</v>
      </c>
      <c r="D380" s="8">
        <v>43831</v>
      </c>
      <c r="E380" s="5" t="str">
        <f t="shared" si="64"/>
        <v>Kirker, Mark &amp; Carrie_01-01-20</v>
      </c>
      <c r="F380" s="2" t="s">
        <v>1203</v>
      </c>
      <c r="G380" s="2" t="s">
        <v>1241</v>
      </c>
      <c r="H380" s="2" t="s">
        <v>1220</v>
      </c>
      <c r="I380" s="2" t="s">
        <v>1223</v>
      </c>
      <c r="J380" s="2" t="s">
        <v>1234</v>
      </c>
      <c r="M380" s="5" t="str">
        <f t="shared" si="55"/>
        <v>Basic</v>
      </c>
      <c r="N380" s="5" t="str">
        <f t="shared" si="56"/>
        <v>Tax-Staff-Basic</v>
      </c>
      <c r="O380" s="5" t="str">
        <f t="shared" si="57"/>
        <v>Tax-Reviewer-Basic</v>
      </c>
      <c r="P380" s="5" t="str">
        <f t="shared" si="58"/>
        <v>Tax-Signer-Basic</v>
      </c>
      <c r="Q380" s="6">
        <v>1.4675000000000016</v>
      </c>
      <c r="R380" s="6">
        <v>0.29350000000000032</v>
      </c>
      <c r="S380" s="6">
        <v>0.14675000000000016</v>
      </c>
      <c r="T380" s="7">
        <f t="shared" si="65"/>
        <v>1.9077500000000021</v>
      </c>
      <c r="U380" s="6" t="e">
        <f>SUMIFS([1]Sheet1!$L:$L,[1]Sheet1!$I:$I,AJ380,[1]Sheet1!$C:$C,A380)</f>
        <v>#VALUE!</v>
      </c>
      <c r="V380" s="6"/>
      <c r="W380" s="6"/>
      <c r="X380" s="7" t="e">
        <f t="shared" si="59"/>
        <v>#VALUE!</v>
      </c>
      <c r="Y380" s="6"/>
      <c r="AJ380" s="5" t="str">
        <f t="shared" si="60"/>
        <v>MO 1040 - Personal</v>
      </c>
      <c r="AK380" s="5" t="str">
        <f t="shared" si="61"/>
        <v>MO-Tax Services-ANN-1040 - Personal_Basic</v>
      </c>
      <c r="AL380" s="5" t="str">
        <f t="shared" si="62"/>
        <v>Kirker_5512_MO 1040 - Personal</v>
      </c>
      <c r="AM380" s="5" t="str">
        <f t="shared" si="63"/>
        <v>Kirker_5512_MO-Tax Services-ANN-1040 - Personal_Basic</v>
      </c>
    </row>
    <row r="381" spans="1:39" x14ac:dyDescent="0.25">
      <c r="A381" s="2" t="s">
        <v>648</v>
      </c>
      <c r="B381" s="2" t="s">
        <v>649</v>
      </c>
      <c r="C381" s="2" t="s">
        <v>1196</v>
      </c>
      <c r="D381" s="8">
        <v>43831</v>
      </c>
      <c r="E381" s="5" t="str">
        <f t="shared" si="64"/>
        <v>Kirkman, Travis_01-01-20</v>
      </c>
      <c r="F381" s="2" t="s">
        <v>1203</v>
      </c>
      <c r="G381" s="2" t="s">
        <v>1241</v>
      </c>
      <c r="H381" s="2" t="s">
        <v>1220</v>
      </c>
      <c r="I381" s="2" t="s">
        <v>1223</v>
      </c>
      <c r="J381" s="2" t="s">
        <v>1234</v>
      </c>
      <c r="M381" s="5" t="str">
        <f t="shared" si="55"/>
        <v>Basic</v>
      </c>
      <c r="N381" s="5" t="str">
        <f t="shared" si="56"/>
        <v>Tax-Staff-Basic</v>
      </c>
      <c r="O381" s="5" t="str">
        <f t="shared" si="57"/>
        <v>Tax-Reviewer-Basic</v>
      </c>
      <c r="P381" s="5" t="str">
        <f t="shared" si="58"/>
        <v>Tax-Signer-Basic</v>
      </c>
      <c r="Q381" s="6">
        <v>1.4675000000000016</v>
      </c>
      <c r="R381" s="6">
        <v>0.29350000000000032</v>
      </c>
      <c r="S381" s="6">
        <v>0.14675000000000016</v>
      </c>
      <c r="T381" s="7">
        <f t="shared" si="65"/>
        <v>1.9077500000000021</v>
      </c>
      <c r="U381" s="6" t="e">
        <f>SUMIFS([1]Sheet1!$L:$L,[1]Sheet1!$I:$I,AJ381,[1]Sheet1!$C:$C,A381)</f>
        <v>#VALUE!</v>
      </c>
      <c r="V381" s="6"/>
      <c r="W381" s="6"/>
      <c r="X381" s="7" t="e">
        <f t="shared" si="59"/>
        <v>#VALUE!</v>
      </c>
      <c r="Y381" s="6"/>
      <c r="AJ381" s="5" t="str">
        <f t="shared" si="60"/>
        <v>NM 1040 - Personal</v>
      </c>
      <c r="AK381" s="5" t="str">
        <f t="shared" si="61"/>
        <v>NM-Tax Services-ANN-1040 - Personal_Basic</v>
      </c>
      <c r="AL381" s="5" t="str">
        <f t="shared" si="62"/>
        <v>Kirkma_0093_NM 1040 - Personal</v>
      </c>
      <c r="AM381" s="5" t="str">
        <f t="shared" si="63"/>
        <v>Kirkma_0093_NM-Tax Services-ANN-1040 - Personal_Basic</v>
      </c>
    </row>
    <row r="382" spans="1:39" x14ac:dyDescent="0.25">
      <c r="A382" s="2" t="s">
        <v>650</v>
      </c>
      <c r="B382" s="2" t="s">
        <v>651</v>
      </c>
      <c r="C382" s="2" t="s">
        <v>1196</v>
      </c>
      <c r="D382" s="8">
        <v>43831</v>
      </c>
      <c r="E382" s="5" t="str">
        <f t="shared" si="64"/>
        <v>Klotz, Jennifer_01-01-20</v>
      </c>
      <c r="F382" s="2" t="s">
        <v>1203</v>
      </c>
      <c r="G382" s="2" t="s">
        <v>1241</v>
      </c>
      <c r="H382" s="2" t="s">
        <v>1220</v>
      </c>
      <c r="I382" s="2" t="s">
        <v>1221</v>
      </c>
      <c r="J382" s="2" t="s">
        <v>1234</v>
      </c>
      <c r="M382" s="5" t="str">
        <f t="shared" si="55"/>
        <v>Mid</v>
      </c>
      <c r="N382" s="5" t="str">
        <f t="shared" si="56"/>
        <v>Tax-Staff-Mid</v>
      </c>
      <c r="O382" s="5" t="str">
        <f t="shared" si="57"/>
        <v>Tax-Reviewer-Mid</v>
      </c>
      <c r="P382" s="5" t="str">
        <f t="shared" si="58"/>
        <v>Tax-Signer-Mid</v>
      </c>
      <c r="Q382" s="6">
        <v>2.7401969696969677</v>
      </c>
      <c r="R382" s="6">
        <v>0.5480393939393936</v>
      </c>
      <c r="S382" s="6">
        <v>0.2740196969696968</v>
      </c>
      <c r="T382" s="7">
        <f t="shared" si="65"/>
        <v>3.562256060606058</v>
      </c>
      <c r="U382" s="6" t="e">
        <f>SUMIFS([1]Sheet1!$L:$L,[1]Sheet1!$I:$I,AJ382,[1]Sheet1!$C:$C,A382)</f>
        <v>#VALUE!</v>
      </c>
      <c r="V382" s="6"/>
      <c r="W382" s="6"/>
      <c r="X382" s="7" t="e">
        <f t="shared" si="59"/>
        <v>#VALUE!</v>
      </c>
      <c r="Y382" s="6"/>
      <c r="AJ382" s="5" t="str">
        <f t="shared" si="60"/>
        <v>NM 1040 - Personal</v>
      </c>
      <c r="AK382" s="5" t="str">
        <f t="shared" si="61"/>
        <v>NM-Tax Services-ANN-1040 - Personal_Mid</v>
      </c>
      <c r="AL382" s="5" t="str">
        <f t="shared" si="62"/>
        <v>Klotz,_8522_NM 1040 - Personal</v>
      </c>
      <c r="AM382" s="5" t="str">
        <f t="shared" si="63"/>
        <v>Klotz,_8522_NM-Tax Services-ANN-1040 - Personal_Mid</v>
      </c>
    </row>
    <row r="383" spans="1:39" x14ac:dyDescent="0.25">
      <c r="A383" s="2" t="s">
        <v>99</v>
      </c>
      <c r="B383" s="2" t="s">
        <v>100</v>
      </c>
      <c r="C383" s="2" t="s">
        <v>1197</v>
      </c>
      <c r="D383" s="8">
        <v>43831</v>
      </c>
      <c r="E383" s="5" t="str">
        <f t="shared" si="64"/>
        <v>Knox Fitzpatrick, P.C._01-01-20</v>
      </c>
      <c r="F383" s="2" t="s">
        <v>1201</v>
      </c>
      <c r="G383" s="2" t="s">
        <v>1201</v>
      </c>
      <c r="H383" s="2" t="s">
        <v>1197</v>
      </c>
      <c r="I383" s="2" t="s">
        <v>1223</v>
      </c>
      <c r="J383" s="2" t="s">
        <v>1235</v>
      </c>
      <c r="M383" s="5" t="str">
        <f t="shared" si="55"/>
        <v>Basic</v>
      </c>
      <c r="N383" s="5" t="str">
        <f t="shared" si="56"/>
        <v>Accountant-Staff-Basic</v>
      </c>
      <c r="O383" s="5" t="str">
        <f t="shared" si="57"/>
        <v>Accountant-Reviewer-Basic</v>
      </c>
      <c r="P383" s="5" t="str">
        <f t="shared" si="58"/>
        <v>Accountant-Signer-Basic</v>
      </c>
      <c r="Q383" s="6">
        <v>1.47</v>
      </c>
      <c r="R383" s="6">
        <v>0.29399999999999998</v>
      </c>
      <c r="S383" s="6">
        <v>0.14699999999999999</v>
      </c>
      <c r="T383" s="7">
        <f t="shared" si="65"/>
        <v>1.911</v>
      </c>
      <c r="U383" s="6" t="e">
        <f>SUMIFS([1]Sheet1!$L:$L,[1]Sheet1!$I:$I,AJ383,[1]Sheet1!$C:$C,A383)</f>
        <v>#VALUE!</v>
      </c>
      <c r="V383" s="6"/>
      <c r="W383" s="6"/>
      <c r="X383" s="7" t="e">
        <f t="shared" si="59"/>
        <v>#VALUE!</v>
      </c>
      <c r="Y383" s="6"/>
      <c r="AJ383" s="5" t="str">
        <f t="shared" si="60"/>
        <v>MO Accounting Services</v>
      </c>
      <c r="AK383" s="5" t="str">
        <f t="shared" si="61"/>
        <v>MO-Accounting Services-MO-Accounting Services_Basic</v>
      </c>
      <c r="AL383" s="5" t="str">
        <f t="shared" si="62"/>
        <v>Knox Fit_1120S_1_MO Accounting Services</v>
      </c>
      <c r="AM383" s="5" t="str">
        <f t="shared" si="63"/>
        <v>Knox Fit_1120S_1_MO-Accounting Services-MO-Accounting Services_Basic</v>
      </c>
    </row>
    <row r="384" spans="1:39" x14ac:dyDescent="0.25">
      <c r="A384" s="2" t="s">
        <v>1000</v>
      </c>
      <c r="B384" s="2" t="s">
        <v>1001</v>
      </c>
      <c r="C384" s="2" t="s">
        <v>1196</v>
      </c>
      <c r="D384" s="8">
        <v>43831</v>
      </c>
      <c r="E384" s="5" t="str">
        <f t="shared" si="64"/>
        <v>Kovis Ventures LLC_01-01-20</v>
      </c>
      <c r="F384" s="2" t="s">
        <v>1200</v>
      </c>
      <c r="G384" s="2" t="s">
        <v>1241</v>
      </c>
      <c r="H384" s="2" t="s">
        <v>1220</v>
      </c>
      <c r="I384" s="2" t="s">
        <v>1223</v>
      </c>
      <c r="J384" s="2" t="s">
        <v>1234</v>
      </c>
      <c r="M384" s="5" t="str">
        <f t="shared" si="55"/>
        <v>Basic</v>
      </c>
      <c r="N384" s="5" t="str">
        <f t="shared" si="56"/>
        <v>Tax-Staff-Basic</v>
      </c>
      <c r="O384" s="5" t="str">
        <f t="shared" si="57"/>
        <v>Tax-Reviewer-Basic</v>
      </c>
      <c r="P384" s="5" t="str">
        <f t="shared" si="58"/>
        <v>Tax-Signer-Basic</v>
      </c>
      <c r="Q384" s="6">
        <v>0.5</v>
      </c>
      <c r="R384" s="6">
        <v>0.1</v>
      </c>
      <c r="S384" s="6">
        <v>0.05</v>
      </c>
      <c r="T384" s="7">
        <f t="shared" si="65"/>
        <v>0.65</v>
      </c>
      <c r="U384" s="6" t="e">
        <f>SUMIFS([1]Sheet1!$L:$L,[1]Sheet1!$I:$I,AJ384,[1]Sheet1!$C:$C,A384)</f>
        <v>#VALUE!</v>
      </c>
      <c r="V384" s="6"/>
      <c r="W384" s="6"/>
      <c r="X384" s="7" t="e">
        <f t="shared" si="59"/>
        <v>#VALUE!</v>
      </c>
      <c r="Y384" s="6"/>
      <c r="AJ384" s="5" t="str">
        <f t="shared" si="60"/>
        <v>NM Texas Franchise Tax Return</v>
      </c>
      <c r="AK384" s="5" t="str">
        <f t="shared" si="61"/>
        <v>NM-Tax Services-ANN-Texas Franchise Tax Return_Basic</v>
      </c>
      <c r="AL384" s="5" t="str">
        <f t="shared" si="62"/>
        <v>Kovis Ve_TX-FTR_1_NM Texas Franchise Tax Return</v>
      </c>
      <c r="AM384" s="5" t="str">
        <f t="shared" si="63"/>
        <v>Kovis Ve_TX-FTR_1_NM-Tax Services-ANN-Texas Franchise Tax Return_Basic</v>
      </c>
    </row>
    <row r="385" spans="1:39" x14ac:dyDescent="0.25">
      <c r="A385" s="2" t="s">
        <v>652</v>
      </c>
      <c r="B385" s="2" t="s">
        <v>653</v>
      </c>
      <c r="C385" s="2" t="s">
        <v>1196</v>
      </c>
      <c r="D385" s="8">
        <v>43831</v>
      </c>
      <c r="E385" s="5" t="str">
        <f t="shared" si="64"/>
        <v>Krawiec, Cherie_01-01-20</v>
      </c>
      <c r="F385" s="2" t="s">
        <v>1203</v>
      </c>
      <c r="G385" s="2" t="s">
        <v>1241</v>
      </c>
      <c r="H385" s="2" t="s">
        <v>1220</v>
      </c>
      <c r="I385" s="2" t="s">
        <v>1223</v>
      </c>
      <c r="J385" s="2" t="s">
        <v>1234</v>
      </c>
      <c r="M385" s="5" t="str">
        <f t="shared" si="55"/>
        <v>Basic</v>
      </c>
      <c r="N385" s="5" t="str">
        <f t="shared" si="56"/>
        <v>Tax-Staff-Basic</v>
      </c>
      <c r="O385" s="5" t="str">
        <f t="shared" si="57"/>
        <v>Tax-Reviewer-Basic</v>
      </c>
      <c r="P385" s="5" t="str">
        <f t="shared" si="58"/>
        <v>Tax-Signer-Basic</v>
      </c>
      <c r="Q385" s="6">
        <v>1.4675000000000016</v>
      </c>
      <c r="R385" s="6">
        <v>0.29350000000000032</v>
      </c>
      <c r="S385" s="6">
        <v>0.14675000000000016</v>
      </c>
      <c r="T385" s="7">
        <f t="shared" si="65"/>
        <v>1.9077500000000021</v>
      </c>
      <c r="U385" s="6" t="e">
        <f>SUMIFS([1]Sheet1!$L:$L,[1]Sheet1!$I:$I,AJ385,[1]Sheet1!$C:$C,A385)</f>
        <v>#VALUE!</v>
      </c>
      <c r="V385" s="6"/>
      <c r="W385" s="6"/>
      <c r="X385" s="7" t="e">
        <f t="shared" si="59"/>
        <v>#VALUE!</v>
      </c>
      <c r="Y385" s="6"/>
      <c r="AJ385" s="5" t="str">
        <f t="shared" si="60"/>
        <v>NM 1040 - Personal</v>
      </c>
      <c r="AK385" s="5" t="str">
        <f t="shared" si="61"/>
        <v>NM-Tax Services-ANN-1040 - Personal_Basic</v>
      </c>
      <c r="AL385" s="5" t="str">
        <f t="shared" si="62"/>
        <v>Krawie_5281_NM 1040 - Personal</v>
      </c>
      <c r="AM385" s="5" t="str">
        <f t="shared" si="63"/>
        <v>Krawie_5281_NM-Tax Services-ANN-1040 - Personal_Basic</v>
      </c>
    </row>
    <row r="386" spans="1:39" x14ac:dyDescent="0.25">
      <c r="A386" s="2" t="s">
        <v>820</v>
      </c>
      <c r="B386" s="2" t="s">
        <v>821</v>
      </c>
      <c r="C386" s="2" t="s">
        <v>1197</v>
      </c>
      <c r="D386" s="8">
        <v>43831</v>
      </c>
      <c r="E386" s="5" t="str">
        <f t="shared" si="64"/>
        <v>Kriz, Douglas &amp; Meredith_01-01-20</v>
      </c>
      <c r="F386" s="2" t="s">
        <v>1203</v>
      </c>
      <c r="G386" s="2" t="s">
        <v>1241</v>
      </c>
      <c r="H386" s="2" t="s">
        <v>1220</v>
      </c>
      <c r="I386" s="2" t="s">
        <v>1222</v>
      </c>
      <c r="J386" s="2" t="s">
        <v>1234</v>
      </c>
      <c r="M386" s="5" t="str">
        <f t="shared" ref="M386:M449" si="66">I386</f>
        <v>Adv</v>
      </c>
      <c r="N386" s="5" t="str">
        <f t="shared" ref="N386:N449" si="67">$J386&amp;"-"&amp;"Staff"&amp;"-"&amp;$M386</f>
        <v>Tax-Staff-Adv</v>
      </c>
      <c r="O386" s="5" t="str">
        <f t="shared" ref="O386:O449" si="68">$J386&amp;"-"&amp;"Reviewer"&amp;"-"&amp;$M386</f>
        <v>Tax-Reviewer-Adv</v>
      </c>
      <c r="P386" s="5" t="str">
        <f t="shared" ref="P386:P449" si="69">$J386&amp;"-"&amp;"Signer"&amp;"-"&amp;$M386</f>
        <v>Tax-Signer-Adv</v>
      </c>
      <c r="Q386" s="6">
        <v>4.5832500000000005</v>
      </c>
      <c r="R386" s="6">
        <v>0.91665000000000019</v>
      </c>
      <c r="S386" s="6">
        <v>0.45832500000000009</v>
      </c>
      <c r="T386" s="7">
        <f t="shared" si="65"/>
        <v>5.9582250000000005</v>
      </c>
      <c r="U386" s="6" t="e">
        <f>SUMIFS([1]Sheet1!$L:$L,[1]Sheet1!$I:$I,AJ386,[1]Sheet1!$C:$C,A386)</f>
        <v>#VALUE!</v>
      </c>
      <c r="V386" s="6"/>
      <c r="W386" s="6"/>
      <c r="X386" s="7" t="e">
        <f t="shared" ref="X386:X449" si="70">SUM(U386:W386)</f>
        <v>#VALUE!</v>
      </c>
      <c r="Y386" s="6"/>
      <c r="AJ386" s="5" t="str">
        <f t="shared" ref="AJ386:AJ449" si="71">C386&amp;" "&amp;F386</f>
        <v>MO 1040 - Personal</v>
      </c>
      <c r="AK386" s="5" t="str">
        <f t="shared" ref="AK386:AK449" si="72">C386&amp;"-"&amp;G386&amp;"-"&amp;H386&amp;"-"&amp;F386&amp;"_"&amp;I386</f>
        <v>MO-Tax Services-ANN-1040 - Personal_Adv</v>
      </c>
      <c r="AL386" s="5" t="str">
        <f t="shared" ref="AL386:AL449" si="73">A386&amp;"_"&amp;AJ386</f>
        <v>Kriz, _5656_MO 1040 - Personal</v>
      </c>
      <c r="AM386" s="5" t="str">
        <f t="shared" ref="AM386:AM449" si="74">A386&amp;"_"&amp;AK386</f>
        <v>Kriz, _5656_MO-Tax Services-ANN-1040 - Personal_Adv</v>
      </c>
    </row>
    <row r="387" spans="1:39" x14ac:dyDescent="0.25">
      <c r="A387" s="2" t="s">
        <v>101</v>
      </c>
      <c r="B387" s="2" t="s">
        <v>102</v>
      </c>
      <c r="C387" s="2" t="s">
        <v>1197</v>
      </c>
      <c r="D387" s="8">
        <v>43831</v>
      </c>
      <c r="E387" s="5" t="str">
        <f t="shared" ref="E387:E450" si="75">B387&amp;"_"&amp;TEXT(D387,"DD-MM-YY")</f>
        <v>KSF ICE LLC_01-01-20</v>
      </c>
      <c r="F387" s="2" t="s">
        <v>1201</v>
      </c>
      <c r="G387" s="2" t="s">
        <v>1201</v>
      </c>
      <c r="H387" s="2" t="s">
        <v>1197</v>
      </c>
      <c r="I387" s="2" t="s">
        <v>1222</v>
      </c>
      <c r="J387" s="2" t="s">
        <v>1235</v>
      </c>
      <c r="M387" s="5" t="str">
        <f t="shared" si="66"/>
        <v>Adv</v>
      </c>
      <c r="N387" s="5" t="str">
        <f t="shared" si="67"/>
        <v>Accountant-Staff-Adv</v>
      </c>
      <c r="O387" s="5" t="str">
        <f t="shared" si="68"/>
        <v>Accountant-Reviewer-Adv</v>
      </c>
      <c r="P387" s="5" t="str">
        <f t="shared" si="69"/>
        <v>Accountant-Signer-Adv</v>
      </c>
      <c r="Q387" s="6">
        <v>1.47</v>
      </c>
      <c r="R387" s="6">
        <v>0.29399999999999998</v>
      </c>
      <c r="S387" s="6">
        <v>0.14699999999999999</v>
      </c>
      <c r="T387" s="7">
        <f t="shared" ref="T387:T450" si="76">SUM(Q387:S387)</f>
        <v>1.911</v>
      </c>
      <c r="U387" s="6" t="e">
        <f>SUMIFS([1]Sheet1!$L:$L,[1]Sheet1!$I:$I,AJ387,[1]Sheet1!$C:$C,A387)</f>
        <v>#VALUE!</v>
      </c>
      <c r="V387" s="6"/>
      <c r="W387" s="6"/>
      <c r="X387" s="7" t="e">
        <f t="shared" si="70"/>
        <v>#VALUE!</v>
      </c>
      <c r="Y387" s="6"/>
      <c r="AJ387" s="5" t="str">
        <f t="shared" si="71"/>
        <v>MO Accounting Services</v>
      </c>
      <c r="AK387" s="5" t="str">
        <f t="shared" si="72"/>
        <v>MO-Accounting Services-MO-Accounting Services_Adv</v>
      </c>
      <c r="AL387" s="5" t="str">
        <f t="shared" si="73"/>
        <v>KSF ICE _1040_1_MO Accounting Services</v>
      </c>
      <c r="AM387" s="5" t="str">
        <f t="shared" si="74"/>
        <v>KSF ICE _1040_1_MO-Accounting Services-MO-Accounting Services_Adv</v>
      </c>
    </row>
    <row r="388" spans="1:39" x14ac:dyDescent="0.25">
      <c r="A388" s="2" t="s">
        <v>103</v>
      </c>
      <c r="B388" s="2" t="s">
        <v>104</v>
      </c>
      <c r="C388" s="2" t="s">
        <v>1197</v>
      </c>
      <c r="D388" s="8">
        <v>43831</v>
      </c>
      <c r="E388" s="5" t="str">
        <f t="shared" si="75"/>
        <v>KSF Properties LLC_01-01-20</v>
      </c>
      <c r="F388" s="2" t="s">
        <v>1201</v>
      </c>
      <c r="G388" s="2" t="s">
        <v>1201</v>
      </c>
      <c r="H388" s="2" t="s">
        <v>1197</v>
      </c>
      <c r="I388" s="2" t="s">
        <v>1223</v>
      </c>
      <c r="J388" s="2" t="s">
        <v>1235</v>
      </c>
      <c r="M388" s="5" t="str">
        <f t="shared" si="66"/>
        <v>Basic</v>
      </c>
      <c r="N388" s="5" t="str">
        <f t="shared" si="67"/>
        <v>Accountant-Staff-Basic</v>
      </c>
      <c r="O388" s="5" t="str">
        <f t="shared" si="68"/>
        <v>Accountant-Reviewer-Basic</v>
      </c>
      <c r="P388" s="5" t="str">
        <f t="shared" si="69"/>
        <v>Accountant-Signer-Basic</v>
      </c>
      <c r="Q388" s="6">
        <v>1.47</v>
      </c>
      <c r="R388" s="6">
        <v>0.29399999999999998</v>
      </c>
      <c r="S388" s="6">
        <v>0.14699999999999999</v>
      </c>
      <c r="T388" s="7">
        <f t="shared" si="76"/>
        <v>1.911</v>
      </c>
      <c r="U388" s="6" t="e">
        <f>SUMIFS([1]Sheet1!$L:$L,[1]Sheet1!$I:$I,AJ388,[1]Sheet1!$C:$C,A388)</f>
        <v>#VALUE!</v>
      </c>
      <c r="V388" s="6"/>
      <c r="W388" s="6"/>
      <c r="X388" s="7" t="e">
        <f t="shared" si="70"/>
        <v>#VALUE!</v>
      </c>
      <c r="Y388" s="6"/>
      <c r="AJ388" s="5" t="str">
        <f t="shared" si="71"/>
        <v>MO Accounting Services</v>
      </c>
      <c r="AK388" s="5" t="str">
        <f t="shared" si="72"/>
        <v>MO-Accounting Services-MO-Accounting Services_Basic</v>
      </c>
      <c r="AL388" s="5" t="str">
        <f t="shared" si="73"/>
        <v>KSF Prop_1040_1_MO Accounting Services</v>
      </c>
      <c r="AM388" s="5" t="str">
        <f t="shared" si="74"/>
        <v>KSF Prop_1040_1_MO-Accounting Services-MO-Accounting Services_Basic</v>
      </c>
    </row>
    <row r="389" spans="1:39" x14ac:dyDescent="0.25">
      <c r="A389" s="2" t="s">
        <v>103</v>
      </c>
      <c r="B389" s="2" t="s">
        <v>104</v>
      </c>
      <c r="C389" s="2" t="s">
        <v>1197</v>
      </c>
      <c r="D389" s="8">
        <v>43831</v>
      </c>
      <c r="E389" s="5" t="str">
        <f t="shared" si="75"/>
        <v>KSF Properties LLC_01-01-20</v>
      </c>
      <c r="F389" s="2" t="s">
        <v>1200</v>
      </c>
      <c r="G389" s="2" t="s">
        <v>1241</v>
      </c>
      <c r="H389" s="2" t="s">
        <v>1220</v>
      </c>
      <c r="I389" s="2" t="s">
        <v>1222</v>
      </c>
      <c r="J389" s="2" t="s">
        <v>1234</v>
      </c>
      <c r="M389" s="5" t="str">
        <f t="shared" si="66"/>
        <v>Adv</v>
      </c>
      <c r="N389" s="5" t="str">
        <f t="shared" si="67"/>
        <v>Tax-Staff-Adv</v>
      </c>
      <c r="O389" s="5" t="str">
        <f t="shared" si="68"/>
        <v>Tax-Reviewer-Adv</v>
      </c>
      <c r="P389" s="5" t="str">
        <f t="shared" si="69"/>
        <v>Tax-Signer-Adv</v>
      </c>
      <c r="Q389" s="6">
        <v>1.5</v>
      </c>
      <c r="R389" s="6">
        <v>0.30000000000000004</v>
      </c>
      <c r="S389" s="6">
        <v>0.15000000000000002</v>
      </c>
      <c r="T389" s="7">
        <f t="shared" si="76"/>
        <v>1.9500000000000002</v>
      </c>
      <c r="U389" s="6" t="e">
        <f>SUMIFS([1]Sheet1!$L:$L,[1]Sheet1!$I:$I,AJ389,[1]Sheet1!$C:$C,A389)</f>
        <v>#VALUE!</v>
      </c>
      <c r="V389" s="6"/>
      <c r="W389" s="6"/>
      <c r="X389" s="7" t="e">
        <f t="shared" si="70"/>
        <v>#VALUE!</v>
      </c>
      <c r="Y389" s="6"/>
      <c r="AJ389" s="5" t="str">
        <f t="shared" si="71"/>
        <v>MO Texas Franchise Tax Return</v>
      </c>
      <c r="AK389" s="5" t="str">
        <f t="shared" si="72"/>
        <v>MO-Tax Services-ANN-Texas Franchise Tax Return_Adv</v>
      </c>
      <c r="AL389" s="5" t="str">
        <f t="shared" si="73"/>
        <v>KSF Prop_1040_1_MO Texas Franchise Tax Return</v>
      </c>
      <c r="AM389" s="5" t="str">
        <f t="shared" si="74"/>
        <v>KSF Prop_1040_1_MO-Tax Services-ANN-Texas Franchise Tax Return_Adv</v>
      </c>
    </row>
    <row r="390" spans="1:39" x14ac:dyDescent="0.25">
      <c r="A390" s="2" t="s">
        <v>1111</v>
      </c>
      <c r="B390" s="2" t="s">
        <v>1112</v>
      </c>
      <c r="C390" s="2" t="s">
        <v>1196</v>
      </c>
      <c r="D390" s="8">
        <v>43831</v>
      </c>
      <c r="E390" s="5" t="str">
        <f t="shared" si="75"/>
        <v>Kurt Hoffman_01-01-20</v>
      </c>
      <c r="F390" s="2" t="s">
        <v>1203</v>
      </c>
      <c r="G390" s="2" t="s">
        <v>1241</v>
      </c>
      <c r="H390" s="2" t="s">
        <v>1220</v>
      </c>
      <c r="I390" s="2" t="s">
        <v>1223</v>
      </c>
      <c r="J390" s="2" t="s">
        <v>1234</v>
      </c>
      <c r="M390" s="5" t="str">
        <f t="shared" si="66"/>
        <v>Basic</v>
      </c>
      <c r="N390" s="5" t="str">
        <f t="shared" si="67"/>
        <v>Tax-Staff-Basic</v>
      </c>
      <c r="O390" s="5" t="str">
        <f t="shared" si="68"/>
        <v>Tax-Reviewer-Basic</v>
      </c>
      <c r="P390" s="5" t="str">
        <f t="shared" si="69"/>
        <v>Tax-Signer-Basic</v>
      </c>
      <c r="Q390" s="6">
        <v>1.4675000000000016</v>
      </c>
      <c r="R390" s="6">
        <v>0.29350000000000032</v>
      </c>
      <c r="S390" s="6">
        <v>0.14675000000000016</v>
      </c>
      <c r="T390" s="7">
        <f t="shared" si="76"/>
        <v>1.9077500000000021</v>
      </c>
      <c r="U390" s="6" t="e">
        <f>SUMIFS([1]Sheet1!$L:$L,[1]Sheet1!$I:$I,AJ390,[1]Sheet1!$C:$C,A390)</f>
        <v>#VALUE!</v>
      </c>
      <c r="V390" s="6"/>
      <c r="W390" s="6"/>
      <c r="X390" s="7" t="e">
        <f t="shared" si="70"/>
        <v>#VALUE!</v>
      </c>
      <c r="Y390" s="6"/>
      <c r="AJ390" s="5" t="str">
        <f t="shared" si="71"/>
        <v>NM 1040 - Personal</v>
      </c>
      <c r="AK390" s="5" t="str">
        <f t="shared" si="72"/>
        <v>NM-Tax Services-ANN-1040 - Personal_Basic</v>
      </c>
      <c r="AL390" s="5" t="str">
        <f t="shared" si="73"/>
        <v>Kurt H_0064_NM 1040 - Personal</v>
      </c>
      <c r="AM390" s="5" t="str">
        <f t="shared" si="74"/>
        <v>Kurt H_0064_NM-Tax Services-ANN-1040 - Personal_Basic</v>
      </c>
    </row>
    <row r="391" spans="1:39" x14ac:dyDescent="0.25">
      <c r="A391" s="2" t="s">
        <v>654</v>
      </c>
      <c r="B391" s="2" t="s">
        <v>655</v>
      </c>
      <c r="C391" s="2" t="s">
        <v>1196</v>
      </c>
      <c r="D391" s="8">
        <v>43831</v>
      </c>
      <c r="E391" s="5" t="str">
        <f t="shared" si="75"/>
        <v>Kyle, Jeffrey G &amp; Amy E_01-01-20</v>
      </c>
      <c r="F391" s="2" t="s">
        <v>1203</v>
      </c>
      <c r="G391" s="2" t="s">
        <v>1241</v>
      </c>
      <c r="H391" s="2" t="s">
        <v>1220</v>
      </c>
      <c r="I391" s="2" t="s">
        <v>1223</v>
      </c>
      <c r="J391" s="2" t="s">
        <v>1234</v>
      </c>
      <c r="M391" s="5" t="str">
        <f t="shared" si="66"/>
        <v>Basic</v>
      </c>
      <c r="N391" s="5" t="str">
        <f t="shared" si="67"/>
        <v>Tax-Staff-Basic</v>
      </c>
      <c r="O391" s="5" t="str">
        <f t="shared" si="68"/>
        <v>Tax-Reviewer-Basic</v>
      </c>
      <c r="P391" s="5" t="str">
        <f t="shared" si="69"/>
        <v>Tax-Signer-Basic</v>
      </c>
      <c r="Q391" s="6">
        <v>1.4675000000000016</v>
      </c>
      <c r="R391" s="6">
        <v>0.29350000000000032</v>
      </c>
      <c r="S391" s="6">
        <v>0.14675000000000016</v>
      </c>
      <c r="T391" s="7">
        <f t="shared" si="76"/>
        <v>1.9077500000000021</v>
      </c>
      <c r="U391" s="6" t="e">
        <f>SUMIFS([1]Sheet1!$L:$L,[1]Sheet1!$I:$I,AJ391,[1]Sheet1!$C:$C,A391)</f>
        <v>#VALUE!</v>
      </c>
      <c r="V391" s="6"/>
      <c r="W391" s="6"/>
      <c r="X391" s="7" t="e">
        <f t="shared" si="70"/>
        <v>#VALUE!</v>
      </c>
      <c r="Y391" s="6"/>
      <c r="AJ391" s="5" t="str">
        <f t="shared" si="71"/>
        <v>NM 1040 - Personal</v>
      </c>
      <c r="AK391" s="5" t="str">
        <f t="shared" si="72"/>
        <v>NM-Tax Services-ANN-1040 - Personal_Basic</v>
      </c>
      <c r="AL391" s="5" t="str">
        <f t="shared" si="73"/>
        <v>Kyle, _8840_NM 1040 - Personal</v>
      </c>
      <c r="AM391" s="5" t="str">
        <f t="shared" si="74"/>
        <v>Kyle, _8840_NM-Tax Services-ANN-1040 - Personal_Basic</v>
      </c>
    </row>
    <row r="392" spans="1:39" x14ac:dyDescent="0.25">
      <c r="A392" s="2" t="s">
        <v>656</v>
      </c>
      <c r="B392" s="2" t="s">
        <v>657</v>
      </c>
      <c r="C392" s="2" t="s">
        <v>1196</v>
      </c>
      <c r="D392" s="8">
        <v>43831</v>
      </c>
      <c r="E392" s="5" t="str">
        <f t="shared" si="75"/>
        <v>Lacy, Georgine M_01-01-20</v>
      </c>
      <c r="F392" s="2" t="s">
        <v>1203</v>
      </c>
      <c r="G392" s="2" t="s">
        <v>1241</v>
      </c>
      <c r="H392" s="2" t="s">
        <v>1220</v>
      </c>
      <c r="I392" s="2" t="s">
        <v>1223</v>
      </c>
      <c r="J392" s="2" t="s">
        <v>1234</v>
      </c>
      <c r="M392" s="5" t="str">
        <f t="shared" si="66"/>
        <v>Basic</v>
      </c>
      <c r="N392" s="5" t="str">
        <f t="shared" si="67"/>
        <v>Tax-Staff-Basic</v>
      </c>
      <c r="O392" s="5" t="str">
        <f t="shared" si="68"/>
        <v>Tax-Reviewer-Basic</v>
      </c>
      <c r="P392" s="5" t="str">
        <f t="shared" si="69"/>
        <v>Tax-Signer-Basic</v>
      </c>
      <c r="Q392" s="6">
        <v>1.4675000000000016</v>
      </c>
      <c r="R392" s="6">
        <v>0.29350000000000032</v>
      </c>
      <c r="S392" s="6">
        <v>0.14675000000000016</v>
      </c>
      <c r="T392" s="7">
        <f t="shared" si="76"/>
        <v>1.9077500000000021</v>
      </c>
      <c r="U392" s="6" t="e">
        <f>SUMIFS([1]Sheet1!$L:$L,[1]Sheet1!$I:$I,AJ392,[1]Sheet1!$C:$C,A392)</f>
        <v>#VALUE!</v>
      </c>
      <c r="V392" s="6"/>
      <c r="W392" s="6"/>
      <c r="X392" s="7" t="e">
        <f t="shared" si="70"/>
        <v>#VALUE!</v>
      </c>
      <c r="Y392" s="6"/>
      <c r="AJ392" s="5" t="str">
        <f t="shared" si="71"/>
        <v>NM 1040 - Personal</v>
      </c>
      <c r="AK392" s="5" t="str">
        <f t="shared" si="72"/>
        <v>NM-Tax Services-ANN-1040 - Personal_Basic</v>
      </c>
      <c r="AL392" s="5" t="str">
        <f t="shared" si="73"/>
        <v>Lacy, _8190_NM 1040 - Personal</v>
      </c>
      <c r="AM392" s="5" t="str">
        <f t="shared" si="74"/>
        <v>Lacy, _8190_NM-Tax Services-ANN-1040 - Personal_Basic</v>
      </c>
    </row>
    <row r="393" spans="1:39" x14ac:dyDescent="0.25">
      <c r="A393" s="2" t="s">
        <v>105</v>
      </c>
      <c r="B393" s="2" t="s">
        <v>106</v>
      </c>
      <c r="C393" s="2" t="s">
        <v>1197</v>
      </c>
      <c r="D393" s="8">
        <v>43831</v>
      </c>
      <c r="E393" s="5" t="str">
        <f t="shared" si="75"/>
        <v>Landmark Paint and Supply Co._01-01-20</v>
      </c>
      <c r="F393" s="2" t="s">
        <v>1199</v>
      </c>
      <c r="G393" s="2" t="s">
        <v>1241</v>
      </c>
      <c r="H393" s="2" t="s">
        <v>1220</v>
      </c>
      <c r="I393" s="2" t="s">
        <v>1221</v>
      </c>
      <c r="J393" s="2" t="s">
        <v>1234</v>
      </c>
      <c r="M393" s="5" t="str">
        <f t="shared" si="66"/>
        <v>Mid</v>
      </c>
      <c r="N393" s="5" t="str">
        <f t="shared" si="67"/>
        <v>Tax-Staff-Mid</v>
      </c>
      <c r="O393" s="5" t="str">
        <f t="shared" si="68"/>
        <v>Tax-Reviewer-Mid</v>
      </c>
      <c r="P393" s="5" t="str">
        <f t="shared" si="69"/>
        <v>Tax-Signer-Mid</v>
      </c>
      <c r="Q393" s="6">
        <v>2.7401969696969677</v>
      </c>
      <c r="R393" s="6">
        <v>0.5480393939393936</v>
      </c>
      <c r="S393" s="6">
        <v>0.2740196969696968</v>
      </c>
      <c r="T393" s="7">
        <f t="shared" si="76"/>
        <v>3.562256060606058</v>
      </c>
      <c r="U393" s="6" t="e">
        <f>SUMIFS([1]Sheet1!$L:$L,[1]Sheet1!$I:$I,AJ393,[1]Sheet1!$C:$C,A393)</f>
        <v>#VALUE!</v>
      </c>
      <c r="V393" s="6"/>
      <c r="W393" s="6"/>
      <c r="X393" s="7" t="e">
        <f t="shared" si="70"/>
        <v>#VALUE!</v>
      </c>
      <c r="Y393" s="6"/>
      <c r="AJ393" s="5" t="str">
        <f t="shared" si="71"/>
        <v>MO 1065 - Partnership</v>
      </c>
      <c r="AK393" s="5" t="str">
        <f t="shared" si="72"/>
        <v>MO-Tax Services-ANN-1065 - Partnership_Mid</v>
      </c>
      <c r="AL393" s="5" t="str">
        <f t="shared" si="73"/>
        <v>Landmark_1120S_83-0457076_MO 1065 - Partnership</v>
      </c>
      <c r="AM393" s="5" t="str">
        <f t="shared" si="74"/>
        <v>Landmark_1120S_83-0457076_MO-Tax Services-ANN-1065 - Partnership_Mid</v>
      </c>
    </row>
    <row r="394" spans="1:39" x14ac:dyDescent="0.25">
      <c r="A394" s="2" t="s">
        <v>105</v>
      </c>
      <c r="B394" s="2" t="s">
        <v>106</v>
      </c>
      <c r="C394" s="2" t="s">
        <v>1197</v>
      </c>
      <c r="D394" s="8">
        <v>43831</v>
      </c>
      <c r="E394" s="5" t="str">
        <f t="shared" si="75"/>
        <v>Landmark Paint and Supply Co._01-01-20</v>
      </c>
      <c r="F394" s="2" t="s">
        <v>1201</v>
      </c>
      <c r="G394" s="2" t="s">
        <v>1201</v>
      </c>
      <c r="H394" s="2" t="s">
        <v>1197</v>
      </c>
      <c r="I394" s="2" t="s">
        <v>1221</v>
      </c>
      <c r="J394" s="2" t="s">
        <v>1235</v>
      </c>
      <c r="M394" s="5" t="str">
        <f t="shared" si="66"/>
        <v>Mid</v>
      </c>
      <c r="N394" s="5" t="str">
        <f t="shared" si="67"/>
        <v>Accountant-Staff-Mid</v>
      </c>
      <c r="O394" s="5" t="str">
        <f t="shared" si="68"/>
        <v>Accountant-Reviewer-Mid</v>
      </c>
      <c r="P394" s="5" t="str">
        <f t="shared" si="69"/>
        <v>Accountant-Signer-Mid</v>
      </c>
      <c r="Q394" s="6">
        <v>1.47</v>
      </c>
      <c r="R394" s="6">
        <v>0.29399999999999998</v>
      </c>
      <c r="S394" s="6">
        <v>0.14699999999999999</v>
      </c>
      <c r="T394" s="7">
        <f t="shared" si="76"/>
        <v>1.911</v>
      </c>
      <c r="U394" s="6" t="e">
        <f>SUMIFS([1]Sheet1!$L:$L,[1]Sheet1!$I:$I,AJ394,[1]Sheet1!$C:$C,A394)</f>
        <v>#VALUE!</v>
      </c>
      <c r="V394" s="6"/>
      <c r="W394" s="6"/>
      <c r="X394" s="7" t="e">
        <f t="shared" si="70"/>
        <v>#VALUE!</v>
      </c>
      <c r="Y394" s="6"/>
      <c r="AJ394" s="5" t="str">
        <f t="shared" si="71"/>
        <v>MO Accounting Services</v>
      </c>
      <c r="AK394" s="5" t="str">
        <f t="shared" si="72"/>
        <v>MO-Accounting Services-MO-Accounting Services_Mid</v>
      </c>
      <c r="AL394" s="5" t="str">
        <f t="shared" si="73"/>
        <v>Landmark_1120S_83-0457076_MO Accounting Services</v>
      </c>
      <c r="AM394" s="5" t="str">
        <f t="shared" si="74"/>
        <v>Landmark_1120S_83-0457076_MO-Accounting Services-MO-Accounting Services_Mid</v>
      </c>
    </row>
    <row r="395" spans="1:39" x14ac:dyDescent="0.25">
      <c r="A395" s="2" t="s">
        <v>105</v>
      </c>
      <c r="B395" s="2" t="s">
        <v>106</v>
      </c>
      <c r="C395" s="2" t="s">
        <v>1197</v>
      </c>
      <c r="D395" s="8">
        <v>43831</v>
      </c>
      <c r="E395" s="5" t="str">
        <f t="shared" si="75"/>
        <v>Landmark Paint and Supply Co._01-01-20</v>
      </c>
      <c r="F395" s="2" t="s">
        <v>1204</v>
      </c>
      <c r="G395" s="2" t="s">
        <v>1241</v>
      </c>
      <c r="H395" s="2" t="s">
        <v>1220</v>
      </c>
      <c r="I395" s="2" t="s">
        <v>1222</v>
      </c>
      <c r="J395" s="2" t="s">
        <v>1234</v>
      </c>
      <c r="M395" s="5" t="str">
        <f t="shared" si="66"/>
        <v>Adv</v>
      </c>
      <c r="N395" s="5" t="str">
        <f t="shared" si="67"/>
        <v>Tax-Staff-Adv</v>
      </c>
      <c r="O395" s="5" t="str">
        <f t="shared" si="68"/>
        <v>Tax-Reviewer-Adv</v>
      </c>
      <c r="P395" s="5" t="str">
        <f t="shared" si="69"/>
        <v>Tax-Signer-Adv</v>
      </c>
      <c r="Q395" s="6">
        <v>4.5832500000000005</v>
      </c>
      <c r="R395" s="6">
        <v>0.91665000000000019</v>
      </c>
      <c r="S395" s="6">
        <v>0.45832500000000009</v>
      </c>
      <c r="T395" s="7">
        <f t="shared" si="76"/>
        <v>5.9582250000000005</v>
      </c>
      <c r="U395" s="6" t="e">
        <f>SUMIFS([1]Sheet1!$L:$L,[1]Sheet1!$I:$I,AJ395,[1]Sheet1!$C:$C,A395)</f>
        <v>#VALUE!</v>
      </c>
      <c r="V395" s="6"/>
      <c r="W395" s="6"/>
      <c r="X395" s="7" t="e">
        <f t="shared" si="70"/>
        <v>#VALUE!</v>
      </c>
      <c r="Y395" s="6"/>
      <c r="AJ395" s="5" t="str">
        <f t="shared" si="71"/>
        <v>MO 1120S - S Corporation</v>
      </c>
      <c r="AK395" s="5" t="str">
        <f t="shared" si="72"/>
        <v>MO-Tax Services-ANN-1120S - S Corporation_Adv</v>
      </c>
      <c r="AL395" s="5" t="str">
        <f t="shared" si="73"/>
        <v>Landmark_1120S_83-0457076_MO 1120S - S Corporation</v>
      </c>
      <c r="AM395" s="5" t="str">
        <f t="shared" si="74"/>
        <v>Landmark_1120S_83-0457076_MO-Tax Services-ANN-1120S - S Corporation_Adv</v>
      </c>
    </row>
    <row r="396" spans="1:39" x14ac:dyDescent="0.25">
      <c r="A396" s="2" t="s">
        <v>105</v>
      </c>
      <c r="B396" s="2" t="s">
        <v>106</v>
      </c>
      <c r="C396" s="2" t="s">
        <v>1197</v>
      </c>
      <c r="D396" s="8">
        <v>43831</v>
      </c>
      <c r="E396" s="5" t="str">
        <f t="shared" si="75"/>
        <v>Landmark Paint and Supply Co._01-01-20</v>
      </c>
      <c r="F396" s="2" t="s">
        <v>1200</v>
      </c>
      <c r="G396" s="2" t="s">
        <v>1241</v>
      </c>
      <c r="H396" s="2" t="s">
        <v>1220</v>
      </c>
      <c r="I396" s="2" t="s">
        <v>1221</v>
      </c>
      <c r="J396" s="2" t="s">
        <v>1234</v>
      </c>
      <c r="M396" s="5" t="str">
        <f t="shared" si="66"/>
        <v>Mid</v>
      </c>
      <c r="N396" s="5" t="str">
        <f t="shared" si="67"/>
        <v>Tax-Staff-Mid</v>
      </c>
      <c r="O396" s="5" t="str">
        <f t="shared" si="68"/>
        <v>Tax-Reviewer-Mid</v>
      </c>
      <c r="P396" s="5" t="str">
        <f t="shared" si="69"/>
        <v>Tax-Signer-Mid</v>
      </c>
      <c r="Q396" s="6">
        <v>0.75</v>
      </c>
      <c r="R396" s="6">
        <v>0.15000000000000002</v>
      </c>
      <c r="S396" s="6">
        <v>7.5000000000000011E-2</v>
      </c>
      <c r="T396" s="7">
        <f t="shared" si="76"/>
        <v>0.97500000000000009</v>
      </c>
      <c r="U396" s="6" t="e">
        <f>SUMIFS([1]Sheet1!$L:$L,[1]Sheet1!$I:$I,AJ396,[1]Sheet1!$C:$C,A396)</f>
        <v>#VALUE!</v>
      </c>
      <c r="V396" s="6"/>
      <c r="W396" s="6"/>
      <c r="X396" s="7" t="e">
        <f t="shared" si="70"/>
        <v>#VALUE!</v>
      </c>
      <c r="Y396" s="6"/>
      <c r="AJ396" s="5" t="str">
        <f t="shared" si="71"/>
        <v>MO Texas Franchise Tax Return</v>
      </c>
      <c r="AK396" s="5" t="str">
        <f t="shared" si="72"/>
        <v>MO-Tax Services-ANN-Texas Franchise Tax Return_Mid</v>
      </c>
      <c r="AL396" s="5" t="str">
        <f t="shared" si="73"/>
        <v>Landmark_1120S_83-0457076_MO Texas Franchise Tax Return</v>
      </c>
      <c r="AM396" s="5" t="str">
        <f t="shared" si="74"/>
        <v>Landmark_1120S_83-0457076_MO-Tax Services-ANN-Texas Franchise Tax Return_Mid</v>
      </c>
    </row>
    <row r="397" spans="1:39" x14ac:dyDescent="0.25">
      <c r="A397" s="2" t="s">
        <v>221</v>
      </c>
      <c r="B397" s="2" t="s">
        <v>222</v>
      </c>
      <c r="C397" s="2" t="s">
        <v>1196</v>
      </c>
      <c r="D397" s="8">
        <v>43831</v>
      </c>
      <c r="E397" s="5" t="str">
        <f t="shared" si="75"/>
        <v>Laney, Inc._01-01-20</v>
      </c>
      <c r="F397" s="2" t="s">
        <v>1206</v>
      </c>
      <c r="G397" s="2" t="s">
        <v>1241</v>
      </c>
      <c r="H397" s="2" t="s">
        <v>1220</v>
      </c>
      <c r="I397" s="2" t="s">
        <v>1223</v>
      </c>
      <c r="J397" s="2" t="s">
        <v>1234</v>
      </c>
      <c r="M397" s="5" t="str">
        <f t="shared" si="66"/>
        <v>Basic</v>
      </c>
      <c r="N397" s="5" t="str">
        <f t="shared" si="67"/>
        <v>Tax-Staff-Basic</v>
      </c>
      <c r="O397" s="5" t="str">
        <f t="shared" si="68"/>
        <v>Tax-Reviewer-Basic</v>
      </c>
      <c r="P397" s="5" t="str">
        <f t="shared" si="69"/>
        <v>Tax-Signer-Basic</v>
      </c>
      <c r="Q397" s="6">
        <v>1.4675000000000016</v>
      </c>
      <c r="R397" s="6">
        <v>0.29350000000000032</v>
      </c>
      <c r="S397" s="6">
        <v>0.14675000000000016</v>
      </c>
      <c r="T397" s="7">
        <f t="shared" si="76"/>
        <v>1.9077500000000021</v>
      </c>
      <c r="U397" s="6" t="e">
        <f>SUMIFS([1]Sheet1!$L:$L,[1]Sheet1!$I:$I,AJ397,[1]Sheet1!$C:$C,A397)</f>
        <v>#VALUE!</v>
      </c>
      <c r="V397" s="6"/>
      <c r="W397" s="6"/>
      <c r="X397" s="7" t="e">
        <f t="shared" si="70"/>
        <v>#VALUE!</v>
      </c>
      <c r="Y397" s="6"/>
      <c r="AJ397" s="5" t="str">
        <f t="shared" si="71"/>
        <v>NM 1120 - C Corporation</v>
      </c>
      <c r="AK397" s="5" t="str">
        <f t="shared" si="72"/>
        <v>NM-Tax Services-ANN-1120 - C Corporation_Basic</v>
      </c>
      <c r="AL397" s="5" t="str">
        <f t="shared" si="73"/>
        <v>Laney, I_1120C_37-1795193_NM 1120 - C Corporation</v>
      </c>
      <c r="AM397" s="5" t="str">
        <f t="shared" si="74"/>
        <v>Laney, I_1120C_37-1795193_NM-Tax Services-ANN-1120 - C Corporation_Basic</v>
      </c>
    </row>
    <row r="398" spans="1:39" x14ac:dyDescent="0.25">
      <c r="A398" s="2" t="s">
        <v>658</v>
      </c>
      <c r="B398" s="2" t="s">
        <v>659</v>
      </c>
      <c r="C398" s="2" t="s">
        <v>1196</v>
      </c>
      <c r="D398" s="8">
        <v>43831</v>
      </c>
      <c r="E398" s="5" t="str">
        <f t="shared" si="75"/>
        <v>Langdon, Randal_01-01-20</v>
      </c>
      <c r="F398" s="2" t="s">
        <v>1203</v>
      </c>
      <c r="G398" s="2" t="s">
        <v>1241</v>
      </c>
      <c r="H398" s="2" t="s">
        <v>1220</v>
      </c>
      <c r="I398" s="2" t="s">
        <v>1223</v>
      </c>
      <c r="J398" s="2" t="s">
        <v>1234</v>
      </c>
      <c r="M398" s="5" t="str">
        <f t="shared" si="66"/>
        <v>Basic</v>
      </c>
      <c r="N398" s="5" t="str">
        <f t="shared" si="67"/>
        <v>Tax-Staff-Basic</v>
      </c>
      <c r="O398" s="5" t="str">
        <f t="shared" si="68"/>
        <v>Tax-Reviewer-Basic</v>
      </c>
      <c r="P398" s="5" t="str">
        <f t="shared" si="69"/>
        <v>Tax-Signer-Basic</v>
      </c>
      <c r="Q398" s="6">
        <v>1.4675000000000016</v>
      </c>
      <c r="R398" s="6">
        <v>0.29350000000000032</v>
      </c>
      <c r="S398" s="6">
        <v>0.14675000000000016</v>
      </c>
      <c r="T398" s="7">
        <f t="shared" si="76"/>
        <v>1.9077500000000021</v>
      </c>
      <c r="U398" s="6" t="e">
        <f>SUMIFS([1]Sheet1!$L:$L,[1]Sheet1!$I:$I,AJ398,[1]Sheet1!$C:$C,A398)</f>
        <v>#VALUE!</v>
      </c>
      <c r="V398" s="6"/>
      <c r="W398" s="6"/>
      <c r="X398" s="7" t="e">
        <f t="shared" si="70"/>
        <v>#VALUE!</v>
      </c>
      <c r="Y398" s="6"/>
      <c r="AJ398" s="5" t="str">
        <f t="shared" si="71"/>
        <v>NM 1040 - Personal</v>
      </c>
      <c r="AK398" s="5" t="str">
        <f t="shared" si="72"/>
        <v>NM-Tax Services-ANN-1040 - Personal_Basic</v>
      </c>
      <c r="AL398" s="5" t="str">
        <f t="shared" si="73"/>
        <v>Langdo_8027_NM 1040 - Personal</v>
      </c>
      <c r="AM398" s="5" t="str">
        <f t="shared" si="74"/>
        <v>Langdo_8027_NM-Tax Services-ANN-1040 - Personal_Basic</v>
      </c>
    </row>
    <row r="399" spans="1:39" x14ac:dyDescent="0.25">
      <c r="A399" s="2" t="s">
        <v>660</v>
      </c>
      <c r="B399" s="2" t="s">
        <v>661</v>
      </c>
      <c r="C399" s="2" t="s">
        <v>1196</v>
      </c>
      <c r="D399" s="8">
        <v>43831</v>
      </c>
      <c r="E399" s="5" t="str">
        <f t="shared" si="75"/>
        <v>Lashlee, Amy N. &amp; Justin D._01-01-20</v>
      </c>
      <c r="F399" s="2" t="s">
        <v>1203</v>
      </c>
      <c r="G399" s="2" t="s">
        <v>1241</v>
      </c>
      <c r="H399" s="2" t="s">
        <v>1220</v>
      </c>
      <c r="I399" s="2" t="s">
        <v>1223</v>
      </c>
      <c r="J399" s="2" t="s">
        <v>1234</v>
      </c>
      <c r="M399" s="5" t="str">
        <f t="shared" si="66"/>
        <v>Basic</v>
      </c>
      <c r="N399" s="5" t="str">
        <f t="shared" si="67"/>
        <v>Tax-Staff-Basic</v>
      </c>
      <c r="O399" s="5" t="str">
        <f t="shared" si="68"/>
        <v>Tax-Reviewer-Basic</v>
      </c>
      <c r="P399" s="5" t="str">
        <f t="shared" si="69"/>
        <v>Tax-Signer-Basic</v>
      </c>
      <c r="Q399" s="6">
        <v>1.4675000000000016</v>
      </c>
      <c r="R399" s="6">
        <v>0.29350000000000032</v>
      </c>
      <c r="S399" s="6">
        <v>0.14675000000000016</v>
      </c>
      <c r="T399" s="7">
        <f t="shared" si="76"/>
        <v>1.9077500000000021</v>
      </c>
      <c r="U399" s="6" t="e">
        <f>SUMIFS([1]Sheet1!$L:$L,[1]Sheet1!$I:$I,AJ399,[1]Sheet1!$C:$C,A399)</f>
        <v>#VALUE!</v>
      </c>
      <c r="V399" s="6"/>
      <c r="W399" s="6"/>
      <c r="X399" s="7" t="e">
        <f t="shared" si="70"/>
        <v>#VALUE!</v>
      </c>
      <c r="Y399" s="6"/>
      <c r="AJ399" s="5" t="str">
        <f t="shared" si="71"/>
        <v>NM 1040 - Personal</v>
      </c>
      <c r="AK399" s="5" t="str">
        <f t="shared" si="72"/>
        <v>NM-Tax Services-ANN-1040 - Personal_Basic</v>
      </c>
      <c r="AL399" s="5" t="str">
        <f t="shared" si="73"/>
        <v>Lashle_4041_NM 1040 - Personal</v>
      </c>
      <c r="AM399" s="5" t="str">
        <f t="shared" si="74"/>
        <v>Lashle_4041_NM-Tax Services-ANN-1040 - Personal_Basic</v>
      </c>
    </row>
    <row r="400" spans="1:39" x14ac:dyDescent="0.25">
      <c r="A400" s="2" t="s">
        <v>265</v>
      </c>
      <c r="B400" s="2" t="s">
        <v>266</v>
      </c>
      <c r="C400" s="2" t="s">
        <v>1196</v>
      </c>
      <c r="D400" s="8">
        <v>43831</v>
      </c>
      <c r="E400" s="5" t="str">
        <f t="shared" si="75"/>
        <v>Law Offices of Marc Tecce_01-01-20</v>
      </c>
      <c r="F400" s="2" t="s">
        <v>1204</v>
      </c>
      <c r="G400" s="2" t="s">
        <v>1241</v>
      </c>
      <c r="H400" s="2" t="s">
        <v>1220</v>
      </c>
      <c r="I400" s="2" t="s">
        <v>1223</v>
      </c>
      <c r="J400" s="2" t="s">
        <v>1234</v>
      </c>
      <c r="M400" s="5" t="str">
        <f t="shared" si="66"/>
        <v>Basic</v>
      </c>
      <c r="N400" s="5" t="str">
        <f t="shared" si="67"/>
        <v>Tax-Staff-Basic</v>
      </c>
      <c r="O400" s="5" t="str">
        <f t="shared" si="68"/>
        <v>Tax-Reviewer-Basic</v>
      </c>
      <c r="P400" s="5" t="str">
        <f t="shared" si="69"/>
        <v>Tax-Signer-Basic</v>
      </c>
      <c r="Q400" s="6">
        <v>1.4675000000000016</v>
      </c>
      <c r="R400" s="6">
        <v>0.29350000000000032</v>
      </c>
      <c r="S400" s="6">
        <v>0.14675000000000016</v>
      </c>
      <c r="T400" s="7">
        <f t="shared" si="76"/>
        <v>1.9077500000000021</v>
      </c>
      <c r="U400" s="6" t="e">
        <f>SUMIFS([1]Sheet1!$L:$L,[1]Sheet1!$I:$I,AJ400,[1]Sheet1!$C:$C,A400)</f>
        <v>#VALUE!</v>
      </c>
      <c r="V400" s="6"/>
      <c r="W400" s="6"/>
      <c r="X400" s="7" t="e">
        <f t="shared" si="70"/>
        <v>#VALUE!</v>
      </c>
      <c r="Y400" s="6"/>
      <c r="AJ400" s="5" t="str">
        <f t="shared" si="71"/>
        <v>NM 1120S - S Corporation</v>
      </c>
      <c r="AK400" s="5" t="str">
        <f t="shared" si="72"/>
        <v>NM-Tax Services-ANN-1120S - S Corporation_Basic</v>
      </c>
      <c r="AL400" s="5" t="str">
        <f t="shared" si="73"/>
        <v>Law Offi_1120S_47-3782782_NM 1120S - S Corporation</v>
      </c>
      <c r="AM400" s="5" t="str">
        <f t="shared" si="74"/>
        <v>Law Offi_1120S_47-3782782_NM-Tax Services-ANN-1120S - S Corporation_Basic</v>
      </c>
    </row>
    <row r="401" spans="1:39" x14ac:dyDescent="0.25">
      <c r="A401" s="2" t="s">
        <v>934</v>
      </c>
      <c r="B401" s="2" t="s">
        <v>935</v>
      </c>
      <c r="C401" s="2" t="s">
        <v>1196</v>
      </c>
      <c r="D401" s="8">
        <v>43831</v>
      </c>
      <c r="E401" s="5" t="str">
        <f t="shared" si="75"/>
        <v>Le, Phuong_01-01-20</v>
      </c>
      <c r="F401" s="2" t="s">
        <v>1203</v>
      </c>
      <c r="G401" s="2" t="s">
        <v>1241</v>
      </c>
      <c r="H401" s="2" t="s">
        <v>1220</v>
      </c>
      <c r="I401" s="2" t="s">
        <v>1221</v>
      </c>
      <c r="J401" s="2" t="s">
        <v>1234</v>
      </c>
      <c r="M401" s="5" t="str">
        <f t="shared" si="66"/>
        <v>Mid</v>
      </c>
      <c r="N401" s="5" t="str">
        <f t="shared" si="67"/>
        <v>Tax-Staff-Mid</v>
      </c>
      <c r="O401" s="5" t="str">
        <f t="shared" si="68"/>
        <v>Tax-Reviewer-Mid</v>
      </c>
      <c r="P401" s="5" t="str">
        <f t="shared" si="69"/>
        <v>Tax-Signer-Mid</v>
      </c>
      <c r="Q401" s="6">
        <v>2.7401969696969677</v>
      </c>
      <c r="R401" s="6">
        <v>0.5480393939393936</v>
      </c>
      <c r="S401" s="6">
        <v>0.2740196969696968</v>
      </c>
      <c r="T401" s="7">
        <f t="shared" si="76"/>
        <v>3.562256060606058</v>
      </c>
      <c r="U401" s="6" t="e">
        <f>SUMIFS([1]Sheet1!$L:$L,[1]Sheet1!$I:$I,AJ401,[1]Sheet1!$C:$C,A401)</f>
        <v>#VALUE!</v>
      </c>
      <c r="V401" s="6"/>
      <c r="W401" s="6"/>
      <c r="X401" s="7" t="e">
        <f t="shared" si="70"/>
        <v>#VALUE!</v>
      </c>
      <c r="Y401" s="6"/>
      <c r="AJ401" s="5" t="str">
        <f t="shared" si="71"/>
        <v>NM 1040 - Personal</v>
      </c>
      <c r="AK401" s="5" t="str">
        <f t="shared" si="72"/>
        <v>NM-Tax Services-ANN-1040 - Personal_Mid</v>
      </c>
      <c r="AL401" s="5" t="str">
        <f t="shared" si="73"/>
        <v>Le, Ph_2980_NM 1040 - Personal</v>
      </c>
      <c r="AM401" s="5" t="str">
        <f t="shared" si="74"/>
        <v>Le, Ph_2980_NM-Tax Services-ANN-1040 - Personal_Mid</v>
      </c>
    </row>
    <row r="402" spans="1:39" x14ac:dyDescent="0.25">
      <c r="A402" s="2" t="s">
        <v>662</v>
      </c>
      <c r="B402" s="2" t="s">
        <v>663</v>
      </c>
      <c r="C402" s="2" t="s">
        <v>1196</v>
      </c>
      <c r="D402" s="8">
        <v>43831</v>
      </c>
      <c r="E402" s="5" t="str">
        <f t="shared" si="75"/>
        <v>Lea, James_01-01-20</v>
      </c>
      <c r="F402" s="2" t="s">
        <v>1203</v>
      </c>
      <c r="G402" s="2" t="s">
        <v>1241</v>
      </c>
      <c r="H402" s="2" t="s">
        <v>1220</v>
      </c>
      <c r="I402" s="2" t="s">
        <v>1223</v>
      </c>
      <c r="J402" s="2" t="s">
        <v>1234</v>
      </c>
      <c r="M402" s="5" t="str">
        <f t="shared" si="66"/>
        <v>Basic</v>
      </c>
      <c r="N402" s="5" t="str">
        <f t="shared" si="67"/>
        <v>Tax-Staff-Basic</v>
      </c>
      <c r="O402" s="5" t="str">
        <f t="shared" si="68"/>
        <v>Tax-Reviewer-Basic</v>
      </c>
      <c r="P402" s="5" t="str">
        <f t="shared" si="69"/>
        <v>Tax-Signer-Basic</v>
      </c>
      <c r="Q402" s="6">
        <v>1.4675000000000016</v>
      </c>
      <c r="R402" s="6">
        <v>0.29350000000000032</v>
      </c>
      <c r="S402" s="6">
        <v>0.14675000000000016</v>
      </c>
      <c r="T402" s="7">
        <f t="shared" si="76"/>
        <v>1.9077500000000021</v>
      </c>
      <c r="U402" s="6" t="e">
        <f>SUMIFS([1]Sheet1!$L:$L,[1]Sheet1!$I:$I,AJ402,[1]Sheet1!$C:$C,A402)</f>
        <v>#VALUE!</v>
      </c>
      <c r="V402" s="6"/>
      <c r="W402" s="6"/>
      <c r="X402" s="7" t="e">
        <f t="shared" si="70"/>
        <v>#VALUE!</v>
      </c>
      <c r="Y402" s="6"/>
      <c r="AJ402" s="5" t="str">
        <f t="shared" si="71"/>
        <v>NM 1040 - Personal</v>
      </c>
      <c r="AK402" s="5" t="str">
        <f t="shared" si="72"/>
        <v>NM-Tax Services-ANN-1040 - Personal_Basic</v>
      </c>
      <c r="AL402" s="5" t="str">
        <f t="shared" si="73"/>
        <v>Lea, J_5206_NM 1040 - Personal</v>
      </c>
      <c r="AM402" s="5" t="str">
        <f t="shared" si="74"/>
        <v>Lea, J_5206_NM-Tax Services-ANN-1040 - Personal_Basic</v>
      </c>
    </row>
    <row r="403" spans="1:39" x14ac:dyDescent="0.25">
      <c r="A403" s="2" t="s">
        <v>267</v>
      </c>
      <c r="B403" s="2" t="s">
        <v>268</v>
      </c>
      <c r="C403" s="2" t="s">
        <v>1196</v>
      </c>
      <c r="D403" s="8">
        <v>43831</v>
      </c>
      <c r="E403" s="5" t="str">
        <f t="shared" si="75"/>
        <v>Leader Transmission and_01-01-20</v>
      </c>
      <c r="F403" s="2" t="s">
        <v>1204</v>
      </c>
      <c r="G403" s="2" t="s">
        <v>1241</v>
      </c>
      <c r="H403" s="2" t="s">
        <v>1220</v>
      </c>
      <c r="I403" s="2" t="s">
        <v>1221</v>
      </c>
      <c r="J403" s="2" t="s">
        <v>1234</v>
      </c>
      <c r="M403" s="5" t="str">
        <f t="shared" si="66"/>
        <v>Mid</v>
      </c>
      <c r="N403" s="5" t="str">
        <f t="shared" si="67"/>
        <v>Tax-Staff-Mid</v>
      </c>
      <c r="O403" s="5" t="str">
        <f t="shared" si="68"/>
        <v>Tax-Reviewer-Mid</v>
      </c>
      <c r="P403" s="5" t="str">
        <f t="shared" si="69"/>
        <v>Tax-Signer-Mid</v>
      </c>
      <c r="Q403" s="6">
        <v>2.7401969696969677</v>
      </c>
      <c r="R403" s="6">
        <v>0.5480393939393936</v>
      </c>
      <c r="S403" s="6">
        <v>0.2740196969696968</v>
      </c>
      <c r="T403" s="7">
        <f t="shared" si="76"/>
        <v>3.562256060606058</v>
      </c>
      <c r="U403" s="6" t="e">
        <f>SUMIFS([1]Sheet1!$L:$L,[1]Sheet1!$I:$I,AJ403,[1]Sheet1!$C:$C,A403)</f>
        <v>#VALUE!</v>
      </c>
      <c r="V403" s="6"/>
      <c r="W403" s="6"/>
      <c r="X403" s="7" t="e">
        <f t="shared" si="70"/>
        <v>#VALUE!</v>
      </c>
      <c r="Y403" s="6"/>
      <c r="AJ403" s="5" t="str">
        <f t="shared" si="71"/>
        <v>NM 1120S - S Corporation</v>
      </c>
      <c r="AK403" s="5" t="str">
        <f t="shared" si="72"/>
        <v>NM-Tax Services-ANN-1120S - S Corporation_Mid</v>
      </c>
      <c r="AL403" s="5" t="str">
        <f t="shared" si="73"/>
        <v>Leader T_1120S_46-2968883_NM 1120S - S Corporation</v>
      </c>
      <c r="AM403" s="5" t="str">
        <f t="shared" si="74"/>
        <v>Leader T_1120S_46-2968883_NM-Tax Services-ANN-1120S - S Corporation_Mid</v>
      </c>
    </row>
    <row r="404" spans="1:39" x14ac:dyDescent="0.25">
      <c r="A404" s="2" t="s">
        <v>664</v>
      </c>
      <c r="B404" s="2" t="s">
        <v>665</v>
      </c>
      <c r="C404" s="2" t="s">
        <v>1196</v>
      </c>
      <c r="D404" s="8">
        <v>43831</v>
      </c>
      <c r="E404" s="5" t="str">
        <f t="shared" si="75"/>
        <v>Ledbetter, Brad_01-01-20</v>
      </c>
      <c r="F404" s="2" t="s">
        <v>1203</v>
      </c>
      <c r="G404" s="2" t="s">
        <v>1241</v>
      </c>
      <c r="H404" s="2" t="s">
        <v>1220</v>
      </c>
      <c r="I404" s="2" t="s">
        <v>1223</v>
      </c>
      <c r="J404" s="2" t="s">
        <v>1234</v>
      </c>
      <c r="M404" s="5" t="str">
        <f t="shared" si="66"/>
        <v>Basic</v>
      </c>
      <c r="N404" s="5" t="str">
        <f t="shared" si="67"/>
        <v>Tax-Staff-Basic</v>
      </c>
      <c r="O404" s="5" t="str">
        <f t="shared" si="68"/>
        <v>Tax-Reviewer-Basic</v>
      </c>
      <c r="P404" s="5" t="str">
        <f t="shared" si="69"/>
        <v>Tax-Signer-Basic</v>
      </c>
      <c r="Q404" s="6">
        <v>1.4675000000000016</v>
      </c>
      <c r="R404" s="6">
        <v>0.29350000000000032</v>
      </c>
      <c r="S404" s="6">
        <v>0.14675000000000016</v>
      </c>
      <c r="T404" s="7">
        <f t="shared" si="76"/>
        <v>1.9077500000000021</v>
      </c>
      <c r="U404" s="6" t="e">
        <f>SUMIFS([1]Sheet1!$L:$L,[1]Sheet1!$I:$I,AJ404,[1]Sheet1!$C:$C,A404)</f>
        <v>#VALUE!</v>
      </c>
      <c r="V404" s="6"/>
      <c r="W404" s="6"/>
      <c r="X404" s="7" t="e">
        <f t="shared" si="70"/>
        <v>#VALUE!</v>
      </c>
      <c r="Y404" s="6"/>
      <c r="AJ404" s="5" t="str">
        <f t="shared" si="71"/>
        <v>NM 1040 - Personal</v>
      </c>
      <c r="AK404" s="5" t="str">
        <f t="shared" si="72"/>
        <v>NM-Tax Services-ANN-1040 - Personal_Basic</v>
      </c>
      <c r="AL404" s="5" t="str">
        <f t="shared" si="73"/>
        <v>Ledbet_8884_NM 1040 - Personal</v>
      </c>
      <c r="AM404" s="5" t="str">
        <f t="shared" si="74"/>
        <v>Ledbet_8884_NM-Tax Services-ANN-1040 - Personal_Basic</v>
      </c>
    </row>
    <row r="405" spans="1:39" x14ac:dyDescent="0.25">
      <c r="A405" s="2" t="s">
        <v>107</v>
      </c>
      <c r="B405" s="2" t="s">
        <v>108</v>
      </c>
      <c r="C405" s="2" t="s">
        <v>1197</v>
      </c>
      <c r="D405" s="8">
        <v>43831</v>
      </c>
      <c r="E405" s="5" t="str">
        <f t="shared" si="75"/>
        <v>Lee Cooper Homes LLC_01-01-20</v>
      </c>
      <c r="F405" s="2" t="s">
        <v>1199</v>
      </c>
      <c r="G405" s="2" t="s">
        <v>1241</v>
      </c>
      <c r="H405" s="2" t="s">
        <v>1220</v>
      </c>
      <c r="I405" s="2" t="s">
        <v>1223</v>
      </c>
      <c r="J405" s="2" t="s">
        <v>1234</v>
      </c>
      <c r="M405" s="5" t="str">
        <f t="shared" si="66"/>
        <v>Basic</v>
      </c>
      <c r="N405" s="5" t="str">
        <f t="shared" si="67"/>
        <v>Tax-Staff-Basic</v>
      </c>
      <c r="O405" s="5" t="str">
        <f t="shared" si="68"/>
        <v>Tax-Reviewer-Basic</v>
      </c>
      <c r="P405" s="5" t="str">
        <f t="shared" si="69"/>
        <v>Tax-Signer-Basic</v>
      </c>
      <c r="Q405" s="6">
        <v>1.4675000000000016</v>
      </c>
      <c r="R405" s="6">
        <v>0.29350000000000032</v>
      </c>
      <c r="S405" s="6">
        <v>0.14675000000000016</v>
      </c>
      <c r="T405" s="7">
        <f t="shared" si="76"/>
        <v>1.9077500000000021</v>
      </c>
      <c r="U405" s="6" t="e">
        <f>SUMIFS([1]Sheet1!$L:$L,[1]Sheet1!$I:$I,AJ405,[1]Sheet1!$C:$C,A405)</f>
        <v>#VALUE!</v>
      </c>
      <c r="V405" s="6"/>
      <c r="W405" s="6"/>
      <c r="X405" s="7" t="e">
        <f t="shared" si="70"/>
        <v>#VALUE!</v>
      </c>
      <c r="Y405" s="6"/>
      <c r="AJ405" s="5" t="str">
        <f t="shared" si="71"/>
        <v>MO 1065 - Partnership</v>
      </c>
      <c r="AK405" s="5" t="str">
        <f t="shared" si="72"/>
        <v>MO-Tax Services-ANN-1065 - Partnership_Basic</v>
      </c>
      <c r="AL405" s="5" t="str">
        <f t="shared" si="73"/>
        <v>Lee Coop_1120S_82-5289285_MO 1065 - Partnership</v>
      </c>
      <c r="AM405" s="5" t="str">
        <f t="shared" si="74"/>
        <v>Lee Coop_1120S_82-5289285_MO-Tax Services-ANN-1065 - Partnership_Basic</v>
      </c>
    </row>
    <row r="406" spans="1:39" x14ac:dyDescent="0.25">
      <c r="A406" s="2" t="s">
        <v>107</v>
      </c>
      <c r="B406" s="2" t="s">
        <v>108</v>
      </c>
      <c r="C406" s="2" t="s">
        <v>1197</v>
      </c>
      <c r="D406" s="8">
        <v>43831</v>
      </c>
      <c r="E406" s="5" t="str">
        <f t="shared" si="75"/>
        <v>Lee Cooper Homes LLC_01-01-20</v>
      </c>
      <c r="F406" s="2" t="s">
        <v>1201</v>
      </c>
      <c r="G406" s="2" t="s">
        <v>1201</v>
      </c>
      <c r="H406" s="2" t="s">
        <v>1197</v>
      </c>
      <c r="I406" s="2" t="s">
        <v>1223</v>
      </c>
      <c r="J406" s="2" t="s">
        <v>1235</v>
      </c>
      <c r="M406" s="5" t="str">
        <f t="shared" si="66"/>
        <v>Basic</v>
      </c>
      <c r="N406" s="5" t="str">
        <f t="shared" si="67"/>
        <v>Accountant-Staff-Basic</v>
      </c>
      <c r="O406" s="5" t="str">
        <f t="shared" si="68"/>
        <v>Accountant-Reviewer-Basic</v>
      </c>
      <c r="P406" s="5" t="str">
        <f t="shared" si="69"/>
        <v>Accountant-Signer-Basic</v>
      </c>
      <c r="Q406" s="6">
        <v>1.47</v>
      </c>
      <c r="R406" s="6">
        <v>0.29399999999999998</v>
      </c>
      <c r="S406" s="6">
        <v>0.14699999999999999</v>
      </c>
      <c r="T406" s="7">
        <f t="shared" si="76"/>
        <v>1.911</v>
      </c>
      <c r="U406" s="6" t="e">
        <f>SUMIFS([1]Sheet1!$L:$L,[1]Sheet1!$I:$I,AJ406,[1]Sheet1!$C:$C,A406)</f>
        <v>#VALUE!</v>
      </c>
      <c r="V406" s="6"/>
      <c r="W406" s="6"/>
      <c r="X406" s="7" t="e">
        <f t="shared" si="70"/>
        <v>#VALUE!</v>
      </c>
      <c r="Y406" s="6"/>
      <c r="AJ406" s="5" t="str">
        <f t="shared" si="71"/>
        <v>MO Accounting Services</v>
      </c>
      <c r="AK406" s="5" t="str">
        <f t="shared" si="72"/>
        <v>MO-Accounting Services-MO-Accounting Services_Basic</v>
      </c>
      <c r="AL406" s="5" t="str">
        <f t="shared" si="73"/>
        <v>Lee Coop_1120S_82-5289285_MO Accounting Services</v>
      </c>
      <c r="AM406" s="5" t="str">
        <f t="shared" si="74"/>
        <v>Lee Coop_1120S_82-5289285_MO-Accounting Services-MO-Accounting Services_Basic</v>
      </c>
    </row>
    <row r="407" spans="1:39" x14ac:dyDescent="0.25">
      <c r="A407" s="2" t="s">
        <v>107</v>
      </c>
      <c r="B407" s="2" t="s">
        <v>108</v>
      </c>
      <c r="C407" s="2" t="s">
        <v>1197</v>
      </c>
      <c r="D407" s="8">
        <v>43831</v>
      </c>
      <c r="E407" s="5" t="str">
        <f t="shared" si="75"/>
        <v>Lee Cooper Homes LLC_01-01-20</v>
      </c>
      <c r="F407" s="2" t="s">
        <v>1205</v>
      </c>
      <c r="G407" s="2" t="s">
        <v>1201</v>
      </c>
      <c r="H407" s="2" t="s">
        <v>1224</v>
      </c>
      <c r="I407" s="2" t="s">
        <v>1223</v>
      </c>
      <c r="J407" s="2" t="s">
        <v>1235</v>
      </c>
      <c r="M407" s="5" t="str">
        <f t="shared" si="66"/>
        <v>Basic</v>
      </c>
      <c r="N407" s="5" t="str">
        <f t="shared" si="67"/>
        <v>Accountant-Staff-Basic</v>
      </c>
      <c r="O407" s="5" t="str">
        <f t="shared" si="68"/>
        <v>Accountant-Reviewer-Basic</v>
      </c>
      <c r="P407" s="5" t="str">
        <f t="shared" si="69"/>
        <v>Accountant-Signer-Basic</v>
      </c>
      <c r="Q407" s="6">
        <v>0.5</v>
      </c>
      <c r="R407" s="6">
        <v>0.1</v>
      </c>
      <c r="S407" s="6">
        <v>0.05</v>
      </c>
      <c r="T407" s="7">
        <f t="shared" si="76"/>
        <v>0.65</v>
      </c>
      <c r="U407" s="6" t="e">
        <f>SUMIFS([1]Sheet1!$L:$L,[1]Sheet1!$I:$I,AJ407,[1]Sheet1!$C:$C,A407)</f>
        <v>#VALUE!</v>
      </c>
      <c r="V407" s="6"/>
      <c r="W407" s="6"/>
      <c r="X407" s="7" t="e">
        <f t="shared" si="70"/>
        <v>#VALUE!</v>
      </c>
      <c r="Y407" s="6"/>
      <c r="AJ407" s="5" t="str">
        <f t="shared" si="71"/>
        <v>MO Payroll Services</v>
      </c>
      <c r="AK407" s="5" t="str">
        <f t="shared" si="72"/>
        <v>MO-Accounting Services-QTR-Payroll Services_Basic</v>
      </c>
      <c r="AL407" s="5" t="str">
        <f t="shared" si="73"/>
        <v>Lee Coop_1120S_82-5289285_MO Payroll Services</v>
      </c>
      <c r="AM407" s="5" t="str">
        <f t="shared" si="74"/>
        <v>Lee Coop_1120S_82-5289285_MO-Accounting Services-QTR-Payroll Services_Basic</v>
      </c>
    </row>
    <row r="408" spans="1:39" x14ac:dyDescent="0.25">
      <c r="A408" s="2" t="s">
        <v>107</v>
      </c>
      <c r="B408" s="2" t="s">
        <v>108</v>
      </c>
      <c r="C408" s="2" t="s">
        <v>1197</v>
      </c>
      <c r="D408" s="8">
        <v>43831</v>
      </c>
      <c r="E408" s="5" t="str">
        <f t="shared" si="75"/>
        <v>Lee Cooper Homes LLC_01-01-20</v>
      </c>
      <c r="F408" s="2" t="s">
        <v>1200</v>
      </c>
      <c r="G408" s="2" t="s">
        <v>1241</v>
      </c>
      <c r="H408" s="2" t="s">
        <v>1220</v>
      </c>
      <c r="I408" s="2" t="s">
        <v>1223</v>
      </c>
      <c r="J408" s="2" t="s">
        <v>1234</v>
      </c>
      <c r="M408" s="5" t="str">
        <f t="shared" si="66"/>
        <v>Basic</v>
      </c>
      <c r="N408" s="5" t="str">
        <f t="shared" si="67"/>
        <v>Tax-Staff-Basic</v>
      </c>
      <c r="O408" s="5" t="str">
        <f t="shared" si="68"/>
        <v>Tax-Reviewer-Basic</v>
      </c>
      <c r="P408" s="5" t="str">
        <f t="shared" si="69"/>
        <v>Tax-Signer-Basic</v>
      </c>
      <c r="Q408" s="6">
        <v>0.5</v>
      </c>
      <c r="R408" s="6">
        <v>0.1</v>
      </c>
      <c r="S408" s="6">
        <v>0.05</v>
      </c>
      <c r="T408" s="7">
        <f t="shared" si="76"/>
        <v>0.65</v>
      </c>
      <c r="U408" s="6" t="e">
        <f>SUMIFS([1]Sheet1!$L:$L,[1]Sheet1!$I:$I,AJ408,[1]Sheet1!$C:$C,A408)</f>
        <v>#VALUE!</v>
      </c>
      <c r="V408" s="6"/>
      <c r="W408" s="6"/>
      <c r="X408" s="7" t="e">
        <f t="shared" si="70"/>
        <v>#VALUE!</v>
      </c>
      <c r="Y408" s="6"/>
      <c r="AJ408" s="5" t="str">
        <f t="shared" si="71"/>
        <v>MO Texas Franchise Tax Return</v>
      </c>
      <c r="AK408" s="5" t="str">
        <f t="shared" si="72"/>
        <v>MO-Tax Services-ANN-Texas Franchise Tax Return_Basic</v>
      </c>
      <c r="AL408" s="5" t="str">
        <f t="shared" si="73"/>
        <v>Lee Coop_1120S_82-5289285_MO Texas Franchise Tax Return</v>
      </c>
      <c r="AM408" s="5" t="str">
        <f t="shared" si="74"/>
        <v>Lee Coop_1120S_82-5289285_MO-Tax Services-ANN-Texas Franchise Tax Return_Basic</v>
      </c>
    </row>
    <row r="409" spans="1:39" x14ac:dyDescent="0.25">
      <c r="A409" s="2" t="s">
        <v>269</v>
      </c>
      <c r="B409" s="2" t="s">
        <v>270</v>
      </c>
      <c r="C409" s="2" t="s">
        <v>1196</v>
      </c>
      <c r="D409" s="8">
        <v>43831</v>
      </c>
      <c r="E409" s="5" t="str">
        <f t="shared" si="75"/>
        <v>Legacy Title Services Inc._01-01-20</v>
      </c>
      <c r="F409" s="2" t="s">
        <v>1204</v>
      </c>
      <c r="G409" s="2" t="s">
        <v>1241</v>
      </c>
      <c r="H409" s="2" t="s">
        <v>1220</v>
      </c>
      <c r="I409" s="2" t="s">
        <v>1223</v>
      </c>
      <c r="J409" s="2" t="s">
        <v>1234</v>
      </c>
      <c r="M409" s="5" t="str">
        <f t="shared" si="66"/>
        <v>Basic</v>
      </c>
      <c r="N409" s="5" t="str">
        <f t="shared" si="67"/>
        <v>Tax-Staff-Basic</v>
      </c>
      <c r="O409" s="5" t="str">
        <f t="shared" si="68"/>
        <v>Tax-Reviewer-Basic</v>
      </c>
      <c r="P409" s="5" t="str">
        <f t="shared" si="69"/>
        <v>Tax-Signer-Basic</v>
      </c>
      <c r="Q409" s="6">
        <v>1.4675000000000016</v>
      </c>
      <c r="R409" s="6">
        <v>0.29350000000000032</v>
      </c>
      <c r="S409" s="6">
        <v>0.14675000000000016</v>
      </c>
      <c r="T409" s="7">
        <f t="shared" si="76"/>
        <v>1.9077500000000021</v>
      </c>
      <c r="U409" s="6" t="e">
        <f>SUMIFS([1]Sheet1!$L:$L,[1]Sheet1!$I:$I,AJ409,[1]Sheet1!$C:$C,A409)</f>
        <v>#VALUE!</v>
      </c>
      <c r="V409" s="6"/>
      <c r="W409" s="6"/>
      <c r="X409" s="7" t="e">
        <f t="shared" si="70"/>
        <v>#VALUE!</v>
      </c>
      <c r="Y409" s="6"/>
      <c r="AJ409" s="5" t="str">
        <f t="shared" si="71"/>
        <v>NM 1120S - S Corporation</v>
      </c>
      <c r="AK409" s="5" t="str">
        <f t="shared" si="72"/>
        <v>NM-Tax Services-ANN-1120S - S Corporation_Basic</v>
      </c>
      <c r="AL409" s="5" t="str">
        <f t="shared" si="73"/>
        <v>Legacy T_1120S_65-0884502_NM 1120S - S Corporation</v>
      </c>
      <c r="AM409" s="5" t="str">
        <f t="shared" si="74"/>
        <v>Legacy T_1120S_65-0884502_NM-Tax Services-ANN-1120S - S Corporation_Basic</v>
      </c>
    </row>
    <row r="410" spans="1:39" x14ac:dyDescent="0.25">
      <c r="A410" s="2" t="s">
        <v>822</v>
      </c>
      <c r="B410" s="2" t="s">
        <v>823</v>
      </c>
      <c r="C410" s="2" t="s">
        <v>1197</v>
      </c>
      <c r="D410" s="8">
        <v>43831</v>
      </c>
      <c r="E410" s="5" t="str">
        <f t="shared" si="75"/>
        <v>Leidy, Dave_01-01-20</v>
      </c>
      <c r="F410" s="2" t="s">
        <v>1203</v>
      </c>
      <c r="G410" s="2" t="s">
        <v>1241</v>
      </c>
      <c r="H410" s="2" t="s">
        <v>1220</v>
      </c>
      <c r="I410" s="2" t="s">
        <v>1223</v>
      </c>
      <c r="J410" s="2" t="s">
        <v>1234</v>
      </c>
      <c r="M410" s="5" t="str">
        <f t="shared" si="66"/>
        <v>Basic</v>
      </c>
      <c r="N410" s="5" t="str">
        <f t="shared" si="67"/>
        <v>Tax-Staff-Basic</v>
      </c>
      <c r="O410" s="5" t="str">
        <f t="shared" si="68"/>
        <v>Tax-Reviewer-Basic</v>
      </c>
      <c r="P410" s="5" t="str">
        <f t="shared" si="69"/>
        <v>Tax-Signer-Basic</v>
      </c>
      <c r="Q410" s="6">
        <v>1.4675000000000016</v>
      </c>
      <c r="R410" s="6">
        <v>0.29350000000000032</v>
      </c>
      <c r="S410" s="6">
        <v>0.14675000000000016</v>
      </c>
      <c r="T410" s="7">
        <f t="shared" si="76"/>
        <v>1.9077500000000021</v>
      </c>
      <c r="U410" s="6" t="e">
        <f>SUMIFS([1]Sheet1!$L:$L,[1]Sheet1!$I:$I,AJ410,[1]Sheet1!$C:$C,A410)</f>
        <v>#VALUE!</v>
      </c>
      <c r="V410" s="6"/>
      <c r="W410" s="6"/>
      <c r="X410" s="7" t="e">
        <f t="shared" si="70"/>
        <v>#VALUE!</v>
      </c>
      <c r="Y410" s="6"/>
      <c r="AJ410" s="5" t="str">
        <f t="shared" si="71"/>
        <v>MO 1040 - Personal</v>
      </c>
      <c r="AK410" s="5" t="str">
        <f t="shared" si="72"/>
        <v>MO-Tax Services-ANN-1040 - Personal_Basic</v>
      </c>
      <c r="AL410" s="5" t="str">
        <f t="shared" si="73"/>
        <v>Leidy,_8869_MO 1040 - Personal</v>
      </c>
      <c r="AM410" s="5" t="str">
        <f t="shared" si="74"/>
        <v>Leidy,_8869_MO-Tax Services-ANN-1040 - Personal_Basic</v>
      </c>
    </row>
    <row r="411" spans="1:39" x14ac:dyDescent="0.25">
      <c r="A411" s="2" t="s">
        <v>824</v>
      </c>
      <c r="B411" s="2" t="s">
        <v>825</v>
      </c>
      <c r="C411" s="2" t="s">
        <v>1197</v>
      </c>
      <c r="D411" s="8">
        <v>43831</v>
      </c>
      <c r="E411" s="5" t="str">
        <f t="shared" si="75"/>
        <v>Leite, Joseph_01-01-20</v>
      </c>
      <c r="F411" s="2" t="s">
        <v>1203</v>
      </c>
      <c r="G411" s="2" t="s">
        <v>1241</v>
      </c>
      <c r="H411" s="2" t="s">
        <v>1220</v>
      </c>
      <c r="I411" s="2" t="s">
        <v>1222</v>
      </c>
      <c r="J411" s="2" t="s">
        <v>1234</v>
      </c>
      <c r="M411" s="5" t="str">
        <f t="shared" si="66"/>
        <v>Adv</v>
      </c>
      <c r="N411" s="5" t="str">
        <f t="shared" si="67"/>
        <v>Tax-Staff-Adv</v>
      </c>
      <c r="O411" s="5" t="str">
        <f t="shared" si="68"/>
        <v>Tax-Reviewer-Adv</v>
      </c>
      <c r="P411" s="5" t="str">
        <f t="shared" si="69"/>
        <v>Tax-Signer-Adv</v>
      </c>
      <c r="Q411" s="6">
        <v>4.5832500000000005</v>
      </c>
      <c r="R411" s="6">
        <v>0.91665000000000019</v>
      </c>
      <c r="S411" s="6">
        <v>0.45832500000000009</v>
      </c>
      <c r="T411" s="7">
        <f t="shared" si="76"/>
        <v>5.9582250000000005</v>
      </c>
      <c r="U411" s="6" t="e">
        <f>SUMIFS([1]Sheet1!$L:$L,[1]Sheet1!$I:$I,AJ411,[1]Sheet1!$C:$C,A411)</f>
        <v>#VALUE!</v>
      </c>
      <c r="V411" s="6"/>
      <c r="W411" s="6"/>
      <c r="X411" s="7" t="e">
        <f t="shared" si="70"/>
        <v>#VALUE!</v>
      </c>
      <c r="Y411" s="6"/>
      <c r="AJ411" s="5" t="str">
        <f t="shared" si="71"/>
        <v>MO 1040 - Personal</v>
      </c>
      <c r="AK411" s="5" t="str">
        <f t="shared" si="72"/>
        <v>MO-Tax Services-ANN-1040 - Personal_Adv</v>
      </c>
      <c r="AL411" s="5" t="str">
        <f t="shared" si="73"/>
        <v>Leite,_0163_MO 1040 - Personal</v>
      </c>
      <c r="AM411" s="5" t="str">
        <f t="shared" si="74"/>
        <v>Leite,_0163_MO-Tax Services-ANN-1040 - Personal_Adv</v>
      </c>
    </row>
    <row r="412" spans="1:39" x14ac:dyDescent="0.25">
      <c r="A412" s="2" t="s">
        <v>668</v>
      </c>
      <c r="B412" s="2" t="s">
        <v>669</v>
      </c>
      <c r="C412" s="2" t="s">
        <v>1196</v>
      </c>
      <c r="D412" s="8">
        <v>43831</v>
      </c>
      <c r="E412" s="5" t="str">
        <f t="shared" si="75"/>
        <v>Less, Ryan_01-01-20</v>
      </c>
      <c r="F412" s="2" t="s">
        <v>1203</v>
      </c>
      <c r="G412" s="2" t="s">
        <v>1241</v>
      </c>
      <c r="H412" s="2" t="s">
        <v>1220</v>
      </c>
      <c r="I412" s="2" t="s">
        <v>1223</v>
      </c>
      <c r="J412" s="2" t="s">
        <v>1234</v>
      </c>
      <c r="M412" s="5" t="str">
        <f t="shared" si="66"/>
        <v>Basic</v>
      </c>
      <c r="N412" s="5" t="str">
        <f t="shared" si="67"/>
        <v>Tax-Staff-Basic</v>
      </c>
      <c r="O412" s="5" t="str">
        <f t="shared" si="68"/>
        <v>Tax-Reviewer-Basic</v>
      </c>
      <c r="P412" s="5" t="str">
        <f t="shared" si="69"/>
        <v>Tax-Signer-Basic</v>
      </c>
      <c r="Q412" s="6">
        <v>1.4675000000000016</v>
      </c>
      <c r="R412" s="6">
        <v>0.29350000000000032</v>
      </c>
      <c r="S412" s="6">
        <v>0.14675000000000016</v>
      </c>
      <c r="T412" s="7">
        <f t="shared" si="76"/>
        <v>1.9077500000000021</v>
      </c>
      <c r="U412" s="6" t="e">
        <f>SUMIFS([1]Sheet1!$L:$L,[1]Sheet1!$I:$I,AJ412,[1]Sheet1!$C:$C,A412)</f>
        <v>#VALUE!</v>
      </c>
      <c r="V412" s="6"/>
      <c r="W412" s="6"/>
      <c r="X412" s="7" t="e">
        <f t="shared" si="70"/>
        <v>#VALUE!</v>
      </c>
      <c r="Y412" s="6"/>
      <c r="AJ412" s="5" t="str">
        <f t="shared" si="71"/>
        <v>NM 1040 - Personal</v>
      </c>
      <c r="AK412" s="5" t="str">
        <f t="shared" si="72"/>
        <v>NM-Tax Services-ANN-1040 - Personal_Basic</v>
      </c>
      <c r="AL412" s="5" t="str">
        <f t="shared" si="73"/>
        <v>Less, _2001_NM 1040 - Personal</v>
      </c>
      <c r="AM412" s="5" t="str">
        <f t="shared" si="74"/>
        <v>Less, _2001_NM-Tax Services-ANN-1040 - Personal_Basic</v>
      </c>
    </row>
    <row r="413" spans="1:39" x14ac:dyDescent="0.25">
      <c r="A413" s="2" t="s">
        <v>670</v>
      </c>
      <c r="B413" s="2" t="s">
        <v>671</v>
      </c>
      <c r="C413" s="2" t="s">
        <v>1196</v>
      </c>
      <c r="D413" s="8">
        <v>43831</v>
      </c>
      <c r="E413" s="5" t="str">
        <f t="shared" si="75"/>
        <v>Lewallen, Jeffrey B &amp; Natalia E_01-01-20</v>
      </c>
      <c r="F413" s="2" t="s">
        <v>1203</v>
      </c>
      <c r="G413" s="2" t="s">
        <v>1241</v>
      </c>
      <c r="H413" s="2" t="s">
        <v>1220</v>
      </c>
      <c r="I413" s="2" t="s">
        <v>1221</v>
      </c>
      <c r="J413" s="2" t="s">
        <v>1234</v>
      </c>
      <c r="M413" s="5" t="str">
        <f t="shared" si="66"/>
        <v>Mid</v>
      </c>
      <c r="N413" s="5" t="str">
        <f t="shared" si="67"/>
        <v>Tax-Staff-Mid</v>
      </c>
      <c r="O413" s="5" t="str">
        <f t="shared" si="68"/>
        <v>Tax-Reviewer-Mid</v>
      </c>
      <c r="P413" s="5" t="str">
        <f t="shared" si="69"/>
        <v>Tax-Signer-Mid</v>
      </c>
      <c r="Q413" s="6">
        <v>2.7401969696969677</v>
      </c>
      <c r="R413" s="6">
        <v>0.5480393939393936</v>
      </c>
      <c r="S413" s="6">
        <v>0.2740196969696968</v>
      </c>
      <c r="T413" s="7">
        <f t="shared" si="76"/>
        <v>3.562256060606058</v>
      </c>
      <c r="U413" s="6" t="e">
        <f>SUMIFS([1]Sheet1!$L:$L,[1]Sheet1!$I:$I,AJ413,[1]Sheet1!$C:$C,A413)</f>
        <v>#VALUE!</v>
      </c>
      <c r="V413" s="6"/>
      <c r="W413" s="6"/>
      <c r="X413" s="7" t="e">
        <f t="shared" si="70"/>
        <v>#VALUE!</v>
      </c>
      <c r="Y413" s="6"/>
      <c r="AJ413" s="5" t="str">
        <f t="shared" si="71"/>
        <v>NM 1040 - Personal</v>
      </c>
      <c r="AK413" s="5" t="str">
        <f t="shared" si="72"/>
        <v>NM-Tax Services-ANN-1040 - Personal_Mid</v>
      </c>
      <c r="AL413" s="5" t="str">
        <f t="shared" si="73"/>
        <v>Lewall_8613_NM 1040 - Personal</v>
      </c>
      <c r="AM413" s="5" t="str">
        <f t="shared" si="74"/>
        <v>Lewall_8613_NM-Tax Services-ANN-1040 - Personal_Mid</v>
      </c>
    </row>
    <row r="414" spans="1:39" x14ac:dyDescent="0.25">
      <c r="A414" s="2" t="s">
        <v>109</v>
      </c>
      <c r="B414" s="2" t="s">
        <v>110</v>
      </c>
      <c r="C414" s="2" t="s">
        <v>1197</v>
      </c>
      <c r="D414" s="8">
        <v>43831</v>
      </c>
      <c r="E414" s="5" t="str">
        <f t="shared" si="75"/>
        <v>Liberty Farm Ironworks, Inc._01-01-20</v>
      </c>
      <c r="F414" s="2" t="s">
        <v>1201</v>
      </c>
      <c r="G414" s="2" t="s">
        <v>1201</v>
      </c>
      <c r="H414" s="2" t="s">
        <v>1197</v>
      </c>
      <c r="I414" s="2" t="s">
        <v>1223</v>
      </c>
      <c r="J414" s="2" t="s">
        <v>1235</v>
      </c>
      <c r="M414" s="5" t="str">
        <f t="shared" si="66"/>
        <v>Basic</v>
      </c>
      <c r="N414" s="5" t="str">
        <f t="shared" si="67"/>
        <v>Accountant-Staff-Basic</v>
      </c>
      <c r="O414" s="5" t="str">
        <f t="shared" si="68"/>
        <v>Accountant-Reviewer-Basic</v>
      </c>
      <c r="P414" s="5" t="str">
        <f t="shared" si="69"/>
        <v>Accountant-Signer-Basic</v>
      </c>
      <c r="Q414" s="6">
        <v>1.47</v>
      </c>
      <c r="R414" s="6">
        <v>0.29399999999999998</v>
      </c>
      <c r="S414" s="6">
        <v>0.14699999999999999</v>
      </c>
      <c r="T414" s="7">
        <f t="shared" si="76"/>
        <v>1.911</v>
      </c>
      <c r="U414" s="6" t="e">
        <f>SUMIFS([1]Sheet1!$L:$L,[1]Sheet1!$I:$I,AJ414,[1]Sheet1!$C:$C,A414)</f>
        <v>#VALUE!</v>
      </c>
      <c r="V414" s="6"/>
      <c r="W414" s="6"/>
      <c r="X414" s="7" t="e">
        <f t="shared" si="70"/>
        <v>#VALUE!</v>
      </c>
      <c r="Y414" s="6"/>
      <c r="AJ414" s="5" t="str">
        <f t="shared" si="71"/>
        <v>MO Accounting Services</v>
      </c>
      <c r="AK414" s="5" t="str">
        <f t="shared" si="72"/>
        <v>MO-Accounting Services-MO-Accounting Services_Basic</v>
      </c>
      <c r="AL414" s="5" t="str">
        <f t="shared" si="73"/>
        <v>Liberty _1120C_27-3038070_MO Accounting Services</v>
      </c>
      <c r="AM414" s="5" t="str">
        <f t="shared" si="74"/>
        <v>Liberty _1120C_27-3038070_MO-Accounting Services-MO-Accounting Services_Basic</v>
      </c>
    </row>
    <row r="415" spans="1:39" x14ac:dyDescent="0.25">
      <c r="A415" s="2" t="s">
        <v>109</v>
      </c>
      <c r="B415" s="2" t="s">
        <v>110</v>
      </c>
      <c r="C415" s="2" t="s">
        <v>1197</v>
      </c>
      <c r="D415" s="8">
        <v>43831</v>
      </c>
      <c r="E415" s="5" t="str">
        <f t="shared" si="75"/>
        <v>Liberty Farm Ironworks, Inc._01-01-20</v>
      </c>
      <c r="F415" s="2" t="s">
        <v>1206</v>
      </c>
      <c r="G415" s="2" t="s">
        <v>1241</v>
      </c>
      <c r="H415" s="2" t="s">
        <v>1220</v>
      </c>
      <c r="I415" s="2" t="s">
        <v>1221</v>
      </c>
      <c r="J415" s="2" t="s">
        <v>1234</v>
      </c>
      <c r="M415" s="5" t="str">
        <f t="shared" si="66"/>
        <v>Mid</v>
      </c>
      <c r="N415" s="5" t="str">
        <f t="shared" si="67"/>
        <v>Tax-Staff-Mid</v>
      </c>
      <c r="O415" s="5" t="str">
        <f t="shared" si="68"/>
        <v>Tax-Reviewer-Mid</v>
      </c>
      <c r="P415" s="5" t="str">
        <f t="shared" si="69"/>
        <v>Tax-Signer-Mid</v>
      </c>
      <c r="Q415" s="6">
        <v>2.7401969696969677</v>
      </c>
      <c r="R415" s="6">
        <v>0.5480393939393936</v>
      </c>
      <c r="S415" s="6">
        <v>0.2740196969696968</v>
      </c>
      <c r="T415" s="7">
        <f t="shared" si="76"/>
        <v>3.562256060606058</v>
      </c>
      <c r="U415" s="6" t="e">
        <f>SUMIFS([1]Sheet1!$L:$L,[1]Sheet1!$I:$I,AJ415,[1]Sheet1!$C:$C,A415)</f>
        <v>#VALUE!</v>
      </c>
      <c r="V415" s="6"/>
      <c r="W415" s="6"/>
      <c r="X415" s="7" t="e">
        <f t="shared" si="70"/>
        <v>#VALUE!</v>
      </c>
      <c r="Y415" s="6"/>
      <c r="AJ415" s="5" t="str">
        <f t="shared" si="71"/>
        <v>MO 1120 - C Corporation</v>
      </c>
      <c r="AK415" s="5" t="str">
        <f t="shared" si="72"/>
        <v>MO-Tax Services-ANN-1120 - C Corporation_Mid</v>
      </c>
      <c r="AL415" s="5" t="str">
        <f t="shared" si="73"/>
        <v>Liberty _1120C_27-3038070_MO 1120 - C Corporation</v>
      </c>
      <c r="AM415" s="5" t="str">
        <f t="shared" si="74"/>
        <v>Liberty _1120C_27-3038070_MO-Tax Services-ANN-1120 - C Corporation_Mid</v>
      </c>
    </row>
    <row r="416" spans="1:39" x14ac:dyDescent="0.25">
      <c r="A416" s="2" t="s">
        <v>109</v>
      </c>
      <c r="B416" s="2" t="s">
        <v>110</v>
      </c>
      <c r="C416" s="2" t="s">
        <v>1197</v>
      </c>
      <c r="D416" s="8">
        <v>43831</v>
      </c>
      <c r="E416" s="5" t="str">
        <f t="shared" si="75"/>
        <v>Liberty Farm Ironworks, Inc._01-01-20</v>
      </c>
      <c r="F416" s="2" t="s">
        <v>1205</v>
      </c>
      <c r="G416" s="2" t="s">
        <v>1201</v>
      </c>
      <c r="H416" s="2" t="s">
        <v>1224</v>
      </c>
      <c r="I416" s="2" t="s">
        <v>1223</v>
      </c>
      <c r="J416" s="2" t="s">
        <v>1235</v>
      </c>
      <c r="M416" s="5" t="str">
        <f t="shared" si="66"/>
        <v>Basic</v>
      </c>
      <c r="N416" s="5" t="str">
        <f t="shared" si="67"/>
        <v>Accountant-Staff-Basic</v>
      </c>
      <c r="O416" s="5" t="str">
        <f t="shared" si="68"/>
        <v>Accountant-Reviewer-Basic</v>
      </c>
      <c r="P416" s="5" t="str">
        <f t="shared" si="69"/>
        <v>Accountant-Signer-Basic</v>
      </c>
      <c r="Q416" s="6">
        <v>0.5</v>
      </c>
      <c r="R416" s="6">
        <v>0.1</v>
      </c>
      <c r="S416" s="6">
        <v>0.05</v>
      </c>
      <c r="T416" s="7">
        <f t="shared" si="76"/>
        <v>0.65</v>
      </c>
      <c r="U416" s="6" t="e">
        <f>SUMIFS([1]Sheet1!$L:$L,[1]Sheet1!$I:$I,AJ416,[1]Sheet1!$C:$C,A416)</f>
        <v>#VALUE!</v>
      </c>
      <c r="V416" s="6"/>
      <c r="W416" s="6"/>
      <c r="X416" s="7" t="e">
        <f t="shared" si="70"/>
        <v>#VALUE!</v>
      </c>
      <c r="Y416" s="6"/>
      <c r="AJ416" s="5" t="str">
        <f t="shared" si="71"/>
        <v>MO Payroll Services</v>
      </c>
      <c r="AK416" s="5" t="str">
        <f t="shared" si="72"/>
        <v>MO-Accounting Services-QTR-Payroll Services_Basic</v>
      </c>
      <c r="AL416" s="5" t="str">
        <f t="shared" si="73"/>
        <v>Liberty _1120C_27-3038070_MO Payroll Services</v>
      </c>
      <c r="AM416" s="5" t="str">
        <f t="shared" si="74"/>
        <v>Liberty _1120C_27-3038070_MO-Accounting Services-QTR-Payroll Services_Basic</v>
      </c>
    </row>
    <row r="417" spans="1:39" x14ac:dyDescent="0.25">
      <c r="A417" s="2" t="s">
        <v>109</v>
      </c>
      <c r="B417" s="2" t="s">
        <v>110</v>
      </c>
      <c r="C417" s="2" t="s">
        <v>1197</v>
      </c>
      <c r="D417" s="8">
        <v>43831</v>
      </c>
      <c r="E417" s="5" t="str">
        <f t="shared" si="75"/>
        <v>Liberty Farm Ironworks, Inc._01-01-20</v>
      </c>
      <c r="F417" s="2" t="s">
        <v>1200</v>
      </c>
      <c r="G417" s="2" t="s">
        <v>1241</v>
      </c>
      <c r="H417" s="2" t="s">
        <v>1220</v>
      </c>
      <c r="I417" s="2" t="s">
        <v>1223</v>
      </c>
      <c r="J417" s="2" t="s">
        <v>1234</v>
      </c>
      <c r="M417" s="5" t="str">
        <f t="shared" si="66"/>
        <v>Basic</v>
      </c>
      <c r="N417" s="5" t="str">
        <f t="shared" si="67"/>
        <v>Tax-Staff-Basic</v>
      </c>
      <c r="O417" s="5" t="str">
        <f t="shared" si="68"/>
        <v>Tax-Reviewer-Basic</v>
      </c>
      <c r="P417" s="5" t="str">
        <f t="shared" si="69"/>
        <v>Tax-Signer-Basic</v>
      </c>
      <c r="Q417" s="6">
        <v>0.5</v>
      </c>
      <c r="R417" s="6">
        <v>0.1</v>
      </c>
      <c r="S417" s="6">
        <v>0.05</v>
      </c>
      <c r="T417" s="7">
        <f t="shared" si="76"/>
        <v>0.65</v>
      </c>
      <c r="U417" s="6" t="e">
        <f>SUMIFS([1]Sheet1!$L:$L,[1]Sheet1!$I:$I,AJ417,[1]Sheet1!$C:$C,A417)</f>
        <v>#VALUE!</v>
      </c>
      <c r="V417" s="6"/>
      <c r="W417" s="6"/>
      <c r="X417" s="7" t="e">
        <f t="shared" si="70"/>
        <v>#VALUE!</v>
      </c>
      <c r="Y417" s="6"/>
      <c r="AJ417" s="5" t="str">
        <f t="shared" si="71"/>
        <v>MO Texas Franchise Tax Return</v>
      </c>
      <c r="AK417" s="5" t="str">
        <f t="shared" si="72"/>
        <v>MO-Tax Services-ANN-Texas Franchise Tax Return_Basic</v>
      </c>
      <c r="AL417" s="5" t="str">
        <f t="shared" si="73"/>
        <v>Liberty _1120C_27-3038070_MO Texas Franchise Tax Return</v>
      </c>
      <c r="AM417" s="5" t="str">
        <f t="shared" si="74"/>
        <v>Liberty _1120C_27-3038070_MO-Tax Services-ANN-Texas Franchise Tax Return_Basic</v>
      </c>
    </row>
    <row r="418" spans="1:39" x14ac:dyDescent="0.25">
      <c r="A418" s="2" t="s">
        <v>826</v>
      </c>
      <c r="B418" s="2" t="s">
        <v>827</v>
      </c>
      <c r="C418" s="2" t="s">
        <v>1197</v>
      </c>
      <c r="D418" s="8">
        <v>43831</v>
      </c>
      <c r="E418" s="5" t="str">
        <f t="shared" si="75"/>
        <v>Like, James_01-01-20</v>
      </c>
      <c r="F418" s="2" t="s">
        <v>1203</v>
      </c>
      <c r="G418" s="2" t="s">
        <v>1241</v>
      </c>
      <c r="H418" s="2" t="s">
        <v>1220</v>
      </c>
      <c r="I418" s="2" t="s">
        <v>1221</v>
      </c>
      <c r="J418" s="2" t="s">
        <v>1234</v>
      </c>
      <c r="M418" s="5" t="str">
        <f t="shared" si="66"/>
        <v>Mid</v>
      </c>
      <c r="N418" s="5" t="str">
        <f t="shared" si="67"/>
        <v>Tax-Staff-Mid</v>
      </c>
      <c r="O418" s="5" t="str">
        <f t="shared" si="68"/>
        <v>Tax-Reviewer-Mid</v>
      </c>
      <c r="P418" s="5" t="str">
        <f t="shared" si="69"/>
        <v>Tax-Signer-Mid</v>
      </c>
      <c r="Q418" s="6">
        <v>2.7401969696969677</v>
      </c>
      <c r="R418" s="6">
        <v>0.5480393939393936</v>
      </c>
      <c r="S418" s="6">
        <v>0.2740196969696968</v>
      </c>
      <c r="T418" s="7">
        <f t="shared" si="76"/>
        <v>3.562256060606058</v>
      </c>
      <c r="U418" s="6" t="e">
        <f>SUMIFS([1]Sheet1!$L:$L,[1]Sheet1!$I:$I,AJ418,[1]Sheet1!$C:$C,A418)</f>
        <v>#VALUE!</v>
      </c>
      <c r="V418" s="6"/>
      <c r="W418" s="6"/>
      <c r="X418" s="7" t="e">
        <f t="shared" si="70"/>
        <v>#VALUE!</v>
      </c>
      <c r="Y418" s="6"/>
      <c r="AJ418" s="5" t="str">
        <f t="shared" si="71"/>
        <v>MO 1040 - Personal</v>
      </c>
      <c r="AK418" s="5" t="str">
        <f t="shared" si="72"/>
        <v>MO-Tax Services-ANN-1040 - Personal_Mid</v>
      </c>
      <c r="AL418" s="5" t="str">
        <f t="shared" si="73"/>
        <v>Like, _4064_MO 1040 - Personal</v>
      </c>
      <c r="AM418" s="5" t="str">
        <f t="shared" si="74"/>
        <v>Like, _4064_MO-Tax Services-ANN-1040 - Personal_Mid</v>
      </c>
    </row>
    <row r="419" spans="1:39" x14ac:dyDescent="0.25">
      <c r="A419" s="2" t="s">
        <v>201</v>
      </c>
      <c r="B419" s="2" t="s">
        <v>202</v>
      </c>
      <c r="C419" s="2" t="s">
        <v>1196</v>
      </c>
      <c r="D419" s="8">
        <v>43831</v>
      </c>
      <c r="E419" s="5" t="str">
        <f t="shared" si="75"/>
        <v>Lillian Real Estate Investment_01-01-20</v>
      </c>
      <c r="F419" s="2" t="s">
        <v>1206</v>
      </c>
      <c r="G419" s="2" t="s">
        <v>1241</v>
      </c>
      <c r="H419" s="2" t="s">
        <v>1220</v>
      </c>
      <c r="I419" s="2" t="s">
        <v>1223</v>
      </c>
      <c r="J419" s="2" t="s">
        <v>1234</v>
      </c>
      <c r="M419" s="5" t="str">
        <f t="shared" si="66"/>
        <v>Basic</v>
      </c>
      <c r="N419" s="5" t="str">
        <f t="shared" si="67"/>
        <v>Tax-Staff-Basic</v>
      </c>
      <c r="O419" s="5" t="str">
        <f t="shared" si="68"/>
        <v>Tax-Reviewer-Basic</v>
      </c>
      <c r="P419" s="5" t="str">
        <f t="shared" si="69"/>
        <v>Tax-Signer-Basic</v>
      </c>
      <c r="Q419" s="6">
        <v>1.4675000000000016</v>
      </c>
      <c r="R419" s="6">
        <v>0.29350000000000032</v>
      </c>
      <c r="S419" s="6">
        <v>0.14675000000000016</v>
      </c>
      <c r="T419" s="7">
        <f t="shared" si="76"/>
        <v>1.9077500000000021</v>
      </c>
      <c r="U419" s="6" t="e">
        <f>SUMIFS([1]Sheet1!$L:$L,[1]Sheet1!$I:$I,AJ419,[1]Sheet1!$C:$C,A419)</f>
        <v>#VALUE!</v>
      </c>
      <c r="V419" s="6"/>
      <c r="W419" s="6"/>
      <c r="X419" s="7" t="e">
        <f t="shared" si="70"/>
        <v>#VALUE!</v>
      </c>
      <c r="Y419" s="6"/>
      <c r="AJ419" s="5" t="str">
        <f t="shared" si="71"/>
        <v>NM 1120 - C Corporation</v>
      </c>
      <c r="AK419" s="5" t="str">
        <f t="shared" si="72"/>
        <v>NM-Tax Services-ANN-1120 - C Corporation_Basic</v>
      </c>
      <c r="AL419" s="5" t="str">
        <f t="shared" si="73"/>
        <v>Lillian _1120C_46-5624403_NM 1120 - C Corporation</v>
      </c>
      <c r="AM419" s="5" t="str">
        <f t="shared" si="74"/>
        <v>Lillian _1120C_46-5624403_NM-Tax Services-ANN-1120 - C Corporation_Basic</v>
      </c>
    </row>
    <row r="420" spans="1:39" x14ac:dyDescent="0.25">
      <c r="A420" s="2" t="s">
        <v>672</v>
      </c>
      <c r="B420" s="2" t="s">
        <v>673</v>
      </c>
      <c r="C420" s="2" t="s">
        <v>1196</v>
      </c>
      <c r="D420" s="8">
        <v>43831</v>
      </c>
      <c r="E420" s="5" t="str">
        <f t="shared" si="75"/>
        <v>Ling, Jennifer_01-01-20</v>
      </c>
      <c r="F420" s="2" t="s">
        <v>1203</v>
      </c>
      <c r="G420" s="2" t="s">
        <v>1241</v>
      </c>
      <c r="H420" s="2" t="s">
        <v>1220</v>
      </c>
      <c r="I420" s="2" t="s">
        <v>1221</v>
      </c>
      <c r="J420" s="2" t="s">
        <v>1234</v>
      </c>
      <c r="M420" s="5" t="str">
        <f t="shared" si="66"/>
        <v>Mid</v>
      </c>
      <c r="N420" s="5" t="str">
        <f t="shared" si="67"/>
        <v>Tax-Staff-Mid</v>
      </c>
      <c r="O420" s="5" t="str">
        <f t="shared" si="68"/>
        <v>Tax-Reviewer-Mid</v>
      </c>
      <c r="P420" s="5" t="str">
        <f t="shared" si="69"/>
        <v>Tax-Signer-Mid</v>
      </c>
      <c r="Q420" s="6">
        <v>2.7401969696969677</v>
      </c>
      <c r="R420" s="6">
        <v>0.5480393939393936</v>
      </c>
      <c r="S420" s="6">
        <v>0.2740196969696968</v>
      </c>
      <c r="T420" s="7">
        <f t="shared" si="76"/>
        <v>3.562256060606058</v>
      </c>
      <c r="U420" s="6" t="e">
        <f>SUMIFS([1]Sheet1!$L:$L,[1]Sheet1!$I:$I,AJ420,[1]Sheet1!$C:$C,A420)</f>
        <v>#VALUE!</v>
      </c>
      <c r="V420" s="6"/>
      <c r="W420" s="6"/>
      <c r="X420" s="7" t="e">
        <f t="shared" si="70"/>
        <v>#VALUE!</v>
      </c>
      <c r="Y420" s="6"/>
      <c r="AJ420" s="5" t="str">
        <f t="shared" si="71"/>
        <v>NM 1040 - Personal</v>
      </c>
      <c r="AK420" s="5" t="str">
        <f t="shared" si="72"/>
        <v>NM-Tax Services-ANN-1040 - Personal_Mid</v>
      </c>
      <c r="AL420" s="5" t="str">
        <f t="shared" si="73"/>
        <v>Ling, _8897_NM 1040 - Personal</v>
      </c>
      <c r="AM420" s="5" t="str">
        <f t="shared" si="74"/>
        <v>Ling, _8897_NM-Tax Services-ANN-1040 - Personal_Mid</v>
      </c>
    </row>
    <row r="421" spans="1:39" x14ac:dyDescent="0.25">
      <c r="A421" s="2" t="s">
        <v>988</v>
      </c>
      <c r="B421" s="2" t="s">
        <v>989</v>
      </c>
      <c r="C421" s="2" t="s">
        <v>1196</v>
      </c>
      <c r="D421" s="8">
        <v>43831</v>
      </c>
      <c r="E421" s="5" t="str">
        <f t="shared" si="75"/>
        <v>Lisa Allford_01-01-20</v>
      </c>
      <c r="F421" s="2" t="s">
        <v>1203</v>
      </c>
      <c r="G421" s="2" t="s">
        <v>1241</v>
      </c>
      <c r="H421" s="2" t="s">
        <v>1220</v>
      </c>
      <c r="I421" s="2" t="s">
        <v>1223</v>
      </c>
      <c r="J421" s="2" t="s">
        <v>1234</v>
      </c>
      <c r="M421" s="5" t="str">
        <f t="shared" si="66"/>
        <v>Basic</v>
      </c>
      <c r="N421" s="5" t="str">
        <f t="shared" si="67"/>
        <v>Tax-Staff-Basic</v>
      </c>
      <c r="O421" s="5" t="str">
        <f t="shared" si="68"/>
        <v>Tax-Reviewer-Basic</v>
      </c>
      <c r="P421" s="5" t="str">
        <f t="shared" si="69"/>
        <v>Tax-Signer-Basic</v>
      </c>
      <c r="Q421" s="6">
        <v>1.4675000000000016</v>
      </c>
      <c r="R421" s="6">
        <v>0.29350000000000032</v>
      </c>
      <c r="S421" s="6">
        <v>0.14675000000000016</v>
      </c>
      <c r="T421" s="7">
        <f t="shared" si="76"/>
        <v>1.9077500000000021</v>
      </c>
      <c r="U421" s="6" t="e">
        <f>SUMIFS([1]Sheet1!$L:$L,[1]Sheet1!$I:$I,AJ421,[1]Sheet1!$C:$C,A421)</f>
        <v>#VALUE!</v>
      </c>
      <c r="V421" s="6"/>
      <c r="W421" s="6"/>
      <c r="X421" s="7" t="e">
        <f t="shared" si="70"/>
        <v>#VALUE!</v>
      </c>
      <c r="Y421" s="6"/>
      <c r="AJ421" s="5" t="str">
        <f t="shared" si="71"/>
        <v>NM 1040 - Personal</v>
      </c>
      <c r="AK421" s="5" t="str">
        <f t="shared" si="72"/>
        <v>NM-Tax Services-ANN-1040 - Personal_Basic</v>
      </c>
      <c r="AL421" s="5" t="str">
        <f t="shared" si="73"/>
        <v>Lisa A_9734_NM 1040 - Personal</v>
      </c>
      <c r="AM421" s="5" t="str">
        <f t="shared" si="74"/>
        <v>Lisa A_9734_NM-Tax Services-ANN-1040 - Personal_Basic</v>
      </c>
    </row>
    <row r="422" spans="1:39" x14ac:dyDescent="0.25">
      <c r="A422" s="2" t="s">
        <v>674</v>
      </c>
      <c r="B422" s="2" t="s">
        <v>675</v>
      </c>
      <c r="C422" s="2" t="s">
        <v>1196</v>
      </c>
      <c r="D422" s="8">
        <v>43831</v>
      </c>
      <c r="E422" s="5" t="str">
        <f t="shared" si="75"/>
        <v>Lockamy, Chris_01-01-20</v>
      </c>
      <c r="F422" s="2" t="s">
        <v>1203</v>
      </c>
      <c r="G422" s="2" t="s">
        <v>1241</v>
      </c>
      <c r="H422" s="2" t="s">
        <v>1220</v>
      </c>
      <c r="I422" s="2" t="s">
        <v>1221</v>
      </c>
      <c r="J422" s="2" t="s">
        <v>1234</v>
      </c>
      <c r="M422" s="5" t="str">
        <f t="shared" si="66"/>
        <v>Mid</v>
      </c>
      <c r="N422" s="5" t="str">
        <f t="shared" si="67"/>
        <v>Tax-Staff-Mid</v>
      </c>
      <c r="O422" s="5" t="str">
        <f t="shared" si="68"/>
        <v>Tax-Reviewer-Mid</v>
      </c>
      <c r="P422" s="5" t="str">
        <f t="shared" si="69"/>
        <v>Tax-Signer-Mid</v>
      </c>
      <c r="Q422" s="6">
        <v>2.7401969696969677</v>
      </c>
      <c r="R422" s="6">
        <v>0.5480393939393936</v>
      </c>
      <c r="S422" s="6">
        <v>0.2740196969696968</v>
      </c>
      <c r="T422" s="7">
        <f t="shared" si="76"/>
        <v>3.562256060606058</v>
      </c>
      <c r="U422" s="6" t="e">
        <f>SUMIFS([1]Sheet1!$L:$L,[1]Sheet1!$I:$I,AJ422,[1]Sheet1!$C:$C,A422)</f>
        <v>#VALUE!</v>
      </c>
      <c r="V422" s="6"/>
      <c r="W422" s="6"/>
      <c r="X422" s="7" t="e">
        <f t="shared" si="70"/>
        <v>#VALUE!</v>
      </c>
      <c r="Y422" s="6"/>
      <c r="AJ422" s="5" t="str">
        <f t="shared" si="71"/>
        <v>NM 1040 - Personal</v>
      </c>
      <c r="AK422" s="5" t="str">
        <f t="shared" si="72"/>
        <v>NM-Tax Services-ANN-1040 - Personal_Mid</v>
      </c>
      <c r="AL422" s="5" t="str">
        <f t="shared" si="73"/>
        <v>Lockam_7112_NM 1040 - Personal</v>
      </c>
      <c r="AM422" s="5" t="str">
        <f t="shared" si="74"/>
        <v>Lockam_7112_NM-Tax Services-ANN-1040 - Personal_Mid</v>
      </c>
    </row>
    <row r="423" spans="1:39" x14ac:dyDescent="0.25">
      <c r="A423" s="2" t="s">
        <v>1187</v>
      </c>
      <c r="B423" s="2" t="s">
        <v>1188</v>
      </c>
      <c r="C423" s="2" t="s">
        <v>1197</v>
      </c>
      <c r="D423" s="8">
        <v>43831</v>
      </c>
      <c r="E423" s="5" t="str">
        <f t="shared" si="75"/>
        <v>Logos Media, LLC_01-01-20</v>
      </c>
      <c r="F423" s="2" t="s">
        <v>1204</v>
      </c>
      <c r="G423" s="2" t="s">
        <v>1241</v>
      </c>
      <c r="H423" s="2" t="s">
        <v>1220</v>
      </c>
      <c r="I423" s="2" t="s">
        <v>1221</v>
      </c>
      <c r="J423" s="2" t="s">
        <v>1234</v>
      </c>
      <c r="M423" s="5" t="str">
        <f t="shared" si="66"/>
        <v>Mid</v>
      </c>
      <c r="N423" s="5" t="str">
        <f t="shared" si="67"/>
        <v>Tax-Staff-Mid</v>
      </c>
      <c r="O423" s="5" t="str">
        <f t="shared" si="68"/>
        <v>Tax-Reviewer-Mid</v>
      </c>
      <c r="P423" s="5" t="str">
        <f t="shared" si="69"/>
        <v>Tax-Signer-Mid</v>
      </c>
      <c r="Q423" s="6">
        <v>2.7401969696969677</v>
      </c>
      <c r="R423" s="6">
        <v>0.5480393939393936</v>
      </c>
      <c r="S423" s="6">
        <v>0.2740196969696968</v>
      </c>
      <c r="T423" s="7">
        <f t="shared" si="76"/>
        <v>3.562256060606058</v>
      </c>
      <c r="U423" s="6" t="e">
        <f>SUMIFS([1]Sheet1!$L:$L,[1]Sheet1!$I:$I,AJ423,[1]Sheet1!$C:$C,A423)</f>
        <v>#VALUE!</v>
      </c>
      <c r="V423" s="6"/>
      <c r="W423" s="6"/>
      <c r="X423" s="7" t="e">
        <f t="shared" si="70"/>
        <v>#VALUE!</v>
      </c>
      <c r="Y423" s="6"/>
      <c r="AJ423" s="5" t="str">
        <f t="shared" si="71"/>
        <v>MO 1120S - S Corporation</v>
      </c>
      <c r="AK423" s="5" t="str">
        <f t="shared" si="72"/>
        <v>MO-Tax Services-ANN-1120S - S Corporation_Mid</v>
      </c>
      <c r="AL423" s="5" t="str">
        <f t="shared" si="73"/>
        <v>Logos Me_1120S_47-1441547_MO 1120S - S Corporation</v>
      </c>
      <c r="AM423" s="5" t="str">
        <f t="shared" si="74"/>
        <v>Logos Me_1120S_47-1441547_MO-Tax Services-ANN-1120S - S Corporation_Mid</v>
      </c>
    </row>
    <row r="424" spans="1:39" x14ac:dyDescent="0.25">
      <c r="A424" s="2" t="s">
        <v>1187</v>
      </c>
      <c r="B424" s="2" t="s">
        <v>1188</v>
      </c>
      <c r="C424" s="2" t="s">
        <v>1197</v>
      </c>
      <c r="D424" s="8">
        <v>43831</v>
      </c>
      <c r="E424" s="5" t="str">
        <f t="shared" si="75"/>
        <v>Logos Media, LLC_01-01-20</v>
      </c>
      <c r="F424" s="2" t="s">
        <v>1200</v>
      </c>
      <c r="G424" s="2" t="s">
        <v>1241</v>
      </c>
      <c r="H424" s="2" t="s">
        <v>1220</v>
      </c>
      <c r="I424" s="2" t="s">
        <v>1223</v>
      </c>
      <c r="J424" s="2" t="s">
        <v>1234</v>
      </c>
      <c r="M424" s="5" t="str">
        <f t="shared" si="66"/>
        <v>Basic</v>
      </c>
      <c r="N424" s="5" t="str">
        <f t="shared" si="67"/>
        <v>Tax-Staff-Basic</v>
      </c>
      <c r="O424" s="5" t="str">
        <f t="shared" si="68"/>
        <v>Tax-Reviewer-Basic</v>
      </c>
      <c r="P424" s="5" t="str">
        <f t="shared" si="69"/>
        <v>Tax-Signer-Basic</v>
      </c>
      <c r="Q424" s="6">
        <v>0.5</v>
      </c>
      <c r="R424" s="6">
        <v>0.1</v>
      </c>
      <c r="S424" s="6">
        <v>0.05</v>
      </c>
      <c r="T424" s="7">
        <f t="shared" si="76"/>
        <v>0.65</v>
      </c>
      <c r="U424" s="6" t="e">
        <f>SUMIFS([1]Sheet1!$L:$L,[1]Sheet1!$I:$I,AJ424,[1]Sheet1!$C:$C,A424)</f>
        <v>#VALUE!</v>
      </c>
      <c r="V424" s="6"/>
      <c r="W424" s="6"/>
      <c r="X424" s="7" t="e">
        <f t="shared" si="70"/>
        <v>#VALUE!</v>
      </c>
      <c r="Y424" s="6"/>
      <c r="AJ424" s="5" t="str">
        <f t="shared" si="71"/>
        <v>MO Texas Franchise Tax Return</v>
      </c>
      <c r="AK424" s="5" t="str">
        <f t="shared" si="72"/>
        <v>MO-Tax Services-ANN-Texas Franchise Tax Return_Basic</v>
      </c>
      <c r="AL424" s="5" t="str">
        <f t="shared" si="73"/>
        <v>Logos Me_1120S_47-1441547_MO Texas Franchise Tax Return</v>
      </c>
      <c r="AM424" s="5" t="str">
        <f t="shared" si="74"/>
        <v>Logos Me_1120S_47-1441547_MO-Tax Services-ANN-Texas Franchise Tax Return_Basic</v>
      </c>
    </row>
    <row r="425" spans="1:39" x14ac:dyDescent="0.25">
      <c r="A425" s="2" t="s">
        <v>1133</v>
      </c>
      <c r="B425" s="2" t="s">
        <v>1134</v>
      </c>
      <c r="C425" s="2" t="s">
        <v>1196</v>
      </c>
      <c r="D425" s="8">
        <v>43831</v>
      </c>
      <c r="E425" s="5" t="str">
        <f t="shared" si="75"/>
        <v>Lone State Larrikins, LLC_01-01-20</v>
      </c>
      <c r="F425" s="2" t="s">
        <v>1204</v>
      </c>
      <c r="G425" s="2" t="s">
        <v>1241</v>
      </c>
      <c r="H425" s="2" t="s">
        <v>1220</v>
      </c>
      <c r="I425" s="2" t="s">
        <v>1223</v>
      </c>
      <c r="J425" s="2" t="s">
        <v>1234</v>
      </c>
      <c r="M425" s="5" t="str">
        <f t="shared" si="66"/>
        <v>Basic</v>
      </c>
      <c r="N425" s="5" t="str">
        <f t="shared" si="67"/>
        <v>Tax-Staff-Basic</v>
      </c>
      <c r="O425" s="5" t="str">
        <f t="shared" si="68"/>
        <v>Tax-Reviewer-Basic</v>
      </c>
      <c r="P425" s="5" t="str">
        <f t="shared" si="69"/>
        <v>Tax-Signer-Basic</v>
      </c>
      <c r="Q425" s="6">
        <v>1.4675000000000016</v>
      </c>
      <c r="R425" s="6">
        <v>0.29350000000000032</v>
      </c>
      <c r="S425" s="6">
        <v>0.14675000000000016</v>
      </c>
      <c r="T425" s="7">
        <f t="shared" si="76"/>
        <v>1.9077500000000021</v>
      </c>
      <c r="U425" s="6" t="e">
        <f>SUMIFS([1]Sheet1!$L:$L,[1]Sheet1!$I:$I,AJ425,[1]Sheet1!$C:$C,A425)</f>
        <v>#VALUE!</v>
      </c>
      <c r="V425" s="6"/>
      <c r="W425" s="6"/>
      <c r="X425" s="7" t="e">
        <f t="shared" si="70"/>
        <v>#VALUE!</v>
      </c>
      <c r="Y425" s="6"/>
      <c r="AJ425" s="5" t="str">
        <f t="shared" si="71"/>
        <v>NM 1120S - S Corporation</v>
      </c>
      <c r="AK425" s="5" t="str">
        <f t="shared" si="72"/>
        <v>NM-Tax Services-ANN-1120S - S Corporation_Basic</v>
      </c>
      <c r="AL425" s="5" t="str">
        <f t="shared" si="73"/>
        <v>Lone Sta_1120C_82-1102834_NM 1120S - S Corporation</v>
      </c>
      <c r="AM425" s="5" t="str">
        <f t="shared" si="74"/>
        <v>Lone Sta_1120C_82-1102834_NM-Tax Services-ANN-1120S - S Corporation_Basic</v>
      </c>
    </row>
    <row r="426" spans="1:39" x14ac:dyDescent="0.25">
      <c r="A426" s="2" t="s">
        <v>1133</v>
      </c>
      <c r="B426" s="2" t="s">
        <v>1134</v>
      </c>
      <c r="C426" s="2" t="s">
        <v>1196</v>
      </c>
      <c r="D426" s="8">
        <v>43831</v>
      </c>
      <c r="E426" s="5" t="str">
        <f t="shared" si="75"/>
        <v>Lone State Larrikins, LLC_01-01-20</v>
      </c>
      <c r="F426" s="2" t="s">
        <v>1200</v>
      </c>
      <c r="G426" s="2" t="s">
        <v>1241</v>
      </c>
      <c r="H426" s="2" t="s">
        <v>1220</v>
      </c>
      <c r="I426" s="2" t="s">
        <v>1223</v>
      </c>
      <c r="J426" s="2" t="s">
        <v>1234</v>
      </c>
      <c r="M426" s="5" t="str">
        <f t="shared" si="66"/>
        <v>Basic</v>
      </c>
      <c r="N426" s="5" t="str">
        <f t="shared" si="67"/>
        <v>Tax-Staff-Basic</v>
      </c>
      <c r="O426" s="5" t="str">
        <f t="shared" si="68"/>
        <v>Tax-Reviewer-Basic</v>
      </c>
      <c r="P426" s="5" t="str">
        <f t="shared" si="69"/>
        <v>Tax-Signer-Basic</v>
      </c>
      <c r="Q426" s="6">
        <v>0.5</v>
      </c>
      <c r="R426" s="6">
        <v>0.1</v>
      </c>
      <c r="S426" s="6">
        <v>0.05</v>
      </c>
      <c r="T426" s="7">
        <f t="shared" si="76"/>
        <v>0.65</v>
      </c>
      <c r="U426" s="6" t="e">
        <f>SUMIFS([1]Sheet1!$L:$L,[1]Sheet1!$I:$I,AJ426,[1]Sheet1!$C:$C,A426)</f>
        <v>#VALUE!</v>
      </c>
      <c r="V426" s="6"/>
      <c r="W426" s="6"/>
      <c r="X426" s="7" t="e">
        <f t="shared" si="70"/>
        <v>#VALUE!</v>
      </c>
      <c r="Y426" s="6"/>
      <c r="AJ426" s="5" t="str">
        <f t="shared" si="71"/>
        <v>NM Texas Franchise Tax Return</v>
      </c>
      <c r="AK426" s="5" t="str">
        <f t="shared" si="72"/>
        <v>NM-Tax Services-ANN-Texas Franchise Tax Return_Basic</v>
      </c>
      <c r="AL426" s="5" t="str">
        <f t="shared" si="73"/>
        <v>Lone Sta_1120C_82-1102834_NM Texas Franchise Tax Return</v>
      </c>
      <c r="AM426" s="5" t="str">
        <f t="shared" si="74"/>
        <v>Lone Sta_1120C_82-1102834_NM-Tax Services-ANN-Texas Franchise Tax Return_Basic</v>
      </c>
    </row>
    <row r="427" spans="1:39" x14ac:dyDescent="0.25">
      <c r="A427" s="2" t="s">
        <v>678</v>
      </c>
      <c r="B427" s="2" t="s">
        <v>679</v>
      </c>
      <c r="C427" s="2" t="s">
        <v>1196</v>
      </c>
      <c r="D427" s="8">
        <v>43831</v>
      </c>
      <c r="E427" s="5" t="str">
        <f t="shared" si="75"/>
        <v>Lopez, Juan &amp; Jennifer_01-01-20</v>
      </c>
      <c r="F427" s="2" t="s">
        <v>1203</v>
      </c>
      <c r="G427" s="2" t="s">
        <v>1241</v>
      </c>
      <c r="H427" s="2" t="s">
        <v>1220</v>
      </c>
      <c r="I427" s="2" t="s">
        <v>1221</v>
      </c>
      <c r="J427" s="2" t="s">
        <v>1234</v>
      </c>
      <c r="M427" s="5" t="str">
        <f t="shared" si="66"/>
        <v>Mid</v>
      </c>
      <c r="N427" s="5" t="str">
        <f t="shared" si="67"/>
        <v>Tax-Staff-Mid</v>
      </c>
      <c r="O427" s="5" t="str">
        <f t="shared" si="68"/>
        <v>Tax-Reviewer-Mid</v>
      </c>
      <c r="P427" s="5" t="str">
        <f t="shared" si="69"/>
        <v>Tax-Signer-Mid</v>
      </c>
      <c r="Q427" s="6">
        <v>2.7401969696969677</v>
      </c>
      <c r="R427" s="6">
        <v>0.5480393939393936</v>
      </c>
      <c r="S427" s="6">
        <v>0.2740196969696968</v>
      </c>
      <c r="T427" s="7">
        <f t="shared" si="76"/>
        <v>3.562256060606058</v>
      </c>
      <c r="U427" s="6" t="e">
        <f>SUMIFS([1]Sheet1!$L:$L,[1]Sheet1!$I:$I,AJ427,[1]Sheet1!$C:$C,A427)</f>
        <v>#VALUE!</v>
      </c>
      <c r="V427" s="6"/>
      <c r="W427" s="6"/>
      <c r="X427" s="7" t="e">
        <f t="shared" si="70"/>
        <v>#VALUE!</v>
      </c>
      <c r="Y427" s="6"/>
      <c r="AJ427" s="5" t="str">
        <f t="shared" si="71"/>
        <v>NM 1040 - Personal</v>
      </c>
      <c r="AK427" s="5" t="str">
        <f t="shared" si="72"/>
        <v>NM-Tax Services-ANN-1040 - Personal_Mid</v>
      </c>
      <c r="AL427" s="5" t="str">
        <f t="shared" si="73"/>
        <v>Lopez,_2486_NM 1040 - Personal</v>
      </c>
      <c r="AM427" s="5" t="str">
        <f t="shared" si="74"/>
        <v>Lopez,_2486_NM-Tax Services-ANN-1040 - Personal_Mid</v>
      </c>
    </row>
    <row r="428" spans="1:39" x14ac:dyDescent="0.25">
      <c r="A428" s="2" t="s">
        <v>676</v>
      </c>
      <c r="B428" s="2" t="s">
        <v>677</v>
      </c>
      <c r="C428" s="2" t="s">
        <v>1196</v>
      </c>
      <c r="D428" s="8">
        <v>43831</v>
      </c>
      <c r="E428" s="5" t="str">
        <f t="shared" si="75"/>
        <v>Lopez, Carlos_01-01-20</v>
      </c>
      <c r="F428" s="2" t="s">
        <v>1203</v>
      </c>
      <c r="G428" s="2" t="s">
        <v>1241</v>
      </c>
      <c r="H428" s="2" t="s">
        <v>1220</v>
      </c>
      <c r="I428" s="2" t="s">
        <v>1221</v>
      </c>
      <c r="J428" s="2" t="s">
        <v>1234</v>
      </c>
      <c r="M428" s="5" t="str">
        <f t="shared" si="66"/>
        <v>Mid</v>
      </c>
      <c r="N428" s="5" t="str">
        <f t="shared" si="67"/>
        <v>Tax-Staff-Mid</v>
      </c>
      <c r="O428" s="5" t="str">
        <f t="shared" si="68"/>
        <v>Tax-Reviewer-Mid</v>
      </c>
      <c r="P428" s="5" t="str">
        <f t="shared" si="69"/>
        <v>Tax-Signer-Mid</v>
      </c>
      <c r="Q428" s="6">
        <v>2.7401969696969677</v>
      </c>
      <c r="R428" s="6">
        <v>0.5480393939393936</v>
      </c>
      <c r="S428" s="6">
        <v>0.2740196969696968</v>
      </c>
      <c r="T428" s="7">
        <f t="shared" si="76"/>
        <v>3.562256060606058</v>
      </c>
      <c r="U428" s="6" t="e">
        <f>SUMIFS([1]Sheet1!$L:$L,[1]Sheet1!$I:$I,AJ428,[1]Sheet1!$C:$C,A428)</f>
        <v>#VALUE!</v>
      </c>
      <c r="V428" s="6"/>
      <c r="W428" s="6"/>
      <c r="X428" s="7" t="e">
        <f t="shared" si="70"/>
        <v>#VALUE!</v>
      </c>
      <c r="Y428" s="6"/>
      <c r="AJ428" s="5" t="str">
        <f t="shared" si="71"/>
        <v>NM 1040 - Personal</v>
      </c>
      <c r="AK428" s="5" t="str">
        <f t="shared" si="72"/>
        <v>NM-Tax Services-ANN-1040 - Personal_Mid</v>
      </c>
      <c r="AL428" s="5" t="str">
        <f t="shared" si="73"/>
        <v>Lopez,_8670_NM 1040 - Personal</v>
      </c>
      <c r="AM428" s="5" t="str">
        <f t="shared" si="74"/>
        <v>Lopez,_8670_NM-Tax Services-ANN-1040 - Personal_Mid</v>
      </c>
    </row>
    <row r="429" spans="1:39" x14ac:dyDescent="0.25">
      <c r="A429" s="2" t="s">
        <v>271</v>
      </c>
      <c r="B429" s="2" t="s">
        <v>272</v>
      </c>
      <c r="C429" s="2" t="s">
        <v>1196</v>
      </c>
      <c r="D429" s="8">
        <v>43831</v>
      </c>
      <c r="E429" s="5" t="str">
        <f t="shared" si="75"/>
        <v>M Todryk LLC_01-01-20</v>
      </c>
      <c r="F429" s="2" t="s">
        <v>1204</v>
      </c>
      <c r="G429" s="2" t="s">
        <v>1241</v>
      </c>
      <c r="H429" s="2" t="s">
        <v>1220</v>
      </c>
      <c r="I429" s="2" t="s">
        <v>1223</v>
      </c>
      <c r="J429" s="2" t="s">
        <v>1234</v>
      </c>
      <c r="M429" s="5" t="str">
        <f t="shared" si="66"/>
        <v>Basic</v>
      </c>
      <c r="N429" s="5" t="str">
        <f t="shared" si="67"/>
        <v>Tax-Staff-Basic</v>
      </c>
      <c r="O429" s="5" t="str">
        <f t="shared" si="68"/>
        <v>Tax-Reviewer-Basic</v>
      </c>
      <c r="P429" s="5" t="str">
        <f t="shared" si="69"/>
        <v>Tax-Signer-Basic</v>
      </c>
      <c r="Q429" s="6">
        <v>1.4675000000000016</v>
      </c>
      <c r="R429" s="6">
        <v>0.29350000000000032</v>
      </c>
      <c r="S429" s="6">
        <v>0.14675000000000016</v>
      </c>
      <c r="T429" s="7">
        <f t="shared" si="76"/>
        <v>1.9077500000000021</v>
      </c>
      <c r="U429" s="6" t="e">
        <f>SUMIFS([1]Sheet1!$L:$L,[1]Sheet1!$I:$I,AJ429,[1]Sheet1!$C:$C,A429)</f>
        <v>#VALUE!</v>
      </c>
      <c r="V429" s="6"/>
      <c r="W429" s="6"/>
      <c r="X429" s="7" t="e">
        <f t="shared" si="70"/>
        <v>#VALUE!</v>
      </c>
      <c r="Y429" s="6"/>
      <c r="AJ429" s="5" t="str">
        <f t="shared" si="71"/>
        <v>NM 1120S - S Corporation</v>
      </c>
      <c r="AK429" s="5" t="str">
        <f t="shared" si="72"/>
        <v>NM-Tax Services-ANN-1120S - S Corporation_Basic</v>
      </c>
      <c r="AL429" s="5" t="str">
        <f t="shared" si="73"/>
        <v>M Todryk_1120S_81-0818267_NM 1120S - S Corporation</v>
      </c>
      <c r="AM429" s="5" t="str">
        <f t="shared" si="74"/>
        <v>M Todryk_1120S_81-0818267_NM-Tax Services-ANN-1120S - S Corporation_Basic</v>
      </c>
    </row>
    <row r="430" spans="1:39" x14ac:dyDescent="0.25">
      <c r="A430" s="2" t="s">
        <v>113</v>
      </c>
      <c r="B430" s="2" t="s">
        <v>114</v>
      </c>
      <c r="C430" s="2" t="s">
        <v>1197</v>
      </c>
      <c r="D430" s="8">
        <v>43831</v>
      </c>
      <c r="E430" s="5" t="str">
        <f t="shared" si="75"/>
        <v>M.G. Properties, LLC_01-01-20</v>
      </c>
      <c r="F430" s="2" t="s">
        <v>1201</v>
      </c>
      <c r="G430" s="2" t="s">
        <v>1201</v>
      </c>
      <c r="H430" s="2" t="s">
        <v>1197</v>
      </c>
      <c r="I430" s="2" t="s">
        <v>1223</v>
      </c>
      <c r="J430" s="2" t="s">
        <v>1235</v>
      </c>
      <c r="M430" s="5" t="str">
        <f t="shared" si="66"/>
        <v>Basic</v>
      </c>
      <c r="N430" s="5" t="str">
        <f t="shared" si="67"/>
        <v>Accountant-Staff-Basic</v>
      </c>
      <c r="O430" s="5" t="str">
        <f t="shared" si="68"/>
        <v>Accountant-Reviewer-Basic</v>
      </c>
      <c r="P430" s="5" t="str">
        <f t="shared" si="69"/>
        <v>Accountant-Signer-Basic</v>
      </c>
      <c r="Q430" s="6">
        <v>1.47</v>
      </c>
      <c r="R430" s="6">
        <v>0.29399999999999998</v>
      </c>
      <c r="S430" s="6">
        <v>0.14699999999999999</v>
      </c>
      <c r="T430" s="7">
        <f t="shared" si="76"/>
        <v>1.911</v>
      </c>
      <c r="U430" s="6" t="e">
        <f>SUMIFS([1]Sheet1!$L:$L,[1]Sheet1!$I:$I,AJ430,[1]Sheet1!$C:$C,A430)</f>
        <v>#VALUE!</v>
      </c>
      <c r="V430" s="6"/>
      <c r="W430" s="6"/>
      <c r="X430" s="7" t="e">
        <f t="shared" si="70"/>
        <v>#VALUE!</v>
      </c>
      <c r="Y430" s="6"/>
      <c r="AJ430" s="5" t="str">
        <f t="shared" si="71"/>
        <v>MO Accounting Services</v>
      </c>
      <c r="AK430" s="5" t="str">
        <f t="shared" si="72"/>
        <v>MO-Accounting Services-MO-Accounting Services_Basic</v>
      </c>
      <c r="AL430" s="5" t="str">
        <f t="shared" si="73"/>
        <v>M.G. Pro_1120S_46-3759326_MO Accounting Services</v>
      </c>
      <c r="AM430" s="5" t="str">
        <f t="shared" si="74"/>
        <v>M.G. Pro_1120S_46-3759326_MO-Accounting Services-MO-Accounting Services_Basic</v>
      </c>
    </row>
    <row r="431" spans="1:39" x14ac:dyDescent="0.25">
      <c r="A431" s="2" t="s">
        <v>113</v>
      </c>
      <c r="B431" s="2" t="s">
        <v>114</v>
      </c>
      <c r="C431" s="2" t="s">
        <v>1196</v>
      </c>
      <c r="D431" s="8">
        <v>43831</v>
      </c>
      <c r="E431" s="5" t="str">
        <f t="shared" si="75"/>
        <v>M.G. Properties, LLC_01-01-20</v>
      </c>
      <c r="F431" s="2" t="s">
        <v>1204</v>
      </c>
      <c r="G431" s="2" t="s">
        <v>1241</v>
      </c>
      <c r="H431" s="2" t="s">
        <v>1220</v>
      </c>
      <c r="I431" s="2" t="s">
        <v>1221</v>
      </c>
      <c r="J431" s="2" t="s">
        <v>1234</v>
      </c>
      <c r="M431" s="5" t="str">
        <f t="shared" si="66"/>
        <v>Mid</v>
      </c>
      <c r="N431" s="5" t="str">
        <f t="shared" si="67"/>
        <v>Tax-Staff-Mid</v>
      </c>
      <c r="O431" s="5" t="str">
        <f t="shared" si="68"/>
        <v>Tax-Reviewer-Mid</v>
      </c>
      <c r="P431" s="5" t="str">
        <f t="shared" si="69"/>
        <v>Tax-Signer-Mid</v>
      </c>
      <c r="Q431" s="6">
        <v>2.7401969696969677</v>
      </c>
      <c r="R431" s="6">
        <v>0.5480393939393936</v>
      </c>
      <c r="S431" s="6">
        <v>0.2740196969696968</v>
      </c>
      <c r="T431" s="7">
        <f t="shared" si="76"/>
        <v>3.562256060606058</v>
      </c>
      <c r="U431" s="6" t="e">
        <f>SUMIFS([1]Sheet1!$L:$L,[1]Sheet1!$I:$I,AJ431,[1]Sheet1!$C:$C,A431)</f>
        <v>#VALUE!</v>
      </c>
      <c r="V431" s="6"/>
      <c r="W431" s="6"/>
      <c r="X431" s="7" t="e">
        <f t="shared" si="70"/>
        <v>#VALUE!</v>
      </c>
      <c r="Y431" s="6"/>
      <c r="AJ431" s="5" t="str">
        <f t="shared" si="71"/>
        <v>NM 1120S - S Corporation</v>
      </c>
      <c r="AK431" s="5" t="str">
        <f t="shared" si="72"/>
        <v>NM-Tax Services-ANN-1120S - S Corporation_Mid</v>
      </c>
      <c r="AL431" s="5" t="str">
        <f t="shared" si="73"/>
        <v>M.G. Pro_1120S_46-3759326_NM 1120S - S Corporation</v>
      </c>
      <c r="AM431" s="5" t="str">
        <f t="shared" si="74"/>
        <v>M.G. Pro_1120S_46-3759326_NM-Tax Services-ANN-1120S - S Corporation_Mid</v>
      </c>
    </row>
    <row r="432" spans="1:39" x14ac:dyDescent="0.25">
      <c r="A432" s="2" t="s">
        <v>680</v>
      </c>
      <c r="B432" s="2" t="s">
        <v>681</v>
      </c>
      <c r="C432" s="2" t="s">
        <v>1196</v>
      </c>
      <c r="D432" s="8">
        <v>43831</v>
      </c>
      <c r="E432" s="5" t="str">
        <f t="shared" si="75"/>
        <v>Machann, Charles_01-01-20</v>
      </c>
      <c r="F432" s="2" t="s">
        <v>1203</v>
      </c>
      <c r="G432" s="2" t="s">
        <v>1241</v>
      </c>
      <c r="H432" s="2" t="s">
        <v>1220</v>
      </c>
      <c r="I432" s="2" t="s">
        <v>1223</v>
      </c>
      <c r="J432" s="2" t="s">
        <v>1234</v>
      </c>
      <c r="M432" s="5" t="str">
        <f t="shared" si="66"/>
        <v>Basic</v>
      </c>
      <c r="N432" s="5" t="str">
        <f t="shared" si="67"/>
        <v>Tax-Staff-Basic</v>
      </c>
      <c r="O432" s="5" t="str">
        <f t="shared" si="68"/>
        <v>Tax-Reviewer-Basic</v>
      </c>
      <c r="P432" s="5" t="str">
        <f t="shared" si="69"/>
        <v>Tax-Signer-Basic</v>
      </c>
      <c r="Q432" s="6">
        <v>1.4675000000000016</v>
      </c>
      <c r="R432" s="6">
        <v>0.29350000000000032</v>
      </c>
      <c r="S432" s="6">
        <v>0.14675000000000016</v>
      </c>
      <c r="T432" s="7">
        <f t="shared" si="76"/>
        <v>1.9077500000000021</v>
      </c>
      <c r="U432" s="6" t="e">
        <f>SUMIFS([1]Sheet1!$L:$L,[1]Sheet1!$I:$I,AJ432,[1]Sheet1!$C:$C,A432)</f>
        <v>#VALUE!</v>
      </c>
      <c r="V432" s="6"/>
      <c r="W432" s="6"/>
      <c r="X432" s="7" t="e">
        <f t="shared" si="70"/>
        <v>#VALUE!</v>
      </c>
      <c r="Y432" s="6"/>
      <c r="AJ432" s="5" t="str">
        <f t="shared" si="71"/>
        <v>NM 1040 - Personal</v>
      </c>
      <c r="AK432" s="5" t="str">
        <f t="shared" si="72"/>
        <v>NM-Tax Services-ANN-1040 - Personal_Basic</v>
      </c>
      <c r="AL432" s="5" t="str">
        <f t="shared" si="73"/>
        <v>Machan_1258_NM 1040 - Personal</v>
      </c>
      <c r="AM432" s="5" t="str">
        <f t="shared" si="74"/>
        <v>Machan_1258_NM-Tax Services-ANN-1040 - Personal_Basic</v>
      </c>
    </row>
    <row r="433" spans="1:39" x14ac:dyDescent="0.25">
      <c r="A433" s="2" t="s">
        <v>828</v>
      </c>
      <c r="B433" s="2" t="s">
        <v>829</v>
      </c>
      <c r="C433" s="2" t="s">
        <v>1196</v>
      </c>
      <c r="D433" s="8">
        <v>43831</v>
      </c>
      <c r="E433" s="5" t="str">
        <f t="shared" si="75"/>
        <v>Madan, Teresa_01-01-20</v>
      </c>
      <c r="F433" s="2" t="s">
        <v>1203</v>
      </c>
      <c r="G433" s="2" t="s">
        <v>1241</v>
      </c>
      <c r="H433" s="2" t="s">
        <v>1220</v>
      </c>
      <c r="I433" s="2" t="s">
        <v>1223</v>
      </c>
      <c r="J433" s="2" t="s">
        <v>1234</v>
      </c>
      <c r="M433" s="5" t="str">
        <f t="shared" si="66"/>
        <v>Basic</v>
      </c>
      <c r="N433" s="5" t="str">
        <f t="shared" si="67"/>
        <v>Tax-Staff-Basic</v>
      </c>
      <c r="O433" s="5" t="str">
        <f t="shared" si="68"/>
        <v>Tax-Reviewer-Basic</v>
      </c>
      <c r="P433" s="5" t="str">
        <f t="shared" si="69"/>
        <v>Tax-Signer-Basic</v>
      </c>
      <c r="Q433" s="6">
        <v>1.4675000000000016</v>
      </c>
      <c r="R433" s="6">
        <v>0.29350000000000032</v>
      </c>
      <c r="S433" s="6">
        <v>0.14675000000000016</v>
      </c>
      <c r="T433" s="7">
        <f t="shared" si="76"/>
        <v>1.9077500000000021</v>
      </c>
      <c r="U433" s="6" t="e">
        <f>SUMIFS([1]Sheet1!$L:$L,[1]Sheet1!$I:$I,AJ433,[1]Sheet1!$C:$C,A433)</f>
        <v>#VALUE!</v>
      </c>
      <c r="V433" s="6"/>
      <c r="W433" s="6"/>
      <c r="X433" s="7" t="e">
        <f t="shared" si="70"/>
        <v>#VALUE!</v>
      </c>
      <c r="Y433" s="6"/>
      <c r="AJ433" s="5" t="str">
        <f t="shared" si="71"/>
        <v>NM 1040 - Personal</v>
      </c>
      <c r="AK433" s="5" t="str">
        <f t="shared" si="72"/>
        <v>NM-Tax Services-ANN-1040 - Personal_Basic</v>
      </c>
      <c r="AL433" s="5" t="str">
        <f t="shared" si="73"/>
        <v>Madan,_1439_NM 1040 - Personal</v>
      </c>
      <c r="AM433" s="5" t="str">
        <f t="shared" si="74"/>
        <v>Madan,_1439_NM-Tax Services-ANN-1040 - Personal_Basic</v>
      </c>
    </row>
    <row r="434" spans="1:39" x14ac:dyDescent="0.25">
      <c r="A434" s="2" t="s">
        <v>682</v>
      </c>
      <c r="B434" s="2" t="s">
        <v>683</v>
      </c>
      <c r="C434" s="2" t="s">
        <v>1196</v>
      </c>
      <c r="D434" s="8">
        <v>43831</v>
      </c>
      <c r="E434" s="5" t="str">
        <f t="shared" si="75"/>
        <v>Maddox, Katherine G._01-01-20</v>
      </c>
      <c r="F434" s="2" t="s">
        <v>1203</v>
      </c>
      <c r="G434" s="2" t="s">
        <v>1241</v>
      </c>
      <c r="H434" s="2" t="s">
        <v>1220</v>
      </c>
      <c r="I434" s="2" t="s">
        <v>1221</v>
      </c>
      <c r="J434" s="2" t="s">
        <v>1234</v>
      </c>
      <c r="M434" s="5" t="str">
        <f t="shared" si="66"/>
        <v>Mid</v>
      </c>
      <c r="N434" s="5" t="str">
        <f t="shared" si="67"/>
        <v>Tax-Staff-Mid</v>
      </c>
      <c r="O434" s="5" t="str">
        <f t="shared" si="68"/>
        <v>Tax-Reviewer-Mid</v>
      </c>
      <c r="P434" s="5" t="str">
        <f t="shared" si="69"/>
        <v>Tax-Signer-Mid</v>
      </c>
      <c r="Q434" s="6">
        <v>2.7401969696969677</v>
      </c>
      <c r="R434" s="6">
        <v>0.5480393939393936</v>
      </c>
      <c r="S434" s="6">
        <v>0.2740196969696968</v>
      </c>
      <c r="T434" s="7">
        <f t="shared" si="76"/>
        <v>3.562256060606058</v>
      </c>
      <c r="U434" s="6" t="e">
        <f>SUMIFS([1]Sheet1!$L:$L,[1]Sheet1!$I:$I,AJ434,[1]Sheet1!$C:$C,A434)</f>
        <v>#VALUE!</v>
      </c>
      <c r="V434" s="6"/>
      <c r="W434" s="6"/>
      <c r="X434" s="7" t="e">
        <f t="shared" si="70"/>
        <v>#VALUE!</v>
      </c>
      <c r="Y434" s="6"/>
      <c r="AJ434" s="5" t="str">
        <f t="shared" si="71"/>
        <v>NM 1040 - Personal</v>
      </c>
      <c r="AK434" s="5" t="str">
        <f t="shared" si="72"/>
        <v>NM-Tax Services-ANN-1040 - Personal_Mid</v>
      </c>
      <c r="AL434" s="5" t="str">
        <f t="shared" si="73"/>
        <v>Maddox_7532_NM 1040 - Personal</v>
      </c>
      <c r="AM434" s="5" t="str">
        <f t="shared" si="74"/>
        <v>Maddox_7532_NM-Tax Services-ANN-1040 - Personal_Mid</v>
      </c>
    </row>
    <row r="435" spans="1:39" x14ac:dyDescent="0.25">
      <c r="A435" s="2" t="s">
        <v>830</v>
      </c>
      <c r="B435" s="2" t="s">
        <v>831</v>
      </c>
      <c r="C435" s="2" t="s">
        <v>1197</v>
      </c>
      <c r="D435" s="8">
        <v>43831</v>
      </c>
      <c r="E435" s="5" t="str">
        <f t="shared" si="75"/>
        <v>Mahon, Kirk_01-01-20</v>
      </c>
      <c r="F435" s="2" t="s">
        <v>1203</v>
      </c>
      <c r="G435" s="2" t="s">
        <v>1241</v>
      </c>
      <c r="H435" s="2" t="s">
        <v>1220</v>
      </c>
      <c r="I435" s="2" t="s">
        <v>1222</v>
      </c>
      <c r="J435" s="2" t="s">
        <v>1234</v>
      </c>
      <c r="M435" s="5" t="str">
        <f t="shared" si="66"/>
        <v>Adv</v>
      </c>
      <c r="N435" s="5" t="str">
        <f t="shared" si="67"/>
        <v>Tax-Staff-Adv</v>
      </c>
      <c r="O435" s="5" t="str">
        <f t="shared" si="68"/>
        <v>Tax-Reviewer-Adv</v>
      </c>
      <c r="P435" s="5" t="str">
        <f t="shared" si="69"/>
        <v>Tax-Signer-Adv</v>
      </c>
      <c r="Q435" s="6">
        <v>4.5832500000000005</v>
      </c>
      <c r="R435" s="6">
        <v>0.91665000000000019</v>
      </c>
      <c r="S435" s="6">
        <v>0.45832500000000009</v>
      </c>
      <c r="T435" s="7">
        <f t="shared" si="76"/>
        <v>5.9582250000000005</v>
      </c>
      <c r="U435" s="6" t="e">
        <f>SUMIFS([1]Sheet1!$L:$L,[1]Sheet1!$I:$I,AJ435,[1]Sheet1!$C:$C,A435)</f>
        <v>#VALUE!</v>
      </c>
      <c r="V435" s="6"/>
      <c r="W435" s="6"/>
      <c r="X435" s="7" t="e">
        <f t="shared" si="70"/>
        <v>#VALUE!</v>
      </c>
      <c r="Y435" s="6"/>
      <c r="AJ435" s="5" t="str">
        <f t="shared" si="71"/>
        <v>MO 1040 - Personal</v>
      </c>
      <c r="AK435" s="5" t="str">
        <f t="shared" si="72"/>
        <v>MO-Tax Services-ANN-1040 - Personal_Adv</v>
      </c>
      <c r="AL435" s="5" t="str">
        <f t="shared" si="73"/>
        <v>Mahon,_5652_MO 1040 - Personal</v>
      </c>
      <c r="AM435" s="5" t="str">
        <f t="shared" si="74"/>
        <v>Mahon,_5652_MO-Tax Services-ANN-1040 - Personal_Adv</v>
      </c>
    </row>
    <row r="436" spans="1:39" x14ac:dyDescent="0.25">
      <c r="A436" s="2" t="s">
        <v>203</v>
      </c>
      <c r="B436" s="2" t="s">
        <v>204</v>
      </c>
      <c r="C436" s="2" t="s">
        <v>1196</v>
      </c>
      <c r="D436" s="8">
        <v>43831</v>
      </c>
      <c r="E436" s="5" t="str">
        <f t="shared" si="75"/>
        <v>MAI LY PHAN GP, LLC_01-01-20</v>
      </c>
      <c r="F436" s="2" t="s">
        <v>1206</v>
      </c>
      <c r="G436" s="2" t="s">
        <v>1241</v>
      </c>
      <c r="H436" s="2" t="s">
        <v>1220</v>
      </c>
      <c r="I436" s="2" t="s">
        <v>1223</v>
      </c>
      <c r="J436" s="2" t="s">
        <v>1234</v>
      </c>
      <c r="M436" s="5" t="str">
        <f t="shared" si="66"/>
        <v>Basic</v>
      </c>
      <c r="N436" s="5" t="str">
        <f t="shared" si="67"/>
        <v>Tax-Staff-Basic</v>
      </c>
      <c r="O436" s="5" t="str">
        <f t="shared" si="68"/>
        <v>Tax-Reviewer-Basic</v>
      </c>
      <c r="P436" s="5" t="str">
        <f t="shared" si="69"/>
        <v>Tax-Signer-Basic</v>
      </c>
      <c r="Q436" s="6">
        <v>1.4675000000000016</v>
      </c>
      <c r="R436" s="6">
        <v>0.29350000000000032</v>
      </c>
      <c r="S436" s="6">
        <v>0.14675000000000016</v>
      </c>
      <c r="T436" s="7">
        <f t="shared" si="76"/>
        <v>1.9077500000000021</v>
      </c>
      <c r="U436" s="6" t="e">
        <f>SUMIFS([1]Sheet1!$L:$L,[1]Sheet1!$I:$I,AJ436,[1]Sheet1!$C:$C,A436)</f>
        <v>#VALUE!</v>
      </c>
      <c r="V436" s="6"/>
      <c r="W436" s="6"/>
      <c r="X436" s="7" t="e">
        <f t="shared" si="70"/>
        <v>#VALUE!</v>
      </c>
      <c r="Y436" s="6"/>
      <c r="AJ436" s="5" t="str">
        <f t="shared" si="71"/>
        <v>NM 1120 - C Corporation</v>
      </c>
      <c r="AK436" s="5" t="str">
        <f t="shared" si="72"/>
        <v>NM-Tax Services-ANN-1120 - C Corporation_Basic</v>
      </c>
      <c r="AL436" s="5" t="str">
        <f t="shared" si="73"/>
        <v>MAI LY P_1120C_27-0161378_NM 1120 - C Corporation</v>
      </c>
      <c r="AM436" s="5" t="str">
        <f t="shared" si="74"/>
        <v>MAI LY P_1120C_27-0161378_NM-Tax Services-ANN-1120 - C Corporation_Basic</v>
      </c>
    </row>
    <row r="437" spans="1:39" x14ac:dyDescent="0.25">
      <c r="A437" s="2" t="s">
        <v>938</v>
      </c>
      <c r="B437" s="2" t="s">
        <v>939</v>
      </c>
      <c r="C437" s="2" t="s">
        <v>1196</v>
      </c>
      <c r="D437" s="8">
        <v>43831</v>
      </c>
      <c r="E437" s="5" t="str">
        <f t="shared" si="75"/>
        <v>Maloney, Colton_01-01-20</v>
      </c>
      <c r="F437" s="2" t="s">
        <v>1203</v>
      </c>
      <c r="G437" s="2" t="s">
        <v>1241</v>
      </c>
      <c r="H437" s="2" t="s">
        <v>1220</v>
      </c>
      <c r="I437" s="2" t="s">
        <v>1223</v>
      </c>
      <c r="J437" s="2" t="s">
        <v>1234</v>
      </c>
      <c r="M437" s="5" t="str">
        <f t="shared" si="66"/>
        <v>Basic</v>
      </c>
      <c r="N437" s="5" t="str">
        <f t="shared" si="67"/>
        <v>Tax-Staff-Basic</v>
      </c>
      <c r="O437" s="5" t="str">
        <f t="shared" si="68"/>
        <v>Tax-Reviewer-Basic</v>
      </c>
      <c r="P437" s="5" t="str">
        <f t="shared" si="69"/>
        <v>Tax-Signer-Basic</v>
      </c>
      <c r="Q437" s="6">
        <v>1.4675000000000016</v>
      </c>
      <c r="R437" s="6">
        <v>0.29350000000000032</v>
      </c>
      <c r="S437" s="6">
        <v>0.14675000000000016</v>
      </c>
      <c r="T437" s="7">
        <f t="shared" si="76"/>
        <v>1.9077500000000021</v>
      </c>
      <c r="U437" s="6" t="e">
        <f>SUMIFS([1]Sheet1!$L:$L,[1]Sheet1!$I:$I,AJ437,[1]Sheet1!$C:$C,A437)</f>
        <v>#VALUE!</v>
      </c>
      <c r="V437" s="6"/>
      <c r="W437" s="6"/>
      <c r="X437" s="7" t="e">
        <f t="shared" si="70"/>
        <v>#VALUE!</v>
      </c>
      <c r="Y437" s="6"/>
      <c r="AJ437" s="5" t="str">
        <f t="shared" si="71"/>
        <v>NM 1040 - Personal</v>
      </c>
      <c r="AK437" s="5" t="str">
        <f t="shared" si="72"/>
        <v>NM-Tax Services-ANN-1040 - Personal_Basic</v>
      </c>
      <c r="AL437" s="5" t="str">
        <f t="shared" si="73"/>
        <v>Malone_2867_NM 1040 - Personal</v>
      </c>
      <c r="AM437" s="5" t="str">
        <f t="shared" si="74"/>
        <v>Malone_2867_NM-Tax Services-ANN-1040 - Personal_Basic</v>
      </c>
    </row>
    <row r="438" spans="1:39" x14ac:dyDescent="0.25">
      <c r="A438" s="2" t="s">
        <v>832</v>
      </c>
      <c r="B438" s="2" t="s">
        <v>833</v>
      </c>
      <c r="C438" s="2" t="s">
        <v>1197</v>
      </c>
      <c r="D438" s="8">
        <v>43831</v>
      </c>
      <c r="E438" s="5" t="str">
        <f t="shared" si="75"/>
        <v>Maloney, Douglas &amp; Kimberly_01-01-20</v>
      </c>
      <c r="F438" s="2" t="s">
        <v>1203</v>
      </c>
      <c r="G438" s="2" t="s">
        <v>1241</v>
      </c>
      <c r="H438" s="2" t="s">
        <v>1220</v>
      </c>
      <c r="I438" s="2" t="s">
        <v>1221</v>
      </c>
      <c r="J438" s="2" t="s">
        <v>1234</v>
      </c>
      <c r="M438" s="5" t="str">
        <f t="shared" si="66"/>
        <v>Mid</v>
      </c>
      <c r="N438" s="5" t="str">
        <f t="shared" si="67"/>
        <v>Tax-Staff-Mid</v>
      </c>
      <c r="O438" s="5" t="str">
        <f t="shared" si="68"/>
        <v>Tax-Reviewer-Mid</v>
      </c>
      <c r="P438" s="5" t="str">
        <f t="shared" si="69"/>
        <v>Tax-Signer-Mid</v>
      </c>
      <c r="Q438" s="6">
        <v>2.7401969696969677</v>
      </c>
      <c r="R438" s="6">
        <v>0.5480393939393936</v>
      </c>
      <c r="S438" s="6">
        <v>0.2740196969696968</v>
      </c>
      <c r="T438" s="7">
        <f t="shared" si="76"/>
        <v>3.562256060606058</v>
      </c>
      <c r="U438" s="6" t="e">
        <f>SUMIFS([1]Sheet1!$L:$L,[1]Sheet1!$I:$I,AJ438,[1]Sheet1!$C:$C,A438)</f>
        <v>#VALUE!</v>
      </c>
      <c r="V438" s="6"/>
      <c r="W438" s="6"/>
      <c r="X438" s="7" t="e">
        <f t="shared" si="70"/>
        <v>#VALUE!</v>
      </c>
      <c r="Y438" s="6"/>
      <c r="AJ438" s="5" t="str">
        <f t="shared" si="71"/>
        <v>MO 1040 - Personal</v>
      </c>
      <c r="AK438" s="5" t="str">
        <f t="shared" si="72"/>
        <v>MO-Tax Services-ANN-1040 - Personal_Mid</v>
      </c>
      <c r="AL438" s="5" t="str">
        <f t="shared" si="73"/>
        <v>Malone_9535_MO 1040 - Personal</v>
      </c>
      <c r="AM438" s="5" t="str">
        <f t="shared" si="74"/>
        <v>Malone_9535_MO-Tax Services-ANN-1040 - Personal_Mid</v>
      </c>
    </row>
    <row r="439" spans="1:39" x14ac:dyDescent="0.25">
      <c r="A439" s="2" t="s">
        <v>684</v>
      </c>
      <c r="B439" s="2" t="s">
        <v>685</v>
      </c>
      <c r="C439" s="2" t="s">
        <v>1196</v>
      </c>
      <c r="D439" s="8">
        <v>43831</v>
      </c>
      <c r="E439" s="5" t="str">
        <f t="shared" si="75"/>
        <v>Manchester, Sherry K._01-01-20</v>
      </c>
      <c r="F439" s="2" t="s">
        <v>1203</v>
      </c>
      <c r="G439" s="2" t="s">
        <v>1241</v>
      </c>
      <c r="H439" s="2" t="s">
        <v>1220</v>
      </c>
      <c r="I439" s="2" t="s">
        <v>1223</v>
      </c>
      <c r="J439" s="2" t="s">
        <v>1234</v>
      </c>
      <c r="M439" s="5" t="str">
        <f t="shared" si="66"/>
        <v>Basic</v>
      </c>
      <c r="N439" s="5" t="str">
        <f t="shared" si="67"/>
        <v>Tax-Staff-Basic</v>
      </c>
      <c r="O439" s="5" t="str">
        <f t="shared" si="68"/>
        <v>Tax-Reviewer-Basic</v>
      </c>
      <c r="P439" s="5" t="str">
        <f t="shared" si="69"/>
        <v>Tax-Signer-Basic</v>
      </c>
      <c r="Q439" s="6">
        <v>1.4675000000000016</v>
      </c>
      <c r="R439" s="6">
        <v>0.29350000000000032</v>
      </c>
      <c r="S439" s="6">
        <v>0.14675000000000016</v>
      </c>
      <c r="T439" s="7">
        <f t="shared" si="76"/>
        <v>1.9077500000000021</v>
      </c>
      <c r="U439" s="6" t="e">
        <f>SUMIFS([1]Sheet1!$L:$L,[1]Sheet1!$I:$I,AJ439,[1]Sheet1!$C:$C,A439)</f>
        <v>#VALUE!</v>
      </c>
      <c r="V439" s="6"/>
      <c r="W439" s="6"/>
      <c r="X439" s="7" t="e">
        <f t="shared" si="70"/>
        <v>#VALUE!</v>
      </c>
      <c r="Y439" s="6"/>
      <c r="AJ439" s="5" t="str">
        <f t="shared" si="71"/>
        <v>NM 1040 - Personal</v>
      </c>
      <c r="AK439" s="5" t="str">
        <f t="shared" si="72"/>
        <v>NM-Tax Services-ANN-1040 - Personal_Basic</v>
      </c>
      <c r="AL439" s="5" t="str">
        <f t="shared" si="73"/>
        <v>Manche_5743_NM 1040 - Personal</v>
      </c>
      <c r="AM439" s="5" t="str">
        <f t="shared" si="74"/>
        <v>Manche_5743_NM-Tax Services-ANN-1040 - Personal_Basic</v>
      </c>
    </row>
    <row r="440" spans="1:39" x14ac:dyDescent="0.25">
      <c r="A440" s="2" t="s">
        <v>834</v>
      </c>
      <c r="B440" s="2" t="s">
        <v>835</v>
      </c>
      <c r="C440" s="2" t="s">
        <v>1197</v>
      </c>
      <c r="D440" s="8">
        <v>43831</v>
      </c>
      <c r="E440" s="5" t="str">
        <f t="shared" si="75"/>
        <v>Mancuso, Barry_01-01-20</v>
      </c>
      <c r="F440" s="2" t="s">
        <v>1203</v>
      </c>
      <c r="G440" s="2" t="s">
        <v>1241</v>
      </c>
      <c r="H440" s="2" t="s">
        <v>1220</v>
      </c>
      <c r="I440" s="2" t="s">
        <v>1221</v>
      </c>
      <c r="J440" s="2" t="s">
        <v>1234</v>
      </c>
      <c r="M440" s="5" t="str">
        <f t="shared" si="66"/>
        <v>Mid</v>
      </c>
      <c r="N440" s="5" t="str">
        <f t="shared" si="67"/>
        <v>Tax-Staff-Mid</v>
      </c>
      <c r="O440" s="5" t="str">
        <f t="shared" si="68"/>
        <v>Tax-Reviewer-Mid</v>
      </c>
      <c r="P440" s="5" t="str">
        <f t="shared" si="69"/>
        <v>Tax-Signer-Mid</v>
      </c>
      <c r="Q440" s="6">
        <v>2.7401969696969677</v>
      </c>
      <c r="R440" s="6">
        <v>0.5480393939393936</v>
      </c>
      <c r="S440" s="6">
        <v>0.2740196969696968</v>
      </c>
      <c r="T440" s="7">
        <f t="shared" si="76"/>
        <v>3.562256060606058</v>
      </c>
      <c r="U440" s="6" t="e">
        <f>SUMIFS([1]Sheet1!$L:$L,[1]Sheet1!$I:$I,AJ440,[1]Sheet1!$C:$C,A440)</f>
        <v>#VALUE!</v>
      </c>
      <c r="V440" s="6"/>
      <c r="W440" s="6"/>
      <c r="X440" s="7" t="e">
        <f t="shared" si="70"/>
        <v>#VALUE!</v>
      </c>
      <c r="Y440" s="6"/>
      <c r="AJ440" s="5" t="str">
        <f t="shared" si="71"/>
        <v>MO 1040 - Personal</v>
      </c>
      <c r="AK440" s="5" t="str">
        <f t="shared" si="72"/>
        <v>MO-Tax Services-ANN-1040 - Personal_Mid</v>
      </c>
      <c r="AL440" s="5" t="str">
        <f t="shared" si="73"/>
        <v>Mancus_1130_MO 1040 - Personal</v>
      </c>
      <c r="AM440" s="5" t="str">
        <f t="shared" si="74"/>
        <v>Mancus_1130_MO-Tax Services-ANN-1040 - Personal_Mid</v>
      </c>
    </row>
    <row r="441" spans="1:39" x14ac:dyDescent="0.25">
      <c r="A441" s="2" t="s">
        <v>686</v>
      </c>
      <c r="B441" s="2" t="s">
        <v>687</v>
      </c>
      <c r="C441" s="2" t="s">
        <v>1196</v>
      </c>
      <c r="D441" s="8">
        <v>43831</v>
      </c>
      <c r="E441" s="5" t="str">
        <f t="shared" si="75"/>
        <v>Manueco, Antonio_01-01-20</v>
      </c>
      <c r="F441" s="2" t="s">
        <v>1203</v>
      </c>
      <c r="G441" s="2" t="s">
        <v>1241</v>
      </c>
      <c r="H441" s="2" t="s">
        <v>1220</v>
      </c>
      <c r="I441" s="2" t="s">
        <v>1223</v>
      </c>
      <c r="J441" s="2" t="s">
        <v>1234</v>
      </c>
      <c r="M441" s="5" t="str">
        <f t="shared" si="66"/>
        <v>Basic</v>
      </c>
      <c r="N441" s="5" t="str">
        <f t="shared" si="67"/>
        <v>Tax-Staff-Basic</v>
      </c>
      <c r="O441" s="5" t="str">
        <f t="shared" si="68"/>
        <v>Tax-Reviewer-Basic</v>
      </c>
      <c r="P441" s="5" t="str">
        <f t="shared" si="69"/>
        <v>Tax-Signer-Basic</v>
      </c>
      <c r="Q441" s="6">
        <v>1.4675000000000016</v>
      </c>
      <c r="R441" s="6">
        <v>0.29350000000000032</v>
      </c>
      <c r="S441" s="6">
        <v>0.14675000000000016</v>
      </c>
      <c r="T441" s="7">
        <f t="shared" si="76"/>
        <v>1.9077500000000021</v>
      </c>
      <c r="U441" s="6" t="e">
        <f>SUMIFS([1]Sheet1!$L:$L,[1]Sheet1!$I:$I,AJ441,[1]Sheet1!$C:$C,A441)</f>
        <v>#VALUE!</v>
      </c>
      <c r="V441" s="6"/>
      <c r="W441" s="6"/>
      <c r="X441" s="7" t="e">
        <f t="shared" si="70"/>
        <v>#VALUE!</v>
      </c>
      <c r="Y441" s="6"/>
      <c r="AJ441" s="5" t="str">
        <f t="shared" si="71"/>
        <v>NM 1040 - Personal</v>
      </c>
      <c r="AK441" s="5" t="str">
        <f t="shared" si="72"/>
        <v>NM-Tax Services-ANN-1040 - Personal_Basic</v>
      </c>
      <c r="AL441" s="5" t="str">
        <f t="shared" si="73"/>
        <v>Manuec_8513_NM 1040 - Personal</v>
      </c>
      <c r="AM441" s="5" t="str">
        <f t="shared" si="74"/>
        <v>Manuec_8513_NM-Tax Services-ANN-1040 - Personal_Basic</v>
      </c>
    </row>
    <row r="442" spans="1:39" x14ac:dyDescent="0.25">
      <c r="A442" s="2" t="s">
        <v>836</v>
      </c>
      <c r="B442" s="2" t="s">
        <v>837</v>
      </c>
      <c r="C442" s="2" t="s">
        <v>1197</v>
      </c>
      <c r="D442" s="8">
        <v>43831</v>
      </c>
      <c r="E442" s="5" t="str">
        <f t="shared" si="75"/>
        <v>Manuel, Joshua R. &amp; Jessica L._01-01-20</v>
      </c>
      <c r="F442" s="2" t="s">
        <v>1203</v>
      </c>
      <c r="G442" s="2" t="s">
        <v>1241</v>
      </c>
      <c r="H442" s="2" t="s">
        <v>1220</v>
      </c>
      <c r="I442" s="2" t="s">
        <v>1221</v>
      </c>
      <c r="J442" s="2" t="s">
        <v>1234</v>
      </c>
      <c r="M442" s="5" t="str">
        <f t="shared" si="66"/>
        <v>Mid</v>
      </c>
      <c r="N442" s="5" t="str">
        <f t="shared" si="67"/>
        <v>Tax-Staff-Mid</v>
      </c>
      <c r="O442" s="5" t="str">
        <f t="shared" si="68"/>
        <v>Tax-Reviewer-Mid</v>
      </c>
      <c r="P442" s="5" t="str">
        <f t="shared" si="69"/>
        <v>Tax-Signer-Mid</v>
      </c>
      <c r="Q442" s="6">
        <v>2.7401969696969677</v>
      </c>
      <c r="R442" s="6">
        <v>0.5480393939393936</v>
      </c>
      <c r="S442" s="6">
        <v>0.2740196969696968</v>
      </c>
      <c r="T442" s="7">
        <f t="shared" si="76"/>
        <v>3.562256060606058</v>
      </c>
      <c r="U442" s="6" t="e">
        <f>SUMIFS([1]Sheet1!$L:$L,[1]Sheet1!$I:$I,AJ442,[1]Sheet1!$C:$C,A442)</f>
        <v>#VALUE!</v>
      </c>
      <c r="V442" s="6"/>
      <c r="W442" s="6"/>
      <c r="X442" s="7" t="e">
        <f t="shared" si="70"/>
        <v>#VALUE!</v>
      </c>
      <c r="Y442" s="6"/>
      <c r="AJ442" s="5" t="str">
        <f t="shared" si="71"/>
        <v>MO 1040 - Personal</v>
      </c>
      <c r="AK442" s="5" t="str">
        <f t="shared" si="72"/>
        <v>MO-Tax Services-ANN-1040 - Personal_Mid</v>
      </c>
      <c r="AL442" s="5" t="str">
        <f t="shared" si="73"/>
        <v>Manuel_8347_MO 1040 - Personal</v>
      </c>
      <c r="AM442" s="5" t="str">
        <f t="shared" si="74"/>
        <v>Manuel_8347_MO-Tax Services-ANN-1040 - Personal_Mid</v>
      </c>
    </row>
    <row r="443" spans="1:39" x14ac:dyDescent="0.25">
      <c r="A443" s="2" t="s">
        <v>688</v>
      </c>
      <c r="B443" s="2" t="s">
        <v>689</v>
      </c>
      <c r="C443" s="2" t="s">
        <v>1196</v>
      </c>
      <c r="D443" s="8">
        <v>43831</v>
      </c>
      <c r="E443" s="5" t="str">
        <f t="shared" si="75"/>
        <v>Marcopolos, Alexander N. &amp; Sarah_01-01-20</v>
      </c>
      <c r="F443" s="2" t="s">
        <v>1203</v>
      </c>
      <c r="G443" s="2" t="s">
        <v>1241</v>
      </c>
      <c r="H443" s="2" t="s">
        <v>1220</v>
      </c>
      <c r="I443" s="2" t="s">
        <v>1221</v>
      </c>
      <c r="J443" s="2" t="s">
        <v>1234</v>
      </c>
      <c r="M443" s="5" t="str">
        <f t="shared" si="66"/>
        <v>Mid</v>
      </c>
      <c r="N443" s="5" t="str">
        <f t="shared" si="67"/>
        <v>Tax-Staff-Mid</v>
      </c>
      <c r="O443" s="5" t="str">
        <f t="shared" si="68"/>
        <v>Tax-Reviewer-Mid</v>
      </c>
      <c r="P443" s="5" t="str">
        <f t="shared" si="69"/>
        <v>Tax-Signer-Mid</v>
      </c>
      <c r="Q443" s="6">
        <v>2.7401969696969677</v>
      </c>
      <c r="R443" s="6">
        <v>0.5480393939393936</v>
      </c>
      <c r="S443" s="6">
        <v>0.2740196969696968</v>
      </c>
      <c r="T443" s="7">
        <f t="shared" si="76"/>
        <v>3.562256060606058</v>
      </c>
      <c r="U443" s="6" t="e">
        <f>SUMIFS([1]Sheet1!$L:$L,[1]Sheet1!$I:$I,AJ443,[1]Sheet1!$C:$C,A443)</f>
        <v>#VALUE!</v>
      </c>
      <c r="V443" s="6"/>
      <c r="W443" s="6"/>
      <c r="X443" s="7" t="e">
        <f t="shared" si="70"/>
        <v>#VALUE!</v>
      </c>
      <c r="Y443" s="6"/>
      <c r="AJ443" s="5" t="str">
        <f t="shared" si="71"/>
        <v>NM 1040 - Personal</v>
      </c>
      <c r="AK443" s="5" t="str">
        <f t="shared" si="72"/>
        <v>NM-Tax Services-ANN-1040 - Personal_Mid</v>
      </c>
      <c r="AL443" s="5" t="str">
        <f t="shared" si="73"/>
        <v>Marcop_4857_NM 1040 - Personal</v>
      </c>
      <c r="AM443" s="5" t="str">
        <f t="shared" si="74"/>
        <v>Marcop_4857_NM-Tax Services-ANN-1040 - Personal_Mid</v>
      </c>
    </row>
    <row r="444" spans="1:39" x14ac:dyDescent="0.25">
      <c r="A444" s="2" t="s">
        <v>273</v>
      </c>
      <c r="B444" s="2" t="s">
        <v>274</v>
      </c>
      <c r="C444" s="2" t="s">
        <v>1196</v>
      </c>
      <c r="D444" s="8">
        <v>43831</v>
      </c>
      <c r="E444" s="5" t="str">
        <f t="shared" si="75"/>
        <v>Marcopolos Enterprises, LLC_01-01-20</v>
      </c>
      <c r="F444" s="2" t="s">
        <v>1204</v>
      </c>
      <c r="G444" s="2" t="s">
        <v>1241</v>
      </c>
      <c r="H444" s="2" t="s">
        <v>1220</v>
      </c>
      <c r="I444" s="2" t="s">
        <v>1223</v>
      </c>
      <c r="J444" s="2" t="s">
        <v>1234</v>
      </c>
      <c r="M444" s="5" t="str">
        <f t="shared" si="66"/>
        <v>Basic</v>
      </c>
      <c r="N444" s="5" t="str">
        <f t="shared" si="67"/>
        <v>Tax-Staff-Basic</v>
      </c>
      <c r="O444" s="5" t="str">
        <f t="shared" si="68"/>
        <v>Tax-Reviewer-Basic</v>
      </c>
      <c r="P444" s="5" t="str">
        <f t="shared" si="69"/>
        <v>Tax-Signer-Basic</v>
      </c>
      <c r="Q444" s="6">
        <v>1.4675000000000016</v>
      </c>
      <c r="R444" s="6">
        <v>0.29350000000000032</v>
      </c>
      <c r="S444" s="6">
        <v>0.14675000000000016</v>
      </c>
      <c r="T444" s="7">
        <f t="shared" si="76"/>
        <v>1.9077500000000021</v>
      </c>
      <c r="U444" s="6" t="e">
        <f>SUMIFS([1]Sheet1!$L:$L,[1]Sheet1!$I:$I,AJ444,[1]Sheet1!$C:$C,A444)</f>
        <v>#VALUE!</v>
      </c>
      <c r="V444" s="6"/>
      <c r="W444" s="6"/>
      <c r="X444" s="7" t="e">
        <f t="shared" si="70"/>
        <v>#VALUE!</v>
      </c>
      <c r="Y444" s="6"/>
      <c r="AJ444" s="5" t="str">
        <f t="shared" si="71"/>
        <v>NM 1120S - S Corporation</v>
      </c>
      <c r="AK444" s="5" t="str">
        <f t="shared" si="72"/>
        <v>NM-Tax Services-ANN-1120S - S Corporation_Basic</v>
      </c>
      <c r="AL444" s="5" t="str">
        <f t="shared" si="73"/>
        <v>Marcopol_1120S_47-3552084_NM 1120S - S Corporation</v>
      </c>
      <c r="AM444" s="5" t="str">
        <f t="shared" si="74"/>
        <v>Marcopol_1120S_47-3552084_NM-Tax Services-ANN-1120S - S Corporation_Basic</v>
      </c>
    </row>
    <row r="445" spans="1:39" x14ac:dyDescent="0.25">
      <c r="A445" s="2" t="s">
        <v>838</v>
      </c>
      <c r="B445" s="2" t="s">
        <v>839</v>
      </c>
      <c r="C445" s="2" t="s">
        <v>1197</v>
      </c>
      <c r="D445" s="8">
        <v>43831</v>
      </c>
      <c r="E445" s="5" t="str">
        <f t="shared" si="75"/>
        <v>Marr, Chad_01-01-20</v>
      </c>
      <c r="F445" s="2" t="s">
        <v>1203</v>
      </c>
      <c r="G445" s="2" t="s">
        <v>1241</v>
      </c>
      <c r="H445" s="2" t="s">
        <v>1220</v>
      </c>
      <c r="I445" s="2" t="s">
        <v>1223</v>
      </c>
      <c r="J445" s="2" t="s">
        <v>1234</v>
      </c>
      <c r="M445" s="5" t="str">
        <f t="shared" si="66"/>
        <v>Basic</v>
      </c>
      <c r="N445" s="5" t="str">
        <f t="shared" si="67"/>
        <v>Tax-Staff-Basic</v>
      </c>
      <c r="O445" s="5" t="str">
        <f t="shared" si="68"/>
        <v>Tax-Reviewer-Basic</v>
      </c>
      <c r="P445" s="5" t="str">
        <f t="shared" si="69"/>
        <v>Tax-Signer-Basic</v>
      </c>
      <c r="Q445" s="6">
        <v>1.4675000000000016</v>
      </c>
      <c r="R445" s="6">
        <v>0.29350000000000032</v>
      </c>
      <c r="S445" s="6">
        <v>0.14675000000000016</v>
      </c>
      <c r="T445" s="7">
        <f t="shared" si="76"/>
        <v>1.9077500000000021</v>
      </c>
      <c r="U445" s="6" t="e">
        <f>SUMIFS([1]Sheet1!$L:$L,[1]Sheet1!$I:$I,AJ445,[1]Sheet1!$C:$C,A445)</f>
        <v>#VALUE!</v>
      </c>
      <c r="V445" s="6"/>
      <c r="W445" s="6"/>
      <c r="X445" s="7" t="e">
        <f t="shared" si="70"/>
        <v>#VALUE!</v>
      </c>
      <c r="Y445" s="6"/>
      <c r="AJ445" s="5" t="str">
        <f t="shared" si="71"/>
        <v>MO 1040 - Personal</v>
      </c>
      <c r="AK445" s="5" t="str">
        <f t="shared" si="72"/>
        <v>MO-Tax Services-ANN-1040 - Personal_Basic</v>
      </c>
      <c r="AL445" s="5" t="str">
        <f t="shared" si="73"/>
        <v>Marr, _3472_MO 1040 - Personal</v>
      </c>
      <c r="AM445" s="5" t="str">
        <f t="shared" si="74"/>
        <v>Marr, _3472_MO-Tax Services-ANN-1040 - Personal_Basic</v>
      </c>
    </row>
    <row r="446" spans="1:39" x14ac:dyDescent="0.25">
      <c r="A446" s="2" t="s">
        <v>690</v>
      </c>
      <c r="B446" s="2" t="s">
        <v>691</v>
      </c>
      <c r="C446" s="2" t="s">
        <v>1196</v>
      </c>
      <c r="D446" s="8">
        <v>43831</v>
      </c>
      <c r="E446" s="5" t="str">
        <f t="shared" si="75"/>
        <v>Martinez, Brent J. &amp; Crystal A._01-01-20</v>
      </c>
      <c r="F446" s="2" t="s">
        <v>1203</v>
      </c>
      <c r="G446" s="2" t="s">
        <v>1241</v>
      </c>
      <c r="H446" s="2" t="s">
        <v>1220</v>
      </c>
      <c r="I446" s="2" t="s">
        <v>1223</v>
      </c>
      <c r="J446" s="2" t="s">
        <v>1234</v>
      </c>
      <c r="M446" s="5" t="str">
        <f t="shared" si="66"/>
        <v>Basic</v>
      </c>
      <c r="N446" s="5" t="str">
        <f t="shared" si="67"/>
        <v>Tax-Staff-Basic</v>
      </c>
      <c r="O446" s="5" t="str">
        <f t="shared" si="68"/>
        <v>Tax-Reviewer-Basic</v>
      </c>
      <c r="P446" s="5" t="str">
        <f t="shared" si="69"/>
        <v>Tax-Signer-Basic</v>
      </c>
      <c r="Q446" s="6">
        <v>1.4675000000000016</v>
      </c>
      <c r="R446" s="6">
        <v>0.29350000000000032</v>
      </c>
      <c r="S446" s="6">
        <v>0.14675000000000016</v>
      </c>
      <c r="T446" s="7">
        <f t="shared" si="76"/>
        <v>1.9077500000000021</v>
      </c>
      <c r="U446" s="6" t="e">
        <f>SUMIFS([1]Sheet1!$L:$L,[1]Sheet1!$I:$I,AJ446,[1]Sheet1!$C:$C,A446)</f>
        <v>#VALUE!</v>
      </c>
      <c r="V446" s="6"/>
      <c r="W446" s="6"/>
      <c r="X446" s="7" t="e">
        <f t="shared" si="70"/>
        <v>#VALUE!</v>
      </c>
      <c r="Y446" s="6"/>
      <c r="AJ446" s="5" t="str">
        <f t="shared" si="71"/>
        <v>NM 1040 - Personal</v>
      </c>
      <c r="AK446" s="5" t="str">
        <f t="shared" si="72"/>
        <v>NM-Tax Services-ANN-1040 - Personal_Basic</v>
      </c>
      <c r="AL446" s="5" t="str">
        <f t="shared" si="73"/>
        <v>Martin_0071_NM 1040 - Personal</v>
      </c>
      <c r="AM446" s="5" t="str">
        <f t="shared" si="74"/>
        <v>Martin_0071_NM-Tax Services-ANN-1040 - Personal_Basic</v>
      </c>
    </row>
    <row r="447" spans="1:39" x14ac:dyDescent="0.25">
      <c r="A447" s="2" t="s">
        <v>692</v>
      </c>
      <c r="B447" s="2" t="s">
        <v>693</v>
      </c>
      <c r="C447" s="2" t="s">
        <v>1196</v>
      </c>
      <c r="D447" s="8">
        <v>43831</v>
      </c>
      <c r="E447" s="5" t="str">
        <f t="shared" si="75"/>
        <v>Martinez, Daniel B_01-01-20</v>
      </c>
      <c r="F447" s="2" t="s">
        <v>1203</v>
      </c>
      <c r="G447" s="2" t="s">
        <v>1241</v>
      </c>
      <c r="H447" s="2" t="s">
        <v>1220</v>
      </c>
      <c r="I447" s="2" t="s">
        <v>1223</v>
      </c>
      <c r="J447" s="2" t="s">
        <v>1234</v>
      </c>
      <c r="M447" s="5" t="str">
        <f t="shared" si="66"/>
        <v>Basic</v>
      </c>
      <c r="N447" s="5" t="str">
        <f t="shared" si="67"/>
        <v>Tax-Staff-Basic</v>
      </c>
      <c r="O447" s="5" t="str">
        <f t="shared" si="68"/>
        <v>Tax-Reviewer-Basic</v>
      </c>
      <c r="P447" s="5" t="str">
        <f t="shared" si="69"/>
        <v>Tax-Signer-Basic</v>
      </c>
      <c r="Q447" s="6">
        <v>1.4675000000000016</v>
      </c>
      <c r="R447" s="6">
        <v>0.29350000000000032</v>
      </c>
      <c r="S447" s="6">
        <v>0.14675000000000016</v>
      </c>
      <c r="T447" s="7">
        <f t="shared" si="76"/>
        <v>1.9077500000000021</v>
      </c>
      <c r="U447" s="6" t="e">
        <f>SUMIFS([1]Sheet1!$L:$L,[1]Sheet1!$I:$I,AJ447,[1]Sheet1!$C:$C,A447)</f>
        <v>#VALUE!</v>
      </c>
      <c r="V447" s="6"/>
      <c r="W447" s="6"/>
      <c r="X447" s="7" t="e">
        <f t="shared" si="70"/>
        <v>#VALUE!</v>
      </c>
      <c r="Y447" s="6"/>
      <c r="AJ447" s="5" t="str">
        <f t="shared" si="71"/>
        <v>NM 1040 - Personal</v>
      </c>
      <c r="AK447" s="5" t="str">
        <f t="shared" si="72"/>
        <v>NM-Tax Services-ANN-1040 - Personal_Basic</v>
      </c>
      <c r="AL447" s="5" t="str">
        <f t="shared" si="73"/>
        <v>Martin_8654_NM 1040 - Personal</v>
      </c>
      <c r="AM447" s="5" t="str">
        <f t="shared" si="74"/>
        <v>Martin_8654_NM-Tax Services-ANN-1040 - Personal_Basic</v>
      </c>
    </row>
    <row r="448" spans="1:39" x14ac:dyDescent="0.25">
      <c r="A448" s="2" t="s">
        <v>173</v>
      </c>
      <c r="B448" s="2" t="s">
        <v>174</v>
      </c>
      <c r="C448" s="2" t="s">
        <v>1196</v>
      </c>
      <c r="D448" s="8">
        <v>43831</v>
      </c>
      <c r="E448" s="5" t="str">
        <f t="shared" si="75"/>
        <v>MBA Pest Management, LLC_01-01-20</v>
      </c>
      <c r="F448" s="2" t="s">
        <v>1200</v>
      </c>
      <c r="G448" s="2" t="s">
        <v>1241</v>
      </c>
      <c r="H448" s="2" t="s">
        <v>1220</v>
      </c>
      <c r="I448" s="2" t="s">
        <v>1223</v>
      </c>
      <c r="J448" s="2" t="s">
        <v>1234</v>
      </c>
      <c r="M448" s="5" t="str">
        <f t="shared" si="66"/>
        <v>Basic</v>
      </c>
      <c r="N448" s="5" t="str">
        <f t="shared" si="67"/>
        <v>Tax-Staff-Basic</v>
      </c>
      <c r="O448" s="5" t="str">
        <f t="shared" si="68"/>
        <v>Tax-Reviewer-Basic</v>
      </c>
      <c r="P448" s="5" t="str">
        <f t="shared" si="69"/>
        <v>Tax-Signer-Basic</v>
      </c>
      <c r="Q448" s="6">
        <v>0.5</v>
      </c>
      <c r="R448" s="6">
        <v>0.1</v>
      </c>
      <c r="S448" s="6">
        <v>0.05</v>
      </c>
      <c r="T448" s="7">
        <f t="shared" si="76"/>
        <v>0.65</v>
      </c>
      <c r="U448" s="6" t="e">
        <f>SUMIFS([1]Sheet1!$L:$L,[1]Sheet1!$I:$I,AJ448,[1]Sheet1!$C:$C,A448)</f>
        <v>#VALUE!</v>
      </c>
      <c r="V448" s="6"/>
      <c r="W448" s="6"/>
      <c r="X448" s="7" t="e">
        <f t="shared" si="70"/>
        <v>#VALUE!</v>
      </c>
      <c r="Y448" s="6"/>
      <c r="AJ448" s="5" t="str">
        <f t="shared" si="71"/>
        <v>NM Texas Franchise Tax Return</v>
      </c>
      <c r="AK448" s="5" t="str">
        <f t="shared" si="72"/>
        <v>NM-Tax Services-ANN-Texas Franchise Tax Return_Basic</v>
      </c>
      <c r="AL448" s="5" t="str">
        <f t="shared" si="73"/>
        <v>MBA Pest_1040_1_NM Texas Franchise Tax Return</v>
      </c>
      <c r="AM448" s="5" t="str">
        <f t="shared" si="74"/>
        <v>MBA Pest_1040_1_NM-Tax Services-ANN-Texas Franchise Tax Return_Basic</v>
      </c>
    </row>
    <row r="449" spans="1:39" x14ac:dyDescent="0.25">
      <c r="A449" s="2" t="s">
        <v>173</v>
      </c>
      <c r="B449" s="2" t="s">
        <v>174</v>
      </c>
      <c r="C449" s="2" t="s">
        <v>1197</v>
      </c>
      <c r="D449" s="8">
        <v>43831</v>
      </c>
      <c r="E449" s="5" t="str">
        <f t="shared" si="75"/>
        <v>MBA Pest Management, LLC_01-01-20</v>
      </c>
      <c r="F449" s="2" t="s">
        <v>1201</v>
      </c>
      <c r="G449" s="2" t="s">
        <v>1201</v>
      </c>
      <c r="H449" s="2" t="s">
        <v>1197</v>
      </c>
      <c r="I449" s="2" t="s">
        <v>1223</v>
      </c>
      <c r="J449" s="2" t="s">
        <v>1235</v>
      </c>
      <c r="M449" s="5" t="str">
        <f t="shared" si="66"/>
        <v>Basic</v>
      </c>
      <c r="N449" s="5" t="str">
        <f t="shared" si="67"/>
        <v>Accountant-Staff-Basic</v>
      </c>
      <c r="O449" s="5" t="str">
        <f t="shared" si="68"/>
        <v>Accountant-Reviewer-Basic</v>
      </c>
      <c r="P449" s="5" t="str">
        <f t="shared" si="69"/>
        <v>Accountant-Signer-Basic</v>
      </c>
      <c r="Q449" s="6">
        <v>1.47</v>
      </c>
      <c r="R449" s="6">
        <v>0.29399999999999998</v>
      </c>
      <c r="S449" s="6">
        <v>0.14699999999999999</v>
      </c>
      <c r="T449" s="7">
        <f t="shared" si="76"/>
        <v>1.911</v>
      </c>
      <c r="U449" s="6" t="e">
        <f>SUMIFS([1]Sheet1!$L:$L,[1]Sheet1!$I:$I,AJ449,[1]Sheet1!$C:$C,A449)</f>
        <v>#VALUE!</v>
      </c>
      <c r="V449" s="6"/>
      <c r="W449" s="6"/>
      <c r="X449" s="7" t="e">
        <f t="shared" si="70"/>
        <v>#VALUE!</v>
      </c>
      <c r="Y449" s="6"/>
      <c r="AJ449" s="5" t="str">
        <f t="shared" si="71"/>
        <v>MO Accounting Services</v>
      </c>
      <c r="AK449" s="5" t="str">
        <f t="shared" si="72"/>
        <v>MO-Accounting Services-MO-Accounting Services_Basic</v>
      </c>
      <c r="AL449" s="5" t="str">
        <f t="shared" si="73"/>
        <v>MBA Pest_1040_1_MO Accounting Services</v>
      </c>
      <c r="AM449" s="5" t="str">
        <f t="shared" si="74"/>
        <v>MBA Pest_1040_1_MO-Accounting Services-MO-Accounting Services_Basic</v>
      </c>
    </row>
    <row r="450" spans="1:39" x14ac:dyDescent="0.25">
      <c r="A450" s="2" t="s">
        <v>173</v>
      </c>
      <c r="B450" s="2" t="s">
        <v>115</v>
      </c>
      <c r="C450" s="2" t="s">
        <v>1197</v>
      </c>
      <c r="D450" s="8">
        <v>43831</v>
      </c>
      <c r="E450" s="5" t="str">
        <f t="shared" si="75"/>
        <v>MBA Pest Control_01-01-20</v>
      </c>
      <c r="F450" s="2" t="s">
        <v>1200</v>
      </c>
      <c r="G450" s="2" t="s">
        <v>1241</v>
      </c>
      <c r="H450" s="2" t="s">
        <v>1220</v>
      </c>
      <c r="I450" s="2" t="s">
        <v>1223</v>
      </c>
      <c r="J450" s="2" t="s">
        <v>1234</v>
      </c>
      <c r="M450" s="5" t="str">
        <f t="shared" ref="M450:M513" si="77">I450</f>
        <v>Basic</v>
      </c>
      <c r="N450" s="5" t="str">
        <f t="shared" ref="N450:N513" si="78">$J450&amp;"-"&amp;"Staff"&amp;"-"&amp;$M450</f>
        <v>Tax-Staff-Basic</v>
      </c>
      <c r="O450" s="5" t="str">
        <f t="shared" ref="O450:O513" si="79">$J450&amp;"-"&amp;"Reviewer"&amp;"-"&amp;$M450</f>
        <v>Tax-Reviewer-Basic</v>
      </c>
      <c r="P450" s="5" t="str">
        <f t="shared" ref="P450:P513" si="80">$J450&amp;"-"&amp;"Signer"&amp;"-"&amp;$M450</f>
        <v>Tax-Signer-Basic</v>
      </c>
      <c r="Q450" s="6">
        <v>0.5</v>
      </c>
      <c r="R450" s="6">
        <v>0.1</v>
      </c>
      <c r="S450" s="6">
        <v>0.05</v>
      </c>
      <c r="T450" s="7">
        <f t="shared" si="76"/>
        <v>0.65</v>
      </c>
      <c r="U450" s="6" t="e">
        <f>SUMIFS([1]Sheet1!$L:$L,[1]Sheet1!$I:$I,AJ450,[1]Sheet1!$C:$C,A450)</f>
        <v>#VALUE!</v>
      </c>
      <c r="V450" s="6"/>
      <c r="W450" s="6"/>
      <c r="X450" s="7" t="e">
        <f t="shared" ref="X450:X513" si="81">SUM(U450:W450)</f>
        <v>#VALUE!</v>
      </c>
      <c r="Y450" s="6"/>
      <c r="AJ450" s="5" t="str">
        <f t="shared" ref="AJ450:AJ513" si="82">C450&amp;" "&amp;F450</f>
        <v>MO Texas Franchise Tax Return</v>
      </c>
      <c r="AK450" s="5" t="str">
        <f t="shared" ref="AK450:AK513" si="83">C450&amp;"-"&amp;G450&amp;"-"&amp;H450&amp;"-"&amp;F450&amp;"_"&amp;I450</f>
        <v>MO-Tax Services-ANN-Texas Franchise Tax Return_Basic</v>
      </c>
      <c r="AL450" s="5" t="str">
        <f t="shared" ref="AL450:AL513" si="84">A450&amp;"_"&amp;AJ450</f>
        <v>MBA Pest_1040_1_MO Texas Franchise Tax Return</v>
      </c>
      <c r="AM450" s="5" t="str">
        <f t="shared" ref="AM450:AM513" si="85">A450&amp;"_"&amp;AK450</f>
        <v>MBA Pest_1040_1_MO-Tax Services-ANN-Texas Franchise Tax Return_Basic</v>
      </c>
    </row>
    <row r="451" spans="1:39" x14ac:dyDescent="0.25">
      <c r="A451" s="2" t="s">
        <v>694</v>
      </c>
      <c r="B451" s="2" t="s">
        <v>695</v>
      </c>
      <c r="C451" s="2" t="s">
        <v>1196</v>
      </c>
      <c r="D451" s="8">
        <v>43831</v>
      </c>
      <c r="E451" s="5" t="str">
        <f t="shared" ref="E451:E514" si="86">B451&amp;"_"&amp;TEXT(D451,"DD-MM-YY")</f>
        <v>Mcbrayer, Charles T &amp; Jennifer_01-01-20</v>
      </c>
      <c r="F451" s="2" t="s">
        <v>1203</v>
      </c>
      <c r="G451" s="2" t="s">
        <v>1241</v>
      </c>
      <c r="H451" s="2" t="s">
        <v>1220</v>
      </c>
      <c r="I451" s="2" t="s">
        <v>1223</v>
      </c>
      <c r="J451" s="2" t="s">
        <v>1234</v>
      </c>
      <c r="M451" s="5" t="str">
        <f t="shared" si="77"/>
        <v>Basic</v>
      </c>
      <c r="N451" s="5" t="str">
        <f t="shared" si="78"/>
        <v>Tax-Staff-Basic</v>
      </c>
      <c r="O451" s="5" t="str">
        <f t="shared" si="79"/>
        <v>Tax-Reviewer-Basic</v>
      </c>
      <c r="P451" s="5" t="str">
        <f t="shared" si="80"/>
        <v>Tax-Signer-Basic</v>
      </c>
      <c r="Q451" s="6">
        <v>1.4675000000000016</v>
      </c>
      <c r="R451" s="6">
        <v>0.29350000000000032</v>
      </c>
      <c r="S451" s="6">
        <v>0.14675000000000016</v>
      </c>
      <c r="T451" s="7">
        <f t="shared" ref="T451:T514" si="87">SUM(Q451:S451)</f>
        <v>1.9077500000000021</v>
      </c>
      <c r="U451" s="6" t="e">
        <f>SUMIFS([1]Sheet1!$L:$L,[1]Sheet1!$I:$I,AJ451,[1]Sheet1!$C:$C,A451)</f>
        <v>#VALUE!</v>
      </c>
      <c r="V451" s="6"/>
      <c r="W451" s="6"/>
      <c r="X451" s="7" t="e">
        <f t="shared" si="81"/>
        <v>#VALUE!</v>
      </c>
      <c r="Y451" s="6"/>
      <c r="AJ451" s="5" t="str">
        <f t="shared" si="82"/>
        <v>NM 1040 - Personal</v>
      </c>
      <c r="AK451" s="5" t="str">
        <f t="shared" si="83"/>
        <v>NM-Tax Services-ANN-1040 - Personal_Basic</v>
      </c>
      <c r="AL451" s="5" t="str">
        <f t="shared" si="84"/>
        <v>Mcbray_8687_NM 1040 - Personal</v>
      </c>
      <c r="AM451" s="5" t="str">
        <f t="shared" si="85"/>
        <v>Mcbray_8687_NM-Tax Services-ANN-1040 - Personal_Basic</v>
      </c>
    </row>
    <row r="452" spans="1:39" x14ac:dyDescent="0.25">
      <c r="A452" s="2" t="s">
        <v>840</v>
      </c>
      <c r="B452" s="2" t="s">
        <v>841</v>
      </c>
      <c r="C452" s="2" t="s">
        <v>1197</v>
      </c>
      <c r="D452" s="8">
        <v>43831</v>
      </c>
      <c r="E452" s="5" t="str">
        <f t="shared" si="86"/>
        <v>McCabe, Erin_01-01-20</v>
      </c>
      <c r="F452" s="2" t="s">
        <v>1203</v>
      </c>
      <c r="G452" s="2" t="s">
        <v>1241</v>
      </c>
      <c r="H452" s="2" t="s">
        <v>1220</v>
      </c>
      <c r="I452" s="2" t="s">
        <v>1221</v>
      </c>
      <c r="J452" s="2" t="s">
        <v>1234</v>
      </c>
      <c r="M452" s="5" t="str">
        <f t="shared" si="77"/>
        <v>Mid</v>
      </c>
      <c r="N452" s="5" t="str">
        <f t="shared" si="78"/>
        <v>Tax-Staff-Mid</v>
      </c>
      <c r="O452" s="5" t="str">
        <f t="shared" si="79"/>
        <v>Tax-Reviewer-Mid</v>
      </c>
      <c r="P452" s="5" t="str">
        <f t="shared" si="80"/>
        <v>Tax-Signer-Mid</v>
      </c>
      <c r="Q452" s="6">
        <v>2.7401969696969677</v>
      </c>
      <c r="R452" s="6">
        <v>0.5480393939393936</v>
      </c>
      <c r="S452" s="6">
        <v>0.2740196969696968</v>
      </c>
      <c r="T452" s="7">
        <f t="shared" si="87"/>
        <v>3.562256060606058</v>
      </c>
      <c r="U452" s="6" t="e">
        <f>SUMIFS([1]Sheet1!$L:$L,[1]Sheet1!$I:$I,AJ452,[1]Sheet1!$C:$C,A452)</f>
        <v>#VALUE!</v>
      </c>
      <c r="V452" s="6"/>
      <c r="W452" s="6"/>
      <c r="X452" s="7" t="e">
        <f t="shared" si="81"/>
        <v>#VALUE!</v>
      </c>
      <c r="Y452" s="6"/>
      <c r="AJ452" s="5" t="str">
        <f t="shared" si="82"/>
        <v>MO 1040 - Personal</v>
      </c>
      <c r="AK452" s="5" t="str">
        <f t="shared" si="83"/>
        <v>MO-Tax Services-ANN-1040 - Personal_Mid</v>
      </c>
      <c r="AL452" s="5" t="str">
        <f t="shared" si="84"/>
        <v>McCabe_5803_MO 1040 - Personal</v>
      </c>
      <c r="AM452" s="5" t="str">
        <f t="shared" si="85"/>
        <v>McCabe_5803_MO-Tax Services-ANN-1040 - Personal_Mid</v>
      </c>
    </row>
    <row r="453" spans="1:39" x14ac:dyDescent="0.25">
      <c r="A453" s="2" t="s">
        <v>116</v>
      </c>
      <c r="B453" s="2" t="s">
        <v>117</v>
      </c>
      <c r="C453" s="2" t="s">
        <v>1197</v>
      </c>
      <c r="D453" s="8">
        <v>43831</v>
      </c>
      <c r="E453" s="5" t="str">
        <f t="shared" si="86"/>
        <v>Mccabe's Theater &amp; Living LLC_01-01-20</v>
      </c>
      <c r="F453" s="2" t="s">
        <v>1201</v>
      </c>
      <c r="G453" s="2" t="s">
        <v>1201</v>
      </c>
      <c r="H453" s="2" t="s">
        <v>1197</v>
      </c>
      <c r="I453" s="2" t="s">
        <v>1223</v>
      </c>
      <c r="J453" s="2" t="s">
        <v>1235</v>
      </c>
      <c r="M453" s="5" t="str">
        <f t="shared" si="77"/>
        <v>Basic</v>
      </c>
      <c r="N453" s="5" t="str">
        <f t="shared" si="78"/>
        <v>Accountant-Staff-Basic</v>
      </c>
      <c r="O453" s="5" t="str">
        <f t="shared" si="79"/>
        <v>Accountant-Reviewer-Basic</v>
      </c>
      <c r="P453" s="5" t="str">
        <f t="shared" si="80"/>
        <v>Accountant-Signer-Basic</v>
      </c>
      <c r="Q453" s="6">
        <v>1.47</v>
      </c>
      <c r="R453" s="6">
        <v>0.29399999999999998</v>
      </c>
      <c r="S453" s="6">
        <v>0.14699999999999999</v>
      </c>
      <c r="T453" s="7">
        <f t="shared" si="87"/>
        <v>1.911</v>
      </c>
      <c r="U453" s="6" t="e">
        <f>SUMIFS([1]Sheet1!$L:$L,[1]Sheet1!$I:$I,AJ453,[1]Sheet1!$C:$C,A453)</f>
        <v>#VALUE!</v>
      </c>
      <c r="V453" s="6"/>
      <c r="W453" s="6"/>
      <c r="X453" s="7" t="e">
        <f t="shared" si="81"/>
        <v>#VALUE!</v>
      </c>
      <c r="Y453" s="6"/>
      <c r="AJ453" s="5" t="str">
        <f t="shared" si="82"/>
        <v>MO Accounting Services</v>
      </c>
      <c r="AK453" s="5" t="str">
        <f t="shared" si="83"/>
        <v>MO-Accounting Services-MO-Accounting Services_Basic</v>
      </c>
      <c r="AL453" s="5" t="str">
        <f t="shared" si="84"/>
        <v>Mccabe's_1120S_46-1202947_MO Accounting Services</v>
      </c>
      <c r="AM453" s="5" t="str">
        <f t="shared" si="85"/>
        <v>Mccabe's_1120S_46-1202947_MO-Accounting Services-MO-Accounting Services_Basic</v>
      </c>
    </row>
    <row r="454" spans="1:39" x14ac:dyDescent="0.25">
      <c r="A454" s="2" t="s">
        <v>116</v>
      </c>
      <c r="B454" s="2" t="s">
        <v>117</v>
      </c>
      <c r="C454" s="2" t="s">
        <v>1197</v>
      </c>
      <c r="D454" s="8">
        <v>43831</v>
      </c>
      <c r="E454" s="5" t="str">
        <f t="shared" si="86"/>
        <v>Mccabe's Theater &amp; Living LLC_01-01-20</v>
      </c>
      <c r="F454" s="2" t="s">
        <v>1204</v>
      </c>
      <c r="G454" s="2" t="s">
        <v>1241</v>
      </c>
      <c r="H454" s="2" t="s">
        <v>1220</v>
      </c>
      <c r="I454" s="2" t="s">
        <v>1221</v>
      </c>
      <c r="J454" s="2" t="s">
        <v>1234</v>
      </c>
      <c r="M454" s="5" t="str">
        <f t="shared" si="77"/>
        <v>Mid</v>
      </c>
      <c r="N454" s="5" t="str">
        <f t="shared" si="78"/>
        <v>Tax-Staff-Mid</v>
      </c>
      <c r="O454" s="5" t="str">
        <f t="shared" si="79"/>
        <v>Tax-Reviewer-Mid</v>
      </c>
      <c r="P454" s="5" t="str">
        <f t="shared" si="80"/>
        <v>Tax-Signer-Mid</v>
      </c>
      <c r="Q454" s="6">
        <v>2.7401969696969677</v>
      </c>
      <c r="R454" s="6">
        <v>0.5480393939393936</v>
      </c>
      <c r="S454" s="6">
        <v>0.2740196969696968</v>
      </c>
      <c r="T454" s="7">
        <f t="shared" si="87"/>
        <v>3.562256060606058</v>
      </c>
      <c r="U454" s="6" t="e">
        <f>SUMIFS([1]Sheet1!$L:$L,[1]Sheet1!$I:$I,AJ454,[1]Sheet1!$C:$C,A454)</f>
        <v>#VALUE!</v>
      </c>
      <c r="V454" s="6"/>
      <c r="W454" s="6"/>
      <c r="X454" s="7" t="e">
        <f t="shared" si="81"/>
        <v>#VALUE!</v>
      </c>
      <c r="Y454" s="6"/>
      <c r="AJ454" s="5" t="str">
        <f t="shared" si="82"/>
        <v>MO 1120S - S Corporation</v>
      </c>
      <c r="AK454" s="5" t="str">
        <f t="shared" si="83"/>
        <v>MO-Tax Services-ANN-1120S - S Corporation_Mid</v>
      </c>
      <c r="AL454" s="5" t="str">
        <f t="shared" si="84"/>
        <v>Mccabe's_1120S_46-1202947_MO 1120S - S Corporation</v>
      </c>
      <c r="AM454" s="5" t="str">
        <f t="shared" si="85"/>
        <v>Mccabe's_1120S_46-1202947_MO-Tax Services-ANN-1120S - S Corporation_Mid</v>
      </c>
    </row>
    <row r="455" spans="1:39" x14ac:dyDescent="0.25">
      <c r="A455" s="2" t="s">
        <v>116</v>
      </c>
      <c r="B455" s="2" t="s">
        <v>117</v>
      </c>
      <c r="C455" s="2" t="s">
        <v>1197</v>
      </c>
      <c r="D455" s="8">
        <v>43831</v>
      </c>
      <c r="E455" s="5" t="str">
        <f t="shared" si="86"/>
        <v>Mccabe's Theater &amp; Living LLC_01-01-20</v>
      </c>
      <c r="F455" s="2" t="s">
        <v>1200</v>
      </c>
      <c r="G455" s="2" t="s">
        <v>1241</v>
      </c>
      <c r="H455" s="2" t="s">
        <v>1220</v>
      </c>
      <c r="I455" s="2" t="s">
        <v>1223</v>
      </c>
      <c r="J455" s="2" t="s">
        <v>1234</v>
      </c>
      <c r="M455" s="5" t="str">
        <f t="shared" si="77"/>
        <v>Basic</v>
      </c>
      <c r="N455" s="5" t="str">
        <f t="shared" si="78"/>
        <v>Tax-Staff-Basic</v>
      </c>
      <c r="O455" s="5" t="str">
        <f t="shared" si="79"/>
        <v>Tax-Reviewer-Basic</v>
      </c>
      <c r="P455" s="5" t="str">
        <f t="shared" si="80"/>
        <v>Tax-Signer-Basic</v>
      </c>
      <c r="Q455" s="6">
        <v>0.5</v>
      </c>
      <c r="R455" s="6">
        <v>0.1</v>
      </c>
      <c r="S455" s="6">
        <v>0.05</v>
      </c>
      <c r="T455" s="7">
        <f t="shared" si="87"/>
        <v>0.65</v>
      </c>
      <c r="U455" s="6" t="e">
        <f>SUMIFS([1]Sheet1!$L:$L,[1]Sheet1!$I:$I,AJ455,[1]Sheet1!$C:$C,A455)</f>
        <v>#VALUE!</v>
      </c>
      <c r="V455" s="6"/>
      <c r="W455" s="6"/>
      <c r="X455" s="7" t="e">
        <f t="shared" si="81"/>
        <v>#VALUE!</v>
      </c>
      <c r="Y455" s="6"/>
      <c r="AJ455" s="5" t="str">
        <f t="shared" si="82"/>
        <v>MO Texas Franchise Tax Return</v>
      </c>
      <c r="AK455" s="5" t="str">
        <f t="shared" si="83"/>
        <v>MO-Tax Services-ANN-Texas Franchise Tax Return_Basic</v>
      </c>
      <c r="AL455" s="5" t="str">
        <f t="shared" si="84"/>
        <v>Mccabe's_1120S_46-1202947_MO Texas Franchise Tax Return</v>
      </c>
      <c r="AM455" s="5" t="str">
        <f t="shared" si="85"/>
        <v>Mccabe's_1120S_46-1202947_MO-Tax Services-ANN-Texas Franchise Tax Return_Basic</v>
      </c>
    </row>
    <row r="456" spans="1:39" x14ac:dyDescent="0.25">
      <c r="A456" s="2" t="s">
        <v>696</v>
      </c>
      <c r="B456" s="2" t="s">
        <v>697</v>
      </c>
      <c r="C456" s="2" t="s">
        <v>1196</v>
      </c>
      <c r="D456" s="8">
        <v>43831</v>
      </c>
      <c r="E456" s="5" t="str">
        <f t="shared" si="86"/>
        <v>Mcfarland, Charles_01-01-20</v>
      </c>
      <c r="F456" s="2" t="s">
        <v>1203</v>
      </c>
      <c r="G456" s="2" t="s">
        <v>1241</v>
      </c>
      <c r="H456" s="2" t="s">
        <v>1220</v>
      </c>
      <c r="I456" s="2" t="s">
        <v>1223</v>
      </c>
      <c r="J456" s="2" t="s">
        <v>1234</v>
      </c>
      <c r="M456" s="5" t="str">
        <f t="shared" si="77"/>
        <v>Basic</v>
      </c>
      <c r="N456" s="5" t="str">
        <f t="shared" si="78"/>
        <v>Tax-Staff-Basic</v>
      </c>
      <c r="O456" s="5" t="str">
        <f t="shared" si="79"/>
        <v>Tax-Reviewer-Basic</v>
      </c>
      <c r="P456" s="5" t="str">
        <f t="shared" si="80"/>
        <v>Tax-Signer-Basic</v>
      </c>
      <c r="Q456" s="6">
        <v>1.4675000000000016</v>
      </c>
      <c r="R456" s="6">
        <v>0.29350000000000032</v>
      </c>
      <c r="S456" s="6">
        <v>0.14675000000000016</v>
      </c>
      <c r="T456" s="7">
        <f t="shared" si="87"/>
        <v>1.9077500000000021</v>
      </c>
      <c r="U456" s="6" t="e">
        <f>SUMIFS([1]Sheet1!$L:$L,[1]Sheet1!$I:$I,AJ456,[1]Sheet1!$C:$C,A456)</f>
        <v>#VALUE!</v>
      </c>
      <c r="V456" s="6"/>
      <c r="W456" s="6"/>
      <c r="X456" s="7" t="e">
        <f t="shared" si="81"/>
        <v>#VALUE!</v>
      </c>
      <c r="Y456" s="6"/>
      <c r="AJ456" s="5" t="str">
        <f t="shared" si="82"/>
        <v>NM 1040 - Personal</v>
      </c>
      <c r="AK456" s="5" t="str">
        <f t="shared" si="83"/>
        <v>NM-Tax Services-ANN-1040 - Personal_Basic</v>
      </c>
      <c r="AL456" s="5" t="str">
        <f t="shared" si="84"/>
        <v>Mcfarl_7968_NM 1040 - Personal</v>
      </c>
      <c r="AM456" s="5" t="str">
        <f t="shared" si="85"/>
        <v>Mcfarl_7968_NM-Tax Services-ANN-1040 - Personal_Basic</v>
      </c>
    </row>
    <row r="457" spans="1:39" x14ac:dyDescent="0.25">
      <c r="A457" s="2" t="s">
        <v>311</v>
      </c>
      <c r="B457" s="2" t="s">
        <v>312</v>
      </c>
      <c r="C457" s="2" t="s">
        <v>1197</v>
      </c>
      <c r="D457" s="8">
        <v>43831</v>
      </c>
      <c r="E457" s="5" t="str">
        <f t="shared" si="86"/>
        <v>Mckam Electric_01-01-20</v>
      </c>
      <c r="F457" s="2" t="s">
        <v>1204</v>
      </c>
      <c r="G457" s="2" t="s">
        <v>1241</v>
      </c>
      <c r="H457" s="2" t="s">
        <v>1220</v>
      </c>
      <c r="I457" s="2" t="s">
        <v>1223</v>
      </c>
      <c r="J457" s="2" t="s">
        <v>1234</v>
      </c>
      <c r="M457" s="5" t="str">
        <f t="shared" si="77"/>
        <v>Basic</v>
      </c>
      <c r="N457" s="5" t="str">
        <f t="shared" si="78"/>
        <v>Tax-Staff-Basic</v>
      </c>
      <c r="O457" s="5" t="str">
        <f t="shared" si="79"/>
        <v>Tax-Reviewer-Basic</v>
      </c>
      <c r="P457" s="5" t="str">
        <f t="shared" si="80"/>
        <v>Tax-Signer-Basic</v>
      </c>
      <c r="Q457" s="6">
        <v>1.4675000000000016</v>
      </c>
      <c r="R457" s="6">
        <v>0.29350000000000032</v>
      </c>
      <c r="S457" s="6">
        <v>0.14675000000000016</v>
      </c>
      <c r="T457" s="7">
        <f t="shared" si="87"/>
        <v>1.9077500000000021</v>
      </c>
      <c r="U457" s="6" t="e">
        <f>SUMIFS([1]Sheet1!$L:$L,[1]Sheet1!$I:$I,AJ457,[1]Sheet1!$C:$C,A457)</f>
        <v>#VALUE!</v>
      </c>
      <c r="V457" s="6"/>
      <c r="W457" s="6"/>
      <c r="X457" s="7" t="e">
        <f t="shared" si="81"/>
        <v>#VALUE!</v>
      </c>
      <c r="Y457" s="6"/>
      <c r="AJ457" s="5" t="str">
        <f t="shared" si="82"/>
        <v>MO 1120S - S Corporation</v>
      </c>
      <c r="AK457" s="5" t="str">
        <f t="shared" si="83"/>
        <v>MO-Tax Services-ANN-1120S - S Corporation_Basic</v>
      </c>
      <c r="AL457" s="5" t="str">
        <f t="shared" si="84"/>
        <v>Mckam El_1120S_38-3909636_MO 1120S - S Corporation</v>
      </c>
      <c r="AM457" s="5" t="str">
        <f t="shared" si="85"/>
        <v>Mckam El_1120S_38-3909636_MO-Tax Services-ANN-1120S - S Corporation_Basic</v>
      </c>
    </row>
    <row r="458" spans="1:39" x14ac:dyDescent="0.25">
      <c r="A458" s="2" t="s">
        <v>311</v>
      </c>
      <c r="B458" s="2" t="s">
        <v>312</v>
      </c>
      <c r="C458" s="2" t="s">
        <v>1197</v>
      </c>
      <c r="D458" s="8">
        <v>43831</v>
      </c>
      <c r="E458" s="5" t="str">
        <f t="shared" si="86"/>
        <v>Mckam Electric_01-01-20</v>
      </c>
      <c r="F458" s="2" t="s">
        <v>1201</v>
      </c>
      <c r="G458" s="2" t="s">
        <v>1201</v>
      </c>
      <c r="H458" s="2" t="s">
        <v>1197</v>
      </c>
      <c r="I458" s="2" t="s">
        <v>1223</v>
      </c>
      <c r="J458" s="2" t="s">
        <v>1235</v>
      </c>
      <c r="M458" s="5" t="str">
        <f t="shared" si="77"/>
        <v>Basic</v>
      </c>
      <c r="N458" s="5" t="str">
        <f t="shared" si="78"/>
        <v>Accountant-Staff-Basic</v>
      </c>
      <c r="O458" s="5" t="str">
        <f t="shared" si="79"/>
        <v>Accountant-Reviewer-Basic</v>
      </c>
      <c r="P458" s="5" t="str">
        <f t="shared" si="80"/>
        <v>Accountant-Signer-Basic</v>
      </c>
      <c r="Q458" s="6">
        <v>1.47</v>
      </c>
      <c r="R458" s="6">
        <v>0.29399999999999998</v>
      </c>
      <c r="S458" s="6">
        <v>0.14699999999999999</v>
      </c>
      <c r="T458" s="7">
        <f t="shared" si="87"/>
        <v>1.911</v>
      </c>
      <c r="U458" s="6" t="e">
        <f>SUMIFS([1]Sheet1!$L:$L,[1]Sheet1!$I:$I,AJ458,[1]Sheet1!$C:$C,A458)</f>
        <v>#VALUE!</v>
      </c>
      <c r="V458" s="6"/>
      <c r="W458" s="6"/>
      <c r="X458" s="7" t="e">
        <f t="shared" si="81"/>
        <v>#VALUE!</v>
      </c>
      <c r="Y458" s="6"/>
      <c r="AJ458" s="5" t="str">
        <f t="shared" si="82"/>
        <v>MO Accounting Services</v>
      </c>
      <c r="AK458" s="5" t="str">
        <f t="shared" si="83"/>
        <v>MO-Accounting Services-MO-Accounting Services_Basic</v>
      </c>
      <c r="AL458" s="5" t="str">
        <f t="shared" si="84"/>
        <v>Mckam El_1120S_38-3909636_MO Accounting Services</v>
      </c>
      <c r="AM458" s="5" t="str">
        <f t="shared" si="85"/>
        <v>Mckam El_1120S_38-3909636_MO-Accounting Services-MO-Accounting Services_Basic</v>
      </c>
    </row>
    <row r="459" spans="1:39" x14ac:dyDescent="0.25">
      <c r="A459" s="2" t="s">
        <v>313</v>
      </c>
      <c r="B459" s="2" t="s">
        <v>314</v>
      </c>
      <c r="C459" s="2" t="s">
        <v>1197</v>
      </c>
      <c r="D459" s="8">
        <v>43831</v>
      </c>
      <c r="E459" s="5" t="str">
        <f t="shared" si="86"/>
        <v>McKee &amp; Associates (American_01-01-20</v>
      </c>
      <c r="F459" s="2" t="s">
        <v>1206</v>
      </c>
      <c r="G459" s="2" t="s">
        <v>1241</v>
      </c>
      <c r="H459" s="2" t="s">
        <v>1220</v>
      </c>
      <c r="I459" s="2" t="s">
        <v>1223</v>
      </c>
      <c r="J459" s="2" t="s">
        <v>1234</v>
      </c>
      <c r="M459" s="5" t="str">
        <f t="shared" si="77"/>
        <v>Basic</v>
      </c>
      <c r="N459" s="5" t="str">
        <f t="shared" si="78"/>
        <v>Tax-Staff-Basic</v>
      </c>
      <c r="O459" s="5" t="str">
        <f t="shared" si="79"/>
        <v>Tax-Reviewer-Basic</v>
      </c>
      <c r="P459" s="5" t="str">
        <f t="shared" si="80"/>
        <v>Tax-Signer-Basic</v>
      </c>
      <c r="Q459" s="6">
        <v>1.4675000000000016</v>
      </c>
      <c r="R459" s="6">
        <v>0.29350000000000032</v>
      </c>
      <c r="S459" s="6">
        <v>0.14675000000000016</v>
      </c>
      <c r="T459" s="7">
        <f t="shared" si="87"/>
        <v>1.9077500000000021</v>
      </c>
      <c r="U459" s="6" t="e">
        <f>SUMIFS([1]Sheet1!$L:$L,[1]Sheet1!$I:$I,AJ459,[1]Sheet1!$C:$C,A459)</f>
        <v>#VALUE!</v>
      </c>
      <c r="V459" s="6"/>
      <c r="W459" s="6"/>
      <c r="X459" s="7" t="e">
        <f t="shared" si="81"/>
        <v>#VALUE!</v>
      </c>
      <c r="Y459" s="6"/>
      <c r="AJ459" s="5" t="str">
        <f t="shared" si="82"/>
        <v>MO 1120 - C Corporation</v>
      </c>
      <c r="AK459" s="5" t="str">
        <f t="shared" si="83"/>
        <v>MO-Tax Services-ANN-1120 - C Corporation_Basic</v>
      </c>
      <c r="AL459" s="5" t="str">
        <f t="shared" si="84"/>
        <v>McKee &amp; _1120S_75-2574153_MO 1120 - C Corporation</v>
      </c>
      <c r="AM459" s="5" t="str">
        <f t="shared" si="85"/>
        <v>McKee &amp; _1120S_75-2574153_MO-Tax Services-ANN-1120 - C Corporation_Basic</v>
      </c>
    </row>
    <row r="460" spans="1:39" x14ac:dyDescent="0.25">
      <c r="A460" s="2" t="s">
        <v>313</v>
      </c>
      <c r="B460" s="2" t="s">
        <v>18</v>
      </c>
      <c r="C460" s="2" t="s">
        <v>1197</v>
      </c>
      <c r="D460" s="8">
        <v>43831</v>
      </c>
      <c r="E460" s="5" t="str">
        <f t="shared" si="86"/>
        <v>McKee &amp; Associates (American Franchise Finders)_01-01-20</v>
      </c>
      <c r="F460" s="2" t="s">
        <v>1201</v>
      </c>
      <c r="G460" s="2" t="s">
        <v>1201</v>
      </c>
      <c r="H460" s="2" t="s">
        <v>1197</v>
      </c>
      <c r="I460" s="2" t="s">
        <v>1223</v>
      </c>
      <c r="J460" s="2" t="s">
        <v>1235</v>
      </c>
      <c r="M460" s="5" t="str">
        <f t="shared" si="77"/>
        <v>Basic</v>
      </c>
      <c r="N460" s="5" t="str">
        <f t="shared" si="78"/>
        <v>Accountant-Staff-Basic</v>
      </c>
      <c r="O460" s="5" t="str">
        <f t="shared" si="79"/>
        <v>Accountant-Reviewer-Basic</v>
      </c>
      <c r="P460" s="5" t="str">
        <f t="shared" si="80"/>
        <v>Accountant-Signer-Basic</v>
      </c>
      <c r="Q460" s="6">
        <v>1.47</v>
      </c>
      <c r="R460" s="6">
        <v>0.29399999999999998</v>
      </c>
      <c r="S460" s="6">
        <v>0.14699999999999999</v>
      </c>
      <c r="T460" s="7">
        <f t="shared" si="87"/>
        <v>1.911</v>
      </c>
      <c r="U460" s="6" t="e">
        <f>SUMIFS([1]Sheet1!$L:$L,[1]Sheet1!$I:$I,AJ460,[1]Sheet1!$C:$C,A460)</f>
        <v>#VALUE!</v>
      </c>
      <c r="V460" s="6"/>
      <c r="W460" s="6"/>
      <c r="X460" s="7" t="e">
        <f t="shared" si="81"/>
        <v>#VALUE!</v>
      </c>
      <c r="Y460" s="6"/>
      <c r="AJ460" s="5" t="str">
        <f t="shared" si="82"/>
        <v>MO Accounting Services</v>
      </c>
      <c r="AK460" s="5" t="str">
        <f t="shared" si="83"/>
        <v>MO-Accounting Services-MO-Accounting Services_Basic</v>
      </c>
      <c r="AL460" s="5" t="str">
        <f t="shared" si="84"/>
        <v>McKee &amp; _1120S_75-2574153_MO Accounting Services</v>
      </c>
      <c r="AM460" s="5" t="str">
        <f t="shared" si="85"/>
        <v>McKee &amp; _1120S_75-2574153_MO-Accounting Services-MO-Accounting Services_Basic</v>
      </c>
    </row>
    <row r="461" spans="1:39" x14ac:dyDescent="0.25">
      <c r="A461" s="2" t="s">
        <v>842</v>
      </c>
      <c r="B461" s="2" t="s">
        <v>843</v>
      </c>
      <c r="C461" s="2" t="s">
        <v>1197</v>
      </c>
      <c r="D461" s="8">
        <v>43831</v>
      </c>
      <c r="E461" s="5" t="str">
        <f t="shared" si="86"/>
        <v>McKee, William L. &amp; Dwana L._01-01-20</v>
      </c>
      <c r="F461" s="2" t="s">
        <v>1203</v>
      </c>
      <c r="G461" s="2" t="s">
        <v>1241</v>
      </c>
      <c r="H461" s="2" t="s">
        <v>1220</v>
      </c>
      <c r="I461" s="2" t="s">
        <v>1221</v>
      </c>
      <c r="J461" s="2" t="s">
        <v>1234</v>
      </c>
      <c r="M461" s="5" t="str">
        <f t="shared" si="77"/>
        <v>Mid</v>
      </c>
      <c r="N461" s="5" t="str">
        <f t="shared" si="78"/>
        <v>Tax-Staff-Mid</v>
      </c>
      <c r="O461" s="5" t="str">
        <f t="shared" si="79"/>
        <v>Tax-Reviewer-Mid</v>
      </c>
      <c r="P461" s="5" t="str">
        <f t="shared" si="80"/>
        <v>Tax-Signer-Mid</v>
      </c>
      <c r="Q461" s="6">
        <v>2.7401969696969677</v>
      </c>
      <c r="R461" s="6">
        <v>0.5480393939393936</v>
      </c>
      <c r="S461" s="6">
        <v>0.2740196969696968</v>
      </c>
      <c r="T461" s="7">
        <f t="shared" si="87"/>
        <v>3.562256060606058</v>
      </c>
      <c r="U461" s="6" t="e">
        <f>SUMIFS([1]Sheet1!$L:$L,[1]Sheet1!$I:$I,AJ461,[1]Sheet1!$C:$C,A461)</f>
        <v>#VALUE!</v>
      </c>
      <c r="V461" s="6"/>
      <c r="W461" s="6"/>
      <c r="X461" s="7" t="e">
        <f t="shared" si="81"/>
        <v>#VALUE!</v>
      </c>
      <c r="Y461" s="6"/>
      <c r="AJ461" s="5" t="str">
        <f t="shared" si="82"/>
        <v>MO 1040 - Personal</v>
      </c>
      <c r="AK461" s="5" t="str">
        <f t="shared" si="83"/>
        <v>MO-Tax Services-ANN-1040 - Personal_Mid</v>
      </c>
      <c r="AL461" s="5" t="str">
        <f t="shared" si="84"/>
        <v>McKee,_7250_MO 1040 - Personal</v>
      </c>
      <c r="AM461" s="5" t="str">
        <f t="shared" si="85"/>
        <v>McKee,_7250_MO-Tax Services-ANN-1040 - Personal_Mid</v>
      </c>
    </row>
    <row r="462" spans="1:39" x14ac:dyDescent="0.25">
      <c r="A462" s="2" t="s">
        <v>1185</v>
      </c>
      <c r="B462" s="2" t="s">
        <v>1186</v>
      </c>
      <c r="C462" s="2" t="s">
        <v>1197</v>
      </c>
      <c r="D462" s="8">
        <v>43831</v>
      </c>
      <c r="E462" s="5" t="str">
        <f t="shared" si="86"/>
        <v>McKinney Foundations Counseling,_01-01-20</v>
      </c>
      <c r="F462" s="2" t="s">
        <v>1204</v>
      </c>
      <c r="G462" s="2" t="s">
        <v>1241</v>
      </c>
      <c r="H462" s="2" t="s">
        <v>1220</v>
      </c>
      <c r="I462" s="2" t="s">
        <v>1223</v>
      </c>
      <c r="J462" s="2" t="s">
        <v>1234</v>
      </c>
      <c r="M462" s="5" t="str">
        <f t="shared" si="77"/>
        <v>Basic</v>
      </c>
      <c r="N462" s="5" t="str">
        <f t="shared" si="78"/>
        <v>Tax-Staff-Basic</v>
      </c>
      <c r="O462" s="5" t="str">
        <f t="shared" si="79"/>
        <v>Tax-Reviewer-Basic</v>
      </c>
      <c r="P462" s="5" t="str">
        <f t="shared" si="80"/>
        <v>Tax-Signer-Basic</v>
      </c>
      <c r="Q462" s="6">
        <v>1.4675000000000016</v>
      </c>
      <c r="R462" s="6">
        <v>0.29350000000000032</v>
      </c>
      <c r="S462" s="6">
        <v>0.14675000000000016</v>
      </c>
      <c r="T462" s="7">
        <f t="shared" si="87"/>
        <v>1.9077500000000021</v>
      </c>
      <c r="U462" s="6" t="e">
        <f>SUMIFS([1]Sheet1!$L:$L,[1]Sheet1!$I:$I,AJ462,[1]Sheet1!$C:$C,A462)</f>
        <v>#VALUE!</v>
      </c>
      <c r="V462" s="6"/>
      <c r="W462" s="6"/>
      <c r="X462" s="7" t="e">
        <f t="shared" si="81"/>
        <v>#VALUE!</v>
      </c>
      <c r="Y462" s="6"/>
      <c r="AJ462" s="5" t="str">
        <f t="shared" si="82"/>
        <v>MO 1120S - S Corporation</v>
      </c>
      <c r="AK462" s="5" t="str">
        <f t="shared" si="83"/>
        <v>MO-Tax Services-ANN-1120S - S Corporation_Basic</v>
      </c>
      <c r="AL462" s="5" t="str">
        <f t="shared" si="84"/>
        <v>McKinney_1120S_81-4474300_MO 1120S - S Corporation</v>
      </c>
      <c r="AM462" s="5" t="str">
        <f t="shared" si="85"/>
        <v>McKinney_1120S_81-4474300_MO-Tax Services-ANN-1120S - S Corporation_Basic</v>
      </c>
    </row>
    <row r="463" spans="1:39" x14ac:dyDescent="0.25">
      <c r="A463" s="2" t="s">
        <v>1185</v>
      </c>
      <c r="B463" s="2" t="s">
        <v>1186</v>
      </c>
      <c r="C463" s="2" t="s">
        <v>1197</v>
      </c>
      <c r="D463" s="8">
        <v>43831</v>
      </c>
      <c r="E463" s="5" t="str">
        <f t="shared" si="86"/>
        <v>McKinney Foundations Counseling,_01-01-20</v>
      </c>
      <c r="F463" s="2" t="s">
        <v>1200</v>
      </c>
      <c r="G463" s="2" t="s">
        <v>1241</v>
      </c>
      <c r="H463" s="2" t="s">
        <v>1220</v>
      </c>
      <c r="I463" s="2" t="s">
        <v>1223</v>
      </c>
      <c r="J463" s="2" t="s">
        <v>1234</v>
      </c>
      <c r="M463" s="5" t="str">
        <f t="shared" si="77"/>
        <v>Basic</v>
      </c>
      <c r="N463" s="5" t="str">
        <f t="shared" si="78"/>
        <v>Tax-Staff-Basic</v>
      </c>
      <c r="O463" s="5" t="str">
        <f t="shared" si="79"/>
        <v>Tax-Reviewer-Basic</v>
      </c>
      <c r="P463" s="5" t="str">
        <f t="shared" si="80"/>
        <v>Tax-Signer-Basic</v>
      </c>
      <c r="Q463" s="6">
        <v>0.5</v>
      </c>
      <c r="R463" s="6">
        <v>0.1</v>
      </c>
      <c r="S463" s="6">
        <v>0.05</v>
      </c>
      <c r="T463" s="7">
        <f t="shared" si="87"/>
        <v>0.65</v>
      </c>
      <c r="U463" s="6" t="e">
        <f>SUMIFS([1]Sheet1!$L:$L,[1]Sheet1!$I:$I,AJ463,[1]Sheet1!$C:$C,A463)</f>
        <v>#VALUE!</v>
      </c>
      <c r="V463" s="6"/>
      <c r="W463" s="6"/>
      <c r="X463" s="7" t="e">
        <f t="shared" si="81"/>
        <v>#VALUE!</v>
      </c>
      <c r="Y463" s="6"/>
      <c r="AJ463" s="5" t="str">
        <f t="shared" si="82"/>
        <v>MO Texas Franchise Tax Return</v>
      </c>
      <c r="AK463" s="5" t="str">
        <f t="shared" si="83"/>
        <v>MO-Tax Services-ANN-Texas Franchise Tax Return_Basic</v>
      </c>
      <c r="AL463" s="5" t="str">
        <f t="shared" si="84"/>
        <v>McKinney_1120S_81-4474300_MO Texas Franchise Tax Return</v>
      </c>
      <c r="AM463" s="5" t="str">
        <f t="shared" si="85"/>
        <v>McKinney_1120S_81-4474300_MO-Tax Services-ANN-Texas Franchise Tax Return_Basic</v>
      </c>
    </row>
    <row r="464" spans="1:39" x14ac:dyDescent="0.25">
      <c r="A464" s="2" t="s">
        <v>698</v>
      </c>
      <c r="B464" s="2" t="s">
        <v>699</v>
      </c>
      <c r="C464" s="2" t="s">
        <v>1196</v>
      </c>
      <c r="D464" s="8">
        <v>43831</v>
      </c>
      <c r="E464" s="5" t="str">
        <f t="shared" si="86"/>
        <v>McMullen, Kenneth Britt_01-01-20</v>
      </c>
      <c r="F464" s="2" t="s">
        <v>1203</v>
      </c>
      <c r="G464" s="2" t="s">
        <v>1241</v>
      </c>
      <c r="H464" s="2" t="s">
        <v>1220</v>
      </c>
      <c r="I464" s="2" t="s">
        <v>1221</v>
      </c>
      <c r="J464" s="2" t="s">
        <v>1234</v>
      </c>
      <c r="M464" s="5" t="str">
        <f t="shared" si="77"/>
        <v>Mid</v>
      </c>
      <c r="N464" s="5" t="str">
        <f t="shared" si="78"/>
        <v>Tax-Staff-Mid</v>
      </c>
      <c r="O464" s="5" t="str">
        <f t="shared" si="79"/>
        <v>Tax-Reviewer-Mid</v>
      </c>
      <c r="P464" s="5" t="str">
        <f t="shared" si="80"/>
        <v>Tax-Signer-Mid</v>
      </c>
      <c r="Q464" s="6">
        <v>2.7401969696969677</v>
      </c>
      <c r="R464" s="6">
        <v>0.5480393939393936</v>
      </c>
      <c r="S464" s="6">
        <v>0.2740196969696968</v>
      </c>
      <c r="T464" s="7">
        <f t="shared" si="87"/>
        <v>3.562256060606058</v>
      </c>
      <c r="U464" s="6" t="e">
        <f>SUMIFS([1]Sheet1!$L:$L,[1]Sheet1!$I:$I,AJ464,[1]Sheet1!$C:$C,A464)</f>
        <v>#VALUE!</v>
      </c>
      <c r="V464" s="6"/>
      <c r="W464" s="6"/>
      <c r="X464" s="7" t="e">
        <f t="shared" si="81"/>
        <v>#VALUE!</v>
      </c>
      <c r="Y464" s="6"/>
      <c r="AJ464" s="5" t="str">
        <f t="shared" si="82"/>
        <v>NM 1040 - Personal</v>
      </c>
      <c r="AK464" s="5" t="str">
        <f t="shared" si="83"/>
        <v>NM-Tax Services-ANN-1040 - Personal_Mid</v>
      </c>
      <c r="AL464" s="5" t="str">
        <f t="shared" si="84"/>
        <v>McMull_0573_NM 1040 - Personal</v>
      </c>
      <c r="AM464" s="5" t="str">
        <f t="shared" si="85"/>
        <v>McMull_0573_NM-Tax Services-ANN-1040 - Personal_Mid</v>
      </c>
    </row>
    <row r="465" spans="1:39" x14ac:dyDescent="0.25">
      <c r="A465" s="2" t="s">
        <v>700</v>
      </c>
      <c r="B465" s="2" t="s">
        <v>701</v>
      </c>
      <c r="C465" s="2" t="s">
        <v>1196</v>
      </c>
      <c r="D465" s="8">
        <v>43831</v>
      </c>
      <c r="E465" s="5" t="str">
        <f t="shared" si="86"/>
        <v>McPhaul, Hannah_01-01-20</v>
      </c>
      <c r="F465" s="2" t="s">
        <v>1203</v>
      </c>
      <c r="G465" s="2" t="s">
        <v>1241</v>
      </c>
      <c r="H465" s="2" t="s">
        <v>1220</v>
      </c>
      <c r="I465" s="2" t="s">
        <v>1223</v>
      </c>
      <c r="J465" s="2" t="s">
        <v>1234</v>
      </c>
      <c r="M465" s="5" t="str">
        <f t="shared" si="77"/>
        <v>Basic</v>
      </c>
      <c r="N465" s="5" t="str">
        <f t="shared" si="78"/>
        <v>Tax-Staff-Basic</v>
      </c>
      <c r="O465" s="5" t="str">
        <f t="shared" si="79"/>
        <v>Tax-Reviewer-Basic</v>
      </c>
      <c r="P465" s="5" t="str">
        <f t="shared" si="80"/>
        <v>Tax-Signer-Basic</v>
      </c>
      <c r="Q465" s="6">
        <v>1.4675000000000016</v>
      </c>
      <c r="R465" s="6">
        <v>0.29350000000000032</v>
      </c>
      <c r="S465" s="6">
        <v>0.14675000000000016</v>
      </c>
      <c r="T465" s="7">
        <f t="shared" si="87"/>
        <v>1.9077500000000021</v>
      </c>
      <c r="U465" s="6" t="e">
        <f>SUMIFS([1]Sheet1!$L:$L,[1]Sheet1!$I:$I,AJ465,[1]Sheet1!$C:$C,A465)</f>
        <v>#VALUE!</v>
      </c>
      <c r="V465" s="6"/>
      <c r="W465" s="6"/>
      <c r="X465" s="7" t="e">
        <f t="shared" si="81"/>
        <v>#VALUE!</v>
      </c>
      <c r="Y465" s="6"/>
      <c r="AJ465" s="5" t="str">
        <f t="shared" si="82"/>
        <v>NM 1040 - Personal</v>
      </c>
      <c r="AK465" s="5" t="str">
        <f t="shared" si="83"/>
        <v>NM-Tax Services-ANN-1040 - Personal_Basic</v>
      </c>
      <c r="AL465" s="5" t="str">
        <f t="shared" si="84"/>
        <v>McPhau_0981_NM 1040 - Personal</v>
      </c>
      <c r="AM465" s="5" t="str">
        <f t="shared" si="85"/>
        <v>McPhau_0981_NM-Tax Services-ANN-1040 - Personal_Basic</v>
      </c>
    </row>
    <row r="466" spans="1:39" x14ac:dyDescent="0.25">
      <c r="A466" s="2" t="s">
        <v>373</v>
      </c>
      <c r="B466" s="2" t="s">
        <v>374</v>
      </c>
      <c r="C466" s="2" t="s">
        <v>1196</v>
      </c>
      <c r="D466" s="8">
        <v>43831</v>
      </c>
      <c r="E466" s="5" t="str">
        <f t="shared" si="86"/>
        <v>MD Imagine, LLC_01-01-20</v>
      </c>
      <c r="F466" s="2" t="s">
        <v>1199</v>
      </c>
      <c r="G466" s="2" t="s">
        <v>1241</v>
      </c>
      <c r="H466" s="2" t="s">
        <v>1220</v>
      </c>
      <c r="I466" s="2" t="s">
        <v>1222</v>
      </c>
      <c r="J466" s="2" t="s">
        <v>1234</v>
      </c>
      <c r="M466" s="5" t="str">
        <f t="shared" si="77"/>
        <v>Adv</v>
      </c>
      <c r="N466" s="5" t="str">
        <f t="shared" si="78"/>
        <v>Tax-Staff-Adv</v>
      </c>
      <c r="O466" s="5" t="str">
        <f t="shared" si="79"/>
        <v>Tax-Reviewer-Adv</v>
      </c>
      <c r="P466" s="5" t="str">
        <f t="shared" si="80"/>
        <v>Tax-Signer-Adv</v>
      </c>
      <c r="Q466" s="6">
        <v>4.5832500000000005</v>
      </c>
      <c r="R466" s="6">
        <v>0.91665000000000019</v>
      </c>
      <c r="S466" s="6">
        <v>0.45832500000000009</v>
      </c>
      <c r="T466" s="7">
        <f t="shared" si="87"/>
        <v>5.9582250000000005</v>
      </c>
      <c r="U466" s="6" t="e">
        <f>SUMIFS([1]Sheet1!$L:$L,[1]Sheet1!$I:$I,AJ466,[1]Sheet1!$C:$C,A466)</f>
        <v>#VALUE!</v>
      </c>
      <c r="V466" s="6"/>
      <c r="W466" s="6"/>
      <c r="X466" s="7" t="e">
        <f t="shared" si="81"/>
        <v>#VALUE!</v>
      </c>
      <c r="Y466" s="6"/>
      <c r="AJ466" s="5" t="str">
        <f t="shared" si="82"/>
        <v>NM 1065 - Partnership</v>
      </c>
      <c r="AK466" s="5" t="str">
        <f t="shared" si="83"/>
        <v>NM-Tax Services-ANN-1065 - Partnership_Adv</v>
      </c>
      <c r="AL466" s="5" t="str">
        <f t="shared" si="84"/>
        <v>MD Imagi_1065_81-5154859_NM 1065 - Partnership</v>
      </c>
      <c r="AM466" s="5" t="str">
        <f t="shared" si="85"/>
        <v>MD Imagi_1065_81-5154859_NM-Tax Services-ANN-1065 - Partnership_Adv</v>
      </c>
    </row>
    <row r="467" spans="1:39" x14ac:dyDescent="0.25">
      <c r="A467" s="2" t="s">
        <v>373</v>
      </c>
      <c r="B467" s="2" t="s">
        <v>374</v>
      </c>
      <c r="C467" s="2" t="s">
        <v>1196</v>
      </c>
      <c r="D467" s="8">
        <v>43831</v>
      </c>
      <c r="E467" s="5" t="str">
        <f t="shared" si="86"/>
        <v>MD Imagine, LLC_01-01-20</v>
      </c>
      <c r="F467" s="2" t="s">
        <v>1200</v>
      </c>
      <c r="G467" s="2" t="s">
        <v>1241</v>
      </c>
      <c r="H467" s="2" t="s">
        <v>1220</v>
      </c>
      <c r="I467" s="2" t="s">
        <v>1223</v>
      </c>
      <c r="J467" s="2" t="s">
        <v>1234</v>
      </c>
      <c r="M467" s="5" t="str">
        <f t="shared" si="77"/>
        <v>Basic</v>
      </c>
      <c r="N467" s="5" t="str">
        <f t="shared" si="78"/>
        <v>Tax-Staff-Basic</v>
      </c>
      <c r="O467" s="5" t="str">
        <f t="shared" si="79"/>
        <v>Tax-Reviewer-Basic</v>
      </c>
      <c r="P467" s="5" t="str">
        <f t="shared" si="80"/>
        <v>Tax-Signer-Basic</v>
      </c>
      <c r="Q467" s="6">
        <v>0.5</v>
      </c>
      <c r="R467" s="6">
        <v>0.1</v>
      </c>
      <c r="S467" s="6">
        <v>0.05</v>
      </c>
      <c r="T467" s="7">
        <f t="shared" si="87"/>
        <v>0.65</v>
      </c>
      <c r="U467" s="6" t="e">
        <f>SUMIFS([1]Sheet1!$L:$L,[1]Sheet1!$I:$I,AJ467,[1]Sheet1!$C:$C,A467)</f>
        <v>#VALUE!</v>
      </c>
      <c r="V467" s="6"/>
      <c r="W467" s="6"/>
      <c r="X467" s="7" t="e">
        <f t="shared" si="81"/>
        <v>#VALUE!</v>
      </c>
      <c r="Y467" s="6"/>
      <c r="AJ467" s="5" t="str">
        <f t="shared" si="82"/>
        <v>NM Texas Franchise Tax Return</v>
      </c>
      <c r="AK467" s="5" t="str">
        <f t="shared" si="83"/>
        <v>NM-Tax Services-ANN-Texas Franchise Tax Return_Basic</v>
      </c>
      <c r="AL467" s="5" t="str">
        <f t="shared" si="84"/>
        <v>MD Imagi_1065_81-5154859_NM Texas Franchise Tax Return</v>
      </c>
      <c r="AM467" s="5" t="str">
        <f t="shared" si="85"/>
        <v>MD Imagi_1065_81-5154859_NM-Tax Services-ANN-Texas Franchise Tax Return_Basic</v>
      </c>
    </row>
    <row r="468" spans="1:39" x14ac:dyDescent="0.25">
      <c r="A468" s="2" t="s">
        <v>275</v>
      </c>
      <c r="B468" s="2" t="s">
        <v>276</v>
      </c>
      <c r="C468" s="2" t="s">
        <v>1196</v>
      </c>
      <c r="D468" s="8">
        <v>43831</v>
      </c>
      <c r="E468" s="5" t="str">
        <f t="shared" si="86"/>
        <v>Medallion Financial, Inc._01-01-20</v>
      </c>
      <c r="F468" s="2" t="s">
        <v>1204</v>
      </c>
      <c r="G468" s="2" t="s">
        <v>1241</v>
      </c>
      <c r="H468" s="2" t="s">
        <v>1220</v>
      </c>
      <c r="I468" s="2" t="s">
        <v>1223</v>
      </c>
      <c r="J468" s="2" t="s">
        <v>1234</v>
      </c>
      <c r="M468" s="5" t="str">
        <f t="shared" si="77"/>
        <v>Basic</v>
      </c>
      <c r="N468" s="5" t="str">
        <f t="shared" si="78"/>
        <v>Tax-Staff-Basic</v>
      </c>
      <c r="O468" s="5" t="str">
        <f t="shared" si="79"/>
        <v>Tax-Reviewer-Basic</v>
      </c>
      <c r="P468" s="5" t="str">
        <f t="shared" si="80"/>
        <v>Tax-Signer-Basic</v>
      </c>
      <c r="Q468" s="6">
        <v>1.4675000000000016</v>
      </c>
      <c r="R468" s="6">
        <v>0.29350000000000032</v>
      </c>
      <c r="S468" s="6">
        <v>0.14675000000000016</v>
      </c>
      <c r="T468" s="7">
        <f t="shared" si="87"/>
        <v>1.9077500000000021</v>
      </c>
      <c r="U468" s="6" t="e">
        <f>SUMIFS([1]Sheet1!$L:$L,[1]Sheet1!$I:$I,AJ468,[1]Sheet1!$C:$C,A468)</f>
        <v>#VALUE!</v>
      </c>
      <c r="V468" s="6"/>
      <c r="W468" s="6"/>
      <c r="X468" s="7" t="e">
        <f t="shared" si="81"/>
        <v>#VALUE!</v>
      </c>
      <c r="Y468" s="6"/>
      <c r="AJ468" s="5" t="str">
        <f t="shared" si="82"/>
        <v>NM 1120S - S Corporation</v>
      </c>
      <c r="AK468" s="5" t="str">
        <f t="shared" si="83"/>
        <v>NM-Tax Services-ANN-1120S - S Corporation_Basic</v>
      </c>
      <c r="AL468" s="5" t="str">
        <f t="shared" si="84"/>
        <v>Medallio_1120S_45-4397024_NM 1120S - S Corporation</v>
      </c>
      <c r="AM468" s="5" t="str">
        <f t="shared" si="85"/>
        <v>Medallio_1120S_45-4397024_NM-Tax Services-ANN-1120S - S Corporation_Basic</v>
      </c>
    </row>
    <row r="469" spans="1:39" x14ac:dyDescent="0.25">
      <c r="A469" s="2" t="s">
        <v>399</v>
      </c>
      <c r="B469" s="2" t="s">
        <v>400</v>
      </c>
      <c r="C469" s="2" t="s">
        <v>1197</v>
      </c>
      <c r="D469" s="8">
        <v>43831</v>
      </c>
      <c r="E469" s="5" t="str">
        <f t="shared" si="86"/>
        <v>Metal Mate_01-01-20</v>
      </c>
      <c r="F469" s="2" t="s">
        <v>1199</v>
      </c>
      <c r="G469" s="2" t="s">
        <v>1241</v>
      </c>
      <c r="H469" s="2" t="s">
        <v>1220</v>
      </c>
      <c r="I469" s="2" t="s">
        <v>1221</v>
      </c>
      <c r="J469" s="2" t="s">
        <v>1234</v>
      </c>
      <c r="M469" s="5" t="str">
        <f t="shared" si="77"/>
        <v>Mid</v>
      </c>
      <c r="N469" s="5" t="str">
        <f t="shared" si="78"/>
        <v>Tax-Staff-Mid</v>
      </c>
      <c r="O469" s="5" t="str">
        <f t="shared" si="79"/>
        <v>Tax-Reviewer-Mid</v>
      </c>
      <c r="P469" s="5" t="str">
        <f t="shared" si="80"/>
        <v>Tax-Signer-Mid</v>
      </c>
      <c r="Q469" s="6">
        <v>2.7401969696969677</v>
      </c>
      <c r="R469" s="6">
        <v>0.5480393939393936</v>
      </c>
      <c r="S469" s="6">
        <v>0.2740196969696968</v>
      </c>
      <c r="T469" s="7">
        <f t="shared" si="87"/>
        <v>3.562256060606058</v>
      </c>
      <c r="U469" s="6" t="e">
        <f>SUMIFS([1]Sheet1!$L:$L,[1]Sheet1!$I:$I,AJ469,[1]Sheet1!$C:$C,A469)</f>
        <v>#VALUE!</v>
      </c>
      <c r="V469" s="6"/>
      <c r="W469" s="6"/>
      <c r="X469" s="7" t="e">
        <f t="shared" si="81"/>
        <v>#VALUE!</v>
      </c>
      <c r="Y469" s="6"/>
      <c r="AJ469" s="5" t="str">
        <f t="shared" si="82"/>
        <v>MO 1065 - Partnership</v>
      </c>
      <c r="AK469" s="5" t="str">
        <f t="shared" si="83"/>
        <v>MO-Tax Services-ANN-1065 - Partnership_Mid</v>
      </c>
      <c r="AL469" s="5" t="str">
        <f t="shared" si="84"/>
        <v>Metal Ma_1065_82-2114650_MO 1065 - Partnership</v>
      </c>
      <c r="AM469" s="5" t="str">
        <f t="shared" si="85"/>
        <v>Metal Ma_1065_82-2114650_MO-Tax Services-ANN-1065 - Partnership_Mid</v>
      </c>
    </row>
    <row r="470" spans="1:39" x14ac:dyDescent="0.25">
      <c r="A470" s="2" t="s">
        <v>399</v>
      </c>
      <c r="B470" s="2" t="s">
        <v>400</v>
      </c>
      <c r="C470" s="2" t="s">
        <v>1197</v>
      </c>
      <c r="D470" s="8">
        <v>43831</v>
      </c>
      <c r="E470" s="5" t="str">
        <f t="shared" si="86"/>
        <v>Metal Mate_01-01-20</v>
      </c>
      <c r="F470" s="2" t="s">
        <v>1200</v>
      </c>
      <c r="G470" s="2" t="s">
        <v>1241</v>
      </c>
      <c r="H470" s="2" t="s">
        <v>1220</v>
      </c>
      <c r="I470" s="2" t="s">
        <v>1223</v>
      </c>
      <c r="J470" s="2" t="s">
        <v>1234</v>
      </c>
      <c r="M470" s="5" t="str">
        <f t="shared" si="77"/>
        <v>Basic</v>
      </c>
      <c r="N470" s="5" t="str">
        <f t="shared" si="78"/>
        <v>Tax-Staff-Basic</v>
      </c>
      <c r="O470" s="5" t="str">
        <f t="shared" si="79"/>
        <v>Tax-Reviewer-Basic</v>
      </c>
      <c r="P470" s="5" t="str">
        <f t="shared" si="80"/>
        <v>Tax-Signer-Basic</v>
      </c>
      <c r="Q470" s="6">
        <v>0.5</v>
      </c>
      <c r="R470" s="6">
        <v>0.1</v>
      </c>
      <c r="S470" s="6">
        <v>0.05</v>
      </c>
      <c r="T470" s="7">
        <f t="shared" si="87"/>
        <v>0.65</v>
      </c>
      <c r="U470" s="6" t="e">
        <f>SUMIFS([1]Sheet1!$L:$L,[1]Sheet1!$I:$I,AJ470,[1]Sheet1!$C:$C,A470)</f>
        <v>#VALUE!</v>
      </c>
      <c r="V470" s="6"/>
      <c r="W470" s="6"/>
      <c r="X470" s="7" t="e">
        <f t="shared" si="81"/>
        <v>#VALUE!</v>
      </c>
      <c r="Y470" s="6"/>
      <c r="AJ470" s="5" t="str">
        <f t="shared" si="82"/>
        <v>MO Texas Franchise Tax Return</v>
      </c>
      <c r="AK470" s="5" t="str">
        <f t="shared" si="83"/>
        <v>MO-Tax Services-ANN-Texas Franchise Tax Return_Basic</v>
      </c>
      <c r="AL470" s="5" t="str">
        <f t="shared" si="84"/>
        <v>Metal Ma_1065_82-2114650_MO Texas Franchise Tax Return</v>
      </c>
      <c r="AM470" s="5" t="str">
        <f t="shared" si="85"/>
        <v>Metal Ma_1065_82-2114650_MO-Tax Services-ANN-Texas Franchise Tax Return_Basic</v>
      </c>
    </row>
    <row r="471" spans="1:39" x14ac:dyDescent="0.25">
      <c r="A471" s="2" t="s">
        <v>702</v>
      </c>
      <c r="B471" s="2" t="s">
        <v>703</v>
      </c>
      <c r="C471" s="2" t="s">
        <v>1196</v>
      </c>
      <c r="D471" s="8">
        <v>43831</v>
      </c>
      <c r="E471" s="5" t="str">
        <f t="shared" si="86"/>
        <v>Mevius, Jason S._01-01-20</v>
      </c>
      <c r="F471" s="2" t="s">
        <v>1203</v>
      </c>
      <c r="G471" s="2" t="s">
        <v>1241</v>
      </c>
      <c r="H471" s="2" t="s">
        <v>1220</v>
      </c>
      <c r="I471" s="2" t="s">
        <v>1223</v>
      </c>
      <c r="J471" s="2" t="s">
        <v>1234</v>
      </c>
      <c r="M471" s="5" t="str">
        <f t="shared" si="77"/>
        <v>Basic</v>
      </c>
      <c r="N471" s="5" t="str">
        <f t="shared" si="78"/>
        <v>Tax-Staff-Basic</v>
      </c>
      <c r="O471" s="5" t="str">
        <f t="shared" si="79"/>
        <v>Tax-Reviewer-Basic</v>
      </c>
      <c r="P471" s="5" t="str">
        <f t="shared" si="80"/>
        <v>Tax-Signer-Basic</v>
      </c>
      <c r="Q471" s="6">
        <v>1.4675000000000016</v>
      </c>
      <c r="R471" s="6">
        <v>0.29350000000000032</v>
      </c>
      <c r="S471" s="6">
        <v>0.14675000000000016</v>
      </c>
      <c r="T471" s="7">
        <f t="shared" si="87"/>
        <v>1.9077500000000021</v>
      </c>
      <c r="U471" s="6" t="e">
        <f>SUMIFS([1]Sheet1!$L:$L,[1]Sheet1!$I:$I,AJ471,[1]Sheet1!$C:$C,A471)</f>
        <v>#VALUE!</v>
      </c>
      <c r="V471" s="6"/>
      <c r="W471" s="6"/>
      <c r="X471" s="7" t="e">
        <f t="shared" si="81"/>
        <v>#VALUE!</v>
      </c>
      <c r="Y471" s="6"/>
      <c r="AJ471" s="5" t="str">
        <f t="shared" si="82"/>
        <v>NM 1040 - Personal</v>
      </c>
      <c r="AK471" s="5" t="str">
        <f t="shared" si="83"/>
        <v>NM-Tax Services-ANN-1040 - Personal_Basic</v>
      </c>
      <c r="AL471" s="5" t="str">
        <f t="shared" si="84"/>
        <v>Mevius_9693_NM 1040 - Personal</v>
      </c>
      <c r="AM471" s="5" t="str">
        <f t="shared" si="85"/>
        <v>Mevius_9693_NM-Tax Services-ANN-1040 - Personal_Basic</v>
      </c>
    </row>
    <row r="472" spans="1:39" x14ac:dyDescent="0.25">
      <c r="A472" s="2" t="s">
        <v>844</v>
      </c>
      <c r="B472" s="2" t="s">
        <v>845</v>
      </c>
      <c r="C472" s="2" t="s">
        <v>1197</v>
      </c>
      <c r="D472" s="8">
        <v>43831</v>
      </c>
      <c r="E472" s="5" t="str">
        <f t="shared" si="86"/>
        <v>Miazga, Chris P. &amp; Tracy N._01-01-20</v>
      </c>
      <c r="F472" s="2" t="s">
        <v>1203</v>
      </c>
      <c r="G472" s="2" t="s">
        <v>1241</v>
      </c>
      <c r="H472" s="2" t="s">
        <v>1220</v>
      </c>
      <c r="I472" s="2" t="s">
        <v>1221</v>
      </c>
      <c r="J472" s="2" t="s">
        <v>1234</v>
      </c>
      <c r="M472" s="5" t="str">
        <f t="shared" si="77"/>
        <v>Mid</v>
      </c>
      <c r="N472" s="5" t="str">
        <f t="shared" si="78"/>
        <v>Tax-Staff-Mid</v>
      </c>
      <c r="O472" s="5" t="str">
        <f t="shared" si="79"/>
        <v>Tax-Reviewer-Mid</v>
      </c>
      <c r="P472" s="5" t="str">
        <f t="shared" si="80"/>
        <v>Tax-Signer-Mid</v>
      </c>
      <c r="Q472" s="6">
        <v>2.7401969696969677</v>
      </c>
      <c r="R472" s="6">
        <v>0.5480393939393936</v>
      </c>
      <c r="S472" s="6">
        <v>0.2740196969696968</v>
      </c>
      <c r="T472" s="7">
        <f t="shared" si="87"/>
        <v>3.562256060606058</v>
      </c>
      <c r="U472" s="6" t="e">
        <f>SUMIFS([1]Sheet1!$L:$L,[1]Sheet1!$I:$I,AJ472,[1]Sheet1!$C:$C,A472)</f>
        <v>#VALUE!</v>
      </c>
      <c r="V472" s="6"/>
      <c r="W472" s="6"/>
      <c r="X472" s="7" t="e">
        <f t="shared" si="81"/>
        <v>#VALUE!</v>
      </c>
      <c r="Y472" s="6"/>
      <c r="AJ472" s="5" t="str">
        <f t="shared" si="82"/>
        <v>MO 1040 - Personal</v>
      </c>
      <c r="AK472" s="5" t="str">
        <f t="shared" si="83"/>
        <v>MO-Tax Services-ANN-1040 - Personal_Mid</v>
      </c>
      <c r="AL472" s="5" t="str">
        <f t="shared" si="84"/>
        <v>Miazga_9494_MO 1040 - Personal</v>
      </c>
      <c r="AM472" s="5" t="str">
        <f t="shared" si="85"/>
        <v>Miazga_9494_MO-Tax Services-ANN-1040 - Personal_Mid</v>
      </c>
    </row>
    <row r="473" spans="1:39" x14ac:dyDescent="0.25">
      <c r="A473" s="2" t="s">
        <v>175</v>
      </c>
      <c r="B473" s="2" t="s">
        <v>176</v>
      </c>
      <c r="C473" s="2" t="s">
        <v>1197</v>
      </c>
      <c r="D473" s="8">
        <v>43831</v>
      </c>
      <c r="E473" s="5" t="str">
        <f t="shared" si="86"/>
        <v>Michael J Uhl, P.C._01-01-20</v>
      </c>
      <c r="F473" s="2" t="s">
        <v>1201</v>
      </c>
      <c r="G473" s="2" t="s">
        <v>1201</v>
      </c>
      <c r="H473" s="2" t="s">
        <v>1197</v>
      </c>
      <c r="I473" s="2" t="s">
        <v>1223</v>
      </c>
      <c r="J473" s="2" t="s">
        <v>1235</v>
      </c>
      <c r="M473" s="5" t="str">
        <f t="shared" si="77"/>
        <v>Basic</v>
      </c>
      <c r="N473" s="5" t="str">
        <f t="shared" si="78"/>
        <v>Accountant-Staff-Basic</v>
      </c>
      <c r="O473" s="5" t="str">
        <f t="shared" si="79"/>
        <v>Accountant-Reviewer-Basic</v>
      </c>
      <c r="P473" s="5" t="str">
        <f t="shared" si="80"/>
        <v>Accountant-Signer-Basic</v>
      </c>
      <c r="Q473" s="6">
        <v>1.47</v>
      </c>
      <c r="R473" s="6">
        <v>0.29399999999999998</v>
      </c>
      <c r="S473" s="6">
        <v>0.14699999999999999</v>
      </c>
      <c r="T473" s="7">
        <f t="shared" si="87"/>
        <v>1.911</v>
      </c>
      <c r="U473" s="6" t="e">
        <f>SUMIFS([1]Sheet1!$L:$L,[1]Sheet1!$I:$I,AJ473,[1]Sheet1!$C:$C,A473)</f>
        <v>#VALUE!</v>
      </c>
      <c r="V473" s="6"/>
      <c r="W473" s="6"/>
      <c r="X473" s="7" t="e">
        <f t="shared" si="81"/>
        <v>#VALUE!</v>
      </c>
      <c r="Y473" s="6"/>
      <c r="AJ473" s="5" t="str">
        <f t="shared" si="82"/>
        <v>MO Accounting Services</v>
      </c>
      <c r="AK473" s="5" t="str">
        <f t="shared" si="83"/>
        <v>MO-Accounting Services-MO-Accounting Services_Basic</v>
      </c>
      <c r="AL473" s="5" t="str">
        <f t="shared" si="84"/>
        <v>Michael _1120S_1_MO Accounting Services</v>
      </c>
      <c r="AM473" s="5" t="str">
        <f t="shared" si="85"/>
        <v>Michael _1120S_1_MO-Accounting Services-MO-Accounting Services_Basic</v>
      </c>
    </row>
    <row r="474" spans="1:39" x14ac:dyDescent="0.25">
      <c r="A474" s="2" t="s">
        <v>375</v>
      </c>
      <c r="B474" s="2" t="s">
        <v>376</v>
      </c>
      <c r="C474" s="2" t="s">
        <v>1196</v>
      </c>
      <c r="D474" s="8">
        <v>43831</v>
      </c>
      <c r="E474" s="5" t="str">
        <f t="shared" si="86"/>
        <v>Milk Snob LLC_01-01-20</v>
      </c>
      <c r="F474" s="2" t="s">
        <v>1199</v>
      </c>
      <c r="G474" s="2" t="s">
        <v>1241</v>
      </c>
      <c r="H474" s="2" t="s">
        <v>1220</v>
      </c>
      <c r="I474" s="2" t="s">
        <v>1222</v>
      </c>
      <c r="J474" s="2" t="s">
        <v>1234</v>
      </c>
      <c r="M474" s="5" t="str">
        <f t="shared" si="77"/>
        <v>Adv</v>
      </c>
      <c r="N474" s="5" t="str">
        <f t="shared" si="78"/>
        <v>Tax-Staff-Adv</v>
      </c>
      <c r="O474" s="5" t="str">
        <f t="shared" si="79"/>
        <v>Tax-Reviewer-Adv</v>
      </c>
      <c r="P474" s="5" t="str">
        <f t="shared" si="80"/>
        <v>Tax-Signer-Adv</v>
      </c>
      <c r="Q474" s="6">
        <v>4.5832500000000005</v>
      </c>
      <c r="R474" s="6">
        <v>0.91665000000000019</v>
      </c>
      <c r="S474" s="6">
        <v>0.45832500000000009</v>
      </c>
      <c r="T474" s="7">
        <f t="shared" si="87"/>
        <v>5.9582250000000005</v>
      </c>
      <c r="U474" s="6" t="e">
        <f>SUMIFS([1]Sheet1!$L:$L,[1]Sheet1!$I:$I,AJ474,[1]Sheet1!$C:$C,A474)</f>
        <v>#VALUE!</v>
      </c>
      <c r="V474" s="6"/>
      <c r="W474" s="6"/>
      <c r="X474" s="7" t="e">
        <f t="shared" si="81"/>
        <v>#VALUE!</v>
      </c>
      <c r="Y474" s="6"/>
      <c r="AJ474" s="5" t="str">
        <f t="shared" si="82"/>
        <v>NM 1065 - Partnership</v>
      </c>
      <c r="AK474" s="5" t="str">
        <f t="shared" si="83"/>
        <v>NM-Tax Services-ANN-1065 - Partnership_Adv</v>
      </c>
      <c r="AL474" s="5" t="str">
        <f t="shared" si="84"/>
        <v>Milk Sno_1065_47-5048628_NM 1065 - Partnership</v>
      </c>
      <c r="AM474" s="5" t="str">
        <f t="shared" si="85"/>
        <v>Milk Sno_1065_47-5048628_NM-Tax Services-ANN-1065 - Partnership_Adv</v>
      </c>
    </row>
    <row r="475" spans="1:39" x14ac:dyDescent="0.25">
      <c r="A475" s="2" t="s">
        <v>706</v>
      </c>
      <c r="B475" s="2" t="s">
        <v>707</v>
      </c>
      <c r="C475" s="2" t="s">
        <v>1196</v>
      </c>
      <c r="D475" s="8">
        <v>43831</v>
      </c>
      <c r="E475" s="5" t="str">
        <f t="shared" si="86"/>
        <v>Mills, Jennifer_01-01-20</v>
      </c>
      <c r="F475" s="2" t="s">
        <v>1203</v>
      </c>
      <c r="G475" s="2" t="s">
        <v>1241</v>
      </c>
      <c r="H475" s="2" t="s">
        <v>1220</v>
      </c>
      <c r="I475" s="2" t="s">
        <v>1223</v>
      </c>
      <c r="J475" s="2" t="s">
        <v>1234</v>
      </c>
      <c r="M475" s="5" t="str">
        <f t="shared" si="77"/>
        <v>Basic</v>
      </c>
      <c r="N475" s="5" t="str">
        <f t="shared" si="78"/>
        <v>Tax-Staff-Basic</v>
      </c>
      <c r="O475" s="5" t="str">
        <f t="shared" si="79"/>
        <v>Tax-Reviewer-Basic</v>
      </c>
      <c r="P475" s="5" t="str">
        <f t="shared" si="80"/>
        <v>Tax-Signer-Basic</v>
      </c>
      <c r="Q475" s="6">
        <v>1.4675000000000016</v>
      </c>
      <c r="R475" s="6">
        <v>0.29350000000000032</v>
      </c>
      <c r="S475" s="6">
        <v>0.14675000000000016</v>
      </c>
      <c r="T475" s="7">
        <f t="shared" si="87"/>
        <v>1.9077500000000021</v>
      </c>
      <c r="U475" s="6" t="e">
        <f>SUMIFS([1]Sheet1!$L:$L,[1]Sheet1!$I:$I,AJ475,[1]Sheet1!$C:$C,A475)</f>
        <v>#VALUE!</v>
      </c>
      <c r="V475" s="6"/>
      <c r="W475" s="6"/>
      <c r="X475" s="7" t="e">
        <f t="shared" si="81"/>
        <v>#VALUE!</v>
      </c>
      <c r="Y475" s="6"/>
      <c r="AJ475" s="5" t="str">
        <f t="shared" si="82"/>
        <v>NM 1040 - Personal</v>
      </c>
      <c r="AK475" s="5" t="str">
        <f t="shared" si="83"/>
        <v>NM-Tax Services-ANN-1040 - Personal_Basic</v>
      </c>
      <c r="AL475" s="5" t="str">
        <f t="shared" si="84"/>
        <v>Mills,_8729_NM 1040 - Personal</v>
      </c>
      <c r="AM475" s="5" t="str">
        <f t="shared" si="85"/>
        <v>Mills,_8729_NM-Tax Services-ANN-1040 - Personal_Basic</v>
      </c>
    </row>
    <row r="476" spans="1:39" x14ac:dyDescent="0.25">
      <c r="A476" s="2" t="s">
        <v>704</v>
      </c>
      <c r="B476" s="2" t="s">
        <v>705</v>
      </c>
      <c r="C476" s="2" t="s">
        <v>1196</v>
      </c>
      <c r="D476" s="8">
        <v>43831</v>
      </c>
      <c r="E476" s="5" t="str">
        <f t="shared" si="86"/>
        <v>Mills, Jeffrey C._01-01-20</v>
      </c>
      <c r="F476" s="2" t="s">
        <v>1203</v>
      </c>
      <c r="G476" s="2" t="s">
        <v>1241</v>
      </c>
      <c r="H476" s="2" t="s">
        <v>1220</v>
      </c>
      <c r="I476" s="2" t="s">
        <v>1223</v>
      </c>
      <c r="J476" s="2" t="s">
        <v>1234</v>
      </c>
      <c r="M476" s="5" t="str">
        <f t="shared" si="77"/>
        <v>Basic</v>
      </c>
      <c r="N476" s="5" t="str">
        <f t="shared" si="78"/>
        <v>Tax-Staff-Basic</v>
      </c>
      <c r="O476" s="5" t="str">
        <f t="shared" si="79"/>
        <v>Tax-Reviewer-Basic</v>
      </c>
      <c r="P476" s="5" t="str">
        <f t="shared" si="80"/>
        <v>Tax-Signer-Basic</v>
      </c>
      <c r="Q476" s="6">
        <v>1.4675000000000016</v>
      </c>
      <c r="R476" s="6">
        <v>0.29350000000000032</v>
      </c>
      <c r="S476" s="6">
        <v>0.14675000000000016</v>
      </c>
      <c r="T476" s="7">
        <f t="shared" si="87"/>
        <v>1.9077500000000021</v>
      </c>
      <c r="U476" s="6" t="e">
        <f>SUMIFS([1]Sheet1!$L:$L,[1]Sheet1!$I:$I,AJ476,[1]Sheet1!$C:$C,A476)</f>
        <v>#VALUE!</v>
      </c>
      <c r="V476" s="6"/>
      <c r="W476" s="6"/>
      <c r="X476" s="7" t="e">
        <f t="shared" si="81"/>
        <v>#VALUE!</v>
      </c>
      <c r="Y476" s="6"/>
      <c r="AJ476" s="5" t="str">
        <f t="shared" si="82"/>
        <v>NM 1040 - Personal</v>
      </c>
      <c r="AK476" s="5" t="str">
        <f t="shared" si="83"/>
        <v>NM-Tax Services-ANN-1040 - Personal_Basic</v>
      </c>
      <c r="AL476" s="5" t="str">
        <f t="shared" si="84"/>
        <v>Mills,_9130_NM 1040 - Personal</v>
      </c>
      <c r="AM476" s="5" t="str">
        <f t="shared" si="85"/>
        <v>Mills,_9130_NM-Tax Services-ANN-1040 - Personal_Basic</v>
      </c>
    </row>
    <row r="477" spans="1:39" x14ac:dyDescent="0.25">
      <c r="A477" s="2" t="s">
        <v>377</v>
      </c>
      <c r="B477" s="2" t="s">
        <v>378</v>
      </c>
      <c r="C477" s="2" t="s">
        <v>1196</v>
      </c>
      <c r="D477" s="8">
        <v>43831</v>
      </c>
      <c r="E477" s="5" t="str">
        <f t="shared" si="86"/>
        <v>Mimi's Sweet Treats, LLC_01-01-20</v>
      </c>
      <c r="F477" s="2" t="s">
        <v>1199</v>
      </c>
      <c r="G477" s="2" t="s">
        <v>1241</v>
      </c>
      <c r="H477" s="2" t="s">
        <v>1220</v>
      </c>
      <c r="I477" s="2" t="s">
        <v>1221</v>
      </c>
      <c r="J477" s="2" t="s">
        <v>1234</v>
      </c>
      <c r="M477" s="5" t="str">
        <f t="shared" si="77"/>
        <v>Mid</v>
      </c>
      <c r="N477" s="5" t="str">
        <f t="shared" si="78"/>
        <v>Tax-Staff-Mid</v>
      </c>
      <c r="O477" s="5" t="str">
        <f t="shared" si="79"/>
        <v>Tax-Reviewer-Mid</v>
      </c>
      <c r="P477" s="5" t="str">
        <f t="shared" si="80"/>
        <v>Tax-Signer-Mid</v>
      </c>
      <c r="Q477" s="6">
        <v>2.7401969696969677</v>
      </c>
      <c r="R477" s="6">
        <v>0.5480393939393936</v>
      </c>
      <c r="S477" s="6">
        <v>0.2740196969696968</v>
      </c>
      <c r="T477" s="7">
        <f t="shared" si="87"/>
        <v>3.562256060606058</v>
      </c>
      <c r="U477" s="6" t="e">
        <f>SUMIFS([1]Sheet1!$L:$L,[1]Sheet1!$I:$I,AJ477,[1]Sheet1!$C:$C,A477)</f>
        <v>#VALUE!</v>
      </c>
      <c r="V477" s="6"/>
      <c r="W477" s="6"/>
      <c r="X477" s="7" t="e">
        <f t="shared" si="81"/>
        <v>#VALUE!</v>
      </c>
      <c r="Y477" s="6"/>
      <c r="AJ477" s="5" t="str">
        <f t="shared" si="82"/>
        <v>NM 1065 - Partnership</v>
      </c>
      <c r="AK477" s="5" t="str">
        <f t="shared" si="83"/>
        <v>NM-Tax Services-ANN-1065 - Partnership_Mid</v>
      </c>
      <c r="AL477" s="5" t="str">
        <f t="shared" si="84"/>
        <v>Mimi's S_1065_47-4400698_NM 1065 - Partnership</v>
      </c>
      <c r="AM477" s="5" t="str">
        <f t="shared" si="85"/>
        <v>Mimi's S_1065_47-4400698_NM-Tax Services-ANN-1065 - Partnership_Mid</v>
      </c>
    </row>
    <row r="478" spans="1:39" x14ac:dyDescent="0.25">
      <c r="A478" s="2" t="s">
        <v>1165</v>
      </c>
      <c r="B478" s="2" t="s">
        <v>1166</v>
      </c>
      <c r="C478" s="2" t="s">
        <v>1196</v>
      </c>
      <c r="D478" s="8">
        <v>43831</v>
      </c>
      <c r="E478" s="5" t="str">
        <f t="shared" si="86"/>
        <v>Mitchell, Patricia_01-01-20</v>
      </c>
      <c r="F478" s="2" t="s">
        <v>1203</v>
      </c>
      <c r="G478" s="2" t="s">
        <v>1241</v>
      </c>
      <c r="H478" s="2" t="s">
        <v>1220</v>
      </c>
      <c r="I478" s="2" t="s">
        <v>1223</v>
      </c>
      <c r="J478" s="2" t="s">
        <v>1234</v>
      </c>
      <c r="M478" s="5" t="str">
        <f t="shared" si="77"/>
        <v>Basic</v>
      </c>
      <c r="N478" s="5" t="str">
        <f t="shared" si="78"/>
        <v>Tax-Staff-Basic</v>
      </c>
      <c r="O478" s="5" t="str">
        <f t="shared" si="79"/>
        <v>Tax-Reviewer-Basic</v>
      </c>
      <c r="P478" s="5" t="str">
        <f t="shared" si="80"/>
        <v>Tax-Signer-Basic</v>
      </c>
      <c r="Q478" s="6">
        <v>1.4675000000000016</v>
      </c>
      <c r="R478" s="6">
        <v>0.29350000000000032</v>
      </c>
      <c r="S478" s="6">
        <v>0.14675000000000016</v>
      </c>
      <c r="T478" s="7">
        <f t="shared" si="87"/>
        <v>1.9077500000000021</v>
      </c>
      <c r="U478" s="6" t="e">
        <f>SUMIFS([1]Sheet1!$L:$L,[1]Sheet1!$I:$I,AJ478,[1]Sheet1!$C:$C,A478)</f>
        <v>#VALUE!</v>
      </c>
      <c r="V478" s="6"/>
      <c r="W478" s="6"/>
      <c r="X478" s="7" t="e">
        <f t="shared" si="81"/>
        <v>#VALUE!</v>
      </c>
      <c r="Y478" s="6"/>
      <c r="AJ478" s="5" t="str">
        <f t="shared" si="82"/>
        <v>NM 1040 - Personal</v>
      </c>
      <c r="AK478" s="5" t="str">
        <f t="shared" si="83"/>
        <v>NM-Tax Services-ANN-1040 - Personal_Basic</v>
      </c>
      <c r="AL478" s="5" t="str">
        <f t="shared" si="84"/>
        <v>Mitche_1_NM 1040 - Personal</v>
      </c>
      <c r="AM478" s="5" t="str">
        <f t="shared" si="85"/>
        <v>Mitche_1_NM-Tax Services-ANN-1040 - Personal_Basic</v>
      </c>
    </row>
    <row r="479" spans="1:39" x14ac:dyDescent="0.25">
      <c r="A479" s="2" t="s">
        <v>708</v>
      </c>
      <c r="B479" s="2" t="s">
        <v>709</v>
      </c>
      <c r="C479" s="2" t="s">
        <v>1196</v>
      </c>
      <c r="D479" s="8">
        <v>43831</v>
      </c>
      <c r="E479" s="5" t="str">
        <f t="shared" si="86"/>
        <v>Mitchell, Jhevass O &amp; Terrica_01-01-20</v>
      </c>
      <c r="F479" s="2" t="s">
        <v>1203</v>
      </c>
      <c r="G479" s="2" t="s">
        <v>1241</v>
      </c>
      <c r="H479" s="2" t="s">
        <v>1220</v>
      </c>
      <c r="I479" s="2" t="s">
        <v>1221</v>
      </c>
      <c r="J479" s="2" t="s">
        <v>1234</v>
      </c>
      <c r="M479" s="5" t="str">
        <f t="shared" si="77"/>
        <v>Mid</v>
      </c>
      <c r="N479" s="5" t="str">
        <f t="shared" si="78"/>
        <v>Tax-Staff-Mid</v>
      </c>
      <c r="O479" s="5" t="str">
        <f t="shared" si="79"/>
        <v>Tax-Reviewer-Mid</v>
      </c>
      <c r="P479" s="5" t="str">
        <f t="shared" si="80"/>
        <v>Tax-Signer-Mid</v>
      </c>
      <c r="Q479" s="6">
        <v>2.7401969696969677</v>
      </c>
      <c r="R479" s="6">
        <v>0.5480393939393936</v>
      </c>
      <c r="S479" s="6">
        <v>0.2740196969696968</v>
      </c>
      <c r="T479" s="7">
        <f t="shared" si="87"/>
        <v>3.562256060606058</v>
      </c>
      <c r="U479" s="6" t="e">
        <f>SUMIFS([1]Sheet1!$L:$L,[1]Sheet1!$I:$I,AJ479,[1]Sheet1!$C:$C,A479)</f>
        <v>#VALUE!</v>
      </c>
      <c r="V479" s="6"/>
      <c r="W479" s="6"/>
      <c r="X479" s="7" t="e">
        <f t="shared" si="81"/>
        <v>#VALUE!</v>
      </c>
      <c r="Y479" s="6"/>
      <c r="AJ479" s="5" t="str">
        <f t="shared" si="82"/>
        <v>NM 1040 - Personal</v>
      </c>
      <c r="AK479" s="5" t="str">
        <f t="shared" si="83"/>
        <v>NM-Tax Services-ANN-1040 - Personal_Mid</v>
      </c>
      <c r="AL479" s="5" t="str">
        <f t="shared" si="84"/>
        <v>Mitche_6424_NM 1040 - Personal</v>
      </c>
      <c r="AM479" s="5" t="str">
        <f t="shared" si="85"/>
        <v>Mitche_6424_NM-Tax Services-ANN-1040 - Personal_Mid</v>
      </c>
    </row>
    <row r="480" spans="1:39" x14ac:dyDescent="0.25">
      <c r="A480" s="2" t="s">
        <v>712</v>
      </c>
      <c r="B480" s="2" t="s">
        <v>713</v>
      </c>
      <c r="C480" s="2" t="s">
        <v>1196</v>
      </c>
      <c r="D480" s="8">
        <v>43831</v>
      </c>
      <c r="E480" s="5" t="str">
        <f t="shared" si="86"/>
        <v>Mittelo, Jared_01-01-20</v>
      </c>
      <c r="F480" s="2" t="s">
        <v>1203</v>
      </c>
      <c r="G480" s="2" t="s">
        <v>1241</v>
      </c>
      <c r="H480" s="2" t="s">
        <v>1220</v>
      </c>
      <c r="I480" s="2" t="s">
        <v>1221</v>
      </c>
      <c r="J480" s="2" t="s">
        <v>1234</v>
      </c>
      <c r="M480" s="5" t="str">
        <f t="shared" si="77"/>
        <v>Mid</v>
      </c>
      <c r="N480" s="5" t="str">
        <f t="shared" si="78"/>
        <v>Tax-Staff-Mid</v>
      </c>
      <c r="O480" s="5" t="str">
        <f t="shared" si="79"/>
        <v>Tax-Reviewer-Mid</v>
      </c>
      <c r="P480" s="5" t="str">
        <f t="shared" si="80"/>
        <v>Tax-Signer-Mid</v>
      </c>
      <c r="Q480" s="6">
        <v>2.7401969696969677</v>
      </c>
      <c r="R480" s="6">
        <v>0.5480393939393936</v>
      </c>
      <c r="S480" s="6">
        <v>0.2740196969696968</v>
      </c>
      <c r="T480" s="7">
        <f t="shared" si="87"/>
        <v>3.562256060606058</v>
      </c>
      <c r="U480" s="6" t="e">
        <f>SUMIFS([1]Sheet1!$L:$L,[1]Sheet1!$I:$I,AJ480,[1]Sheet1!$C:$C,A480)</f>
        <v>#VALUE!</v>
      </c>
      <c r="V480" s="6"/>
      <c r="W480" s="6"/>
      <c r="X480" s="7" t="e">
        <f t="shared" si="81"/>
        <v>#VALUE!</v>
      </c>
      <c r="Y480" s="6"/>
      <c r="AJ480" s="5" t="str">
        <f t="shared" si="82"/>
        <v>NM 1040 - Personal</v>
      </c>
      <c r="AK480" s="5" t="str">
        <f t="shared" si="83"/>
        <v>NM-Tax Services-ANN-1040 - Personal_Mid</v>
      </c>
      <c r="AL480" s="5" t="str">
        <f t="shared" si="84"/>
        <v>Mittel_1890_NM 1040 - Personal</v>
      </c>
      <c r="AM480" s="5" t="str">
        <f t="shared" si="85"/>
        <v>Mittel_1890_NM-Tax Services-ANN-1040 - Personal_Mid</v>
      </c>
    </row>
    <row r="481" spans="1:39" x14ac:dyDescent="0.25">
      <c r="A481" s="2" t="s">
        <v>710</v>
      </c>
      <c r="B481" s="2" t="s">
        <v>711</v>
      </c>
      <c r="C481" s="2" t="s">
        <v>1196</v>
      </c>
      <c r="D481" s="8">
        <v>43831</v>
      </c>
      <c r="E481" s="5" t="str">
        <f t="shared" si="86"/>
        <v>Mittelo, Aaron_01-01-20</v>
      </c>
      <c r="F481" s="2" t="s">
        <v>1203</v>
      </c>
      <c r="G481" s="2" t="s">
        <v>1241</v>
      </c>
      <c r="H481" s="2" t="s">
        <v>1220</v>
      </c>
      <c r="I481" s="2" t="s">
        <v>1223</v>
      </c>
      <c r="J481" s="2" t="s">
        <v>1234</v>
      </c>
      <c r="M481" s="5" t="str">
        <f t="shared" si="77"/>
        <v>Basic</v>
      </c>
      <c r="N481" s="5" t="str">
        <f t="shared" si="78"/>
        <v>Tax-Staff-Basic</v>
      </c>
      <c r="O481" s="5" t="str">
        <f t="shared" si="79"/>
        <v>Tax-Reviewer-Basic</v>
      </c>
      <c r="P481" s="5" t="str">
        <f t="shared" si="80"/>
        <v>Tax-Signer-Basic</v>
      </c>
      <c r="Q481" s="6">
        <v>1.4675000000000016</v>
      </c>
      <c r="R481" s="6">
        <v>0.29350000000000032</v>
      </c>
      <c r="S481" s="6">
        <v>0.14675000000000016</v>
      </c>
      <c r="T481" s="7">
        <f t="shared" si="87"/>
        <v>1.9077500000000021</v>
      </c>
      <c r="U481" s="6" t="e">
        <f>SUMIFS([1]Sheet1!$L:$L,[1]Sheet1!$I:$I,AJ481,[1]Sheet1!$C:$C,A481)</f>
        <v>#VALUE!</v>
      </c>
      <c r="V481" s="6"/>
      <c r="W481" s="6"/>
      <c r="X481" s="7" t="e">
        <f t="shared" si="81"/>
        <v>#VALUE!</v>
      </c>
      <c r="Y481" s="6"/>
      <c r="AJ481" s="5" t="str">
        <f t="shared" si="82"/>
        <v>NM 1040 - Personal</v>
      </c>
      <c r="AK481" s="5" t="str">
        <f t="shared" si="83"/>
        <v>NM-Tax Services-ANN-1040 - Personal_Basic</v>
      </c>
      <c r="AL481" s="5" t="str">
        <f t="shared" si="84"/>
        <v>Mittel_4824_NM 1040 - Personal</v>
      </c>
      <c r="AM481" s="5" t="str">
        <f t="shared" si="85"/>
        <v>Mittel_4824_NM-Tax Services-ANN-1040 - Personal_Basic</v>
      </c>
    </row>
    <row r="482" spans="1:39" x14ac:dyDescent="0.25">
      <c r="A482" s="2" t="s">
        <v>952</v>
      </c>
      <c r="B482" s="2" t="s">
        <v>953</v>
      </c>
      <c r="C482" s="2" t="s">
        <v>1196</v>
      </c>
      <c r="D482" s="8">
        <v>43831</v>
      </c>
      <c r="E482" s="5" t="str">
        <f t="shared" si="86"/>
        <v>Monkey Mat, LLC_01-01-20</v>
      </c>
      <c r="F482" s="2" t="s">
        <v>1199</v>
      </c>
      <c r="G482" s="2" t="s">
        <v>1241</v>
      </c>
      <c r="H482" s="2" t="s">
        <v>1220</v>
      </c>
      <c r="I482" s="2" t="s">
        <v>1221</v>
      </c>
      <c r="J482" s="2" t="s">
        <v>1234</v>
      </c>
      <c r="M482" s="5" t="str">
        <f t="shared" si="77"/>
        <v>Mid</v>
      </c>
      <c r="N482" s="5" t="str">
        <f t="shared" si="78"/>
        <v>Tax-Staff-Mid</v>
      </c>
      <c r="O482" s="5" t="str">
        <f t="shared" si="79"/>
        <v>Tax-Reviewer-Mid</v>
      </c>
      <c r="P482" s="5" t="str">
        <f t="shared" si="80"/>
        <v>Tax-Signer-Mid</v>
      </c>
      <c r="Q482" s="6">
        <v>2.7401969696969677</v>
      </c>
      <c r="R482" s="6">
        <v>0.5480393939393936</v>
      </c>
      <c r="S482" s="6">
        <v>0.2740196969696968</v>
      </c>
      <c r="T482" s="7">
        <f t="shared" si="87"/>
        <v>3.562256060606058</v>
      </c>
      <c r="U482" s="6" t="e">
        <f>SUMIFS([1]Sheet1!$L:$L,[1]Sheet1!$I:$I,AJ482,[1]Sheet1!$C:$C,A482)</f>
        <v>#VALUE!</v>
      </c>
      <c r="V482" s="6"/>
      <c r="W482" s="6"/>
      <c r="X482" s="7" t="e">
        <f t="shared" si="81"/>
        <v>#VALUE!</v>
      </c>
      <c r="Y482" s="6"/>
      <c r="AJ482" s="5" t="str">
        <f t="shared" si="82"/>
        <v>NM 1065 - Partnership</v>
      </c>
      <c r="AK482" s="5" t="str">
        <f t="shared" si="83"/>
        <v>NM-Tax Services-ANN-1065 - Partnership_Mid</v>
      </c>
      <c r="AL482" s="5" t="str">
        <f t="shared" si="84"/>
        <v>Monkey M_1065_45-2581939_NM 1065 - Partnership</v>
      </c>
      <c r="AM482" s="5" t="str">
        <f t="shared" si="85"/>
        <v>Monkey M_1065_45-2581939_NM-Tax Services-ANN-1065 - Partnership_Mid</v>
      </c>
    </row>
    <row r="483" spans="1:39" x14ac:dyDescent="0.25">
      <c r="A483" s="2" t="s">
        <v>714</v>
      </c>
      <c r="B483" s="2" t="s">
        <v>715</v>
      </c>
      <c r="C483" s="2" t="s">
        <v>1196</v>
      </c>
      <c r="D483" s="8">
        <v>43831</v>
      </c>
      <c r="E483" s="5" t="str">
        <f t="shared" si="86"/>
        <v>Monschke, Marilyn_01-01-20</v>
      </c>
      <c r="F483" s="2" t="s">
        <v>1203</v>
      </c>
      <c r="G483" s="2" t="s">
        <v>1241</v>
      </c>
      <c r="H483" s="2" t="s">
        <v>1220</v>
      </c>
      <c r="I483" s="2" t="s">
        <v>1221</v>
      </c>
      <c r="J483" s="2" t="s">
        <v>1234</v>
      </c>
      <c r="M483" s="5" t="str">
        <f t="shared" si="77"/>
        <v>Mid</v>
      </c>
      <c r="N483" s="5" t="str">
        <f t="shared" si="78"/>
        <v>Tax-Staff-Mid</v>
      </c>
      <c r="O483" s="5" t="str">
        <f t="shared" si="79"/>
        <v>Tax-Reviewer-Mid</v>
      </c>
      <c r="P483" s="5" t="str">
        <f t="shared" si="80"/>
        <v>Tax-Signer-Mid</v>
      </c>
      <c r="Q483" s="6">
        <v>2.7401969696969677</v>
      </c>
      <c r="R483" s="6">
        <v>0.5480393939393936</v>
      </c>
      <c r="S483" s="6">
        <v>0.2740196969696968</v>
      </c>
      <c r="T483" s="7">
        <f t="shared" si="87"/>
        <v>3.562256060606058</v>
      </c>
      <c r="U483" s="6" t="e">
        <f>SUMIFS([1]Sheet1!$L:$L,[1]Sheet1!$I:$I,AJ483,[1]Sheet1!$C:$C,A483)</f>
        <v>#VALUE!</v>
      </c>
      <c r="V483" s="6"/>
      <c r="W483" s="6"/>
      <c r="X483" s="7" t="e">
        <f t="shared" si="81"/>
        <v>#VALUE!</v>
      </c>
      <c r="Y483" s="6"/>
      <c r="AJ483" s="5" t="str">
        <f t="shared" si="82"/>
        <v>NM 1040 - Personal</v>
      </c>
      <c r="AK483" s="5" t="str">
        <f t="shared" si="83"/>
        <v>NM-Tax Services-ANN-1040 - Personal_Mid</v>
      </c>
      <c r="AL483" s="5" t="str">
        <f t="shared" si="84"/>
        <v>Monsch_4820_NM 1040 - Personal</v>
      </c>
      <c r="AM483" s="5" t="str">
        <f t="shared" si="85"/>
        <v>Monsch_4820_NM-Tax Services-ANN-1040 - Personal_Mid</v>
      </c>
    </row>
    <row r="484" spans="1:39" x14ac:dyDescent="0.25">
      <c r="A484" s="2" t="s">
        <v>716</v>
      </c>
      <c r="B484" s="2" t="s">
        <v>717</v>
      </c>
      <c r="C484" s="2" t="s">
        <v>1196</v>
      </c>
      <c r="D484" s="8">
        <v>43831</v>
      </c>
      <c r="E484" s="5" t="str">
        <f t="shared" si="86"/>
        <v>Mooneyham, Bryan_01-01-20</v>
      </c>
      <c r="F484" s="2" t="s">
        <v>1203</v>
      </c>
      <c r="G484" s="2" t="s">
        <v>1241</v>
      </c>
      <c r="H484" s="2" t="s">
        <v>1220</v>
      </c>
      <c r="I484" s="2" t="s">
        <v>1223</v>
      </c>
      <c r="J484" s="2" t="s">
        <v>1234</v>
      </c>
      <c r="M484" s="5" t="str">
        <f t="shared" si="77"/>
        <v>Basic</v>
      </c>
      <c r="N484" s="5" t="str">
        <f t="shared" si="78"/>
        <v>Tax-Staff-Basic</v>
      </c>
      <c r="O484" s="5" t="str">
        <f t="shared" si="79"/>
        <v>Tax-Reviewer-Basic</v>
      </c>
      <c r="P484" s="5" t="str">
        <f t="shared" si="80"/>
        <v>Tax-Signer-Basic</v>
      </c>
      <c r="Q484" s="6">
        <v>1.4675000000000016</v>
      </c>
      <c r="R484" s="6">
        <v>0.29350000000000032</v>
      </c>
      <c r="S484" s="6">
        <v>0.14675000000000016</v>
      </c>
      <c r="T484" s="7">
        <f t="shared" si="87"/>
        <v>1.9077500000000021</v>
      </c>
      <c r="U484" s="6" t="e">
        <f>SUMIFS([1]Sheet1!$L:$L,[1]Sheet1!$I:$I,AJ484,[1]Sheet1!$C:$C,A484)</f>
        <v>#VALUE!</v>
      </c>
      <c r="V484" s="6"/>
      <c r="W484" s="6"/>
      <c r="X484" s="7" t="e">
        <f t="shared" si="81"/>
        <v>#VALUE!</v>
      </c>
      <c r="Y484" s="6"/>
      <c r="AJ484" s="5" t="str">
        <f t="shared" si="82"/>
        <v>NM 1040 - Personal</v>
      </c>
      <c r="AK484" s="5" t="str">
        <f t="shared" si="83"/>
        <v>NM-Tax Services-ANN-1040 - Personal_Basic</v>
      </c>
      <c r="AL484" s="5" t="str">
        <f t="shared" si="84"/>
        <v>Mooney_8234_NM 1040 - Personal</v>
      </c>
      <c r="AM484" s="5" t="str">
        <f t="shared" si="85"/>
        <v>Mooney_8234_NM-Tax Services-ANN-1040 - Personal_Basic</v>
      </c>
    </row>
    <row r="485" spans="1:39" x14ac:dyDescent="0.25">
      <c r="A485" s="2" t="s">
        <v>1030</v>
      </c>
      <c r="B485" s="2" t="s">
        <v>1031</v>
      </c>
      <c r="C485" s="2" t="s">
        <v>1196</v>
      </c>
      <c r="D485" s="8">
        <v>43831</v>
      </c>
      <c r="E485" s="5" t="str">
        <f t="shared" si="86"/>
        <v>Morrison, Maxwell_01-01-20</v>
      </c>
      <c r="F485" s="2" t="s">
        <v>1203</v>
      </c>
      <c r="G485" s="2" t="s">
        <v>1241</v>
      </c>
      <c r="H485" s="2" t="s">
        <v>1220</v>
      </c>
      <c r="I485" s="2" t="s">
        <v>1223</v>
      </c>
      <c r="J485" s="2" t="s">
        <v>1234</v>
      </c>
      <c r="M485" s="5" t="str">
        <f t="shared" si="77"/>
        <v>Basic</v>
      </c>
      <c r="N485" s="5" t="str">
        <f t="shared" si="78"/>
        <v>Tax-Staff-Basic</v>
      </c>
      <c r="O485" s="5" t="str">
        <f t="shared" si="79"/>
        <v>Tax-Reviewer-Basic</v>
      </c>
      <c r="P485" s="5" t="str">
        <f t="shared" si="80"/>
        <v>Tax-Signer-Basic</v>
      </c>
      <c r="Q485" s="6">
        <v>1.4675000000000016</v>
      </c>
      <c r="R485" s="6">
        <v>0.29350000000000032</v>
      </c>
      <c r="S485" s="6">
        <v>0.14675000000000016</v>
      </c>
      <c r="T485" s="7">
        <f t="shared" si="87"/>
        <v>1.9077500000000021</v>
      </c>
      <c r="U485" s="6" t="e">
        <f>SUMIFS([1]Sheet1!$L:$L,[1]Sheet1!$I:$I,AJ485,[1]Sheet1!$C:$C,A485)</f>
        <v>#VALUE!</v>
      </c>
      <c r="V485" s="6"/>
      <c r="W485" s="6"/>
      <c r="X485" s="7" t="e">
        <f t="shared" si="81"/>
        <v>#VALUE!</v>
      </c>
      <c r="Y485" s="6"/>
      <c r="AJ485" s="5" t="str">
        <f t="shared" si="82"/>
        <v>NM 1040 - Personal</v>
      </c>
      <c r="AK485" s="5" t="str">
        <f t="shared" si="83"/>
        <v>NM-Tax Services-ANN-1040 - Personal_Basic</v>
      </c>
      <c r="AL485" s="5" t="str">
        <f t="shared" si="84"/>
        <v>Morris_1_NM 1040 - Personal</v>
      </c>
      <c r="AM485" s="5" t="str">
        <f t="shared" si="85"/>
        <v>Morris_1_NM-Tax Services-ANN-1040 - Personal_Basic</v>
      </c>
    </row>
    <row r="486" spans="1:39" x14ac:dyDescent="0.25">
      <c r="A486" s="2" t="s">
        <v>718</v>
      </c>
      <c r="B486" s="2" t="s">
        <v>719</v>
      </c>
      <c r="C486" s="2" t="s">
        <v>1196</v>
      </c>
      <c r="D486" s="8">
        <v>43831</v>
      </c>
      <c r="E486" s="5" t="str">
        <f t="shared" si="86"/>
        <v>Mountain, Timothy B &amp; Jennafer_01-01-20</v>
      </c>
      <c r="F486" s="2" t="s">
        <v>1203</v>
      </c>
      <c r="G486" s="2" t="s">
        <v>1241</v>
      </c>
      <c r="H486" s="2" t="s">
        <v>1220</v>
      </c>
      <c r="I486" s="2" t="s">
        <v>1221</v>
      </c>
      <c r="J486" s="2" t="s">
        <v>1234</v>
      </c>
      <c r="M486" s="5" t="str">
        <f t="shared" si="77"/>
        <v>Mid</v>
      </c>
      <c r="N486" s="5" t="str">
        <f t="shared" si="78"/>
        <v>Tax-Staff-Mid</v>
      </c>
      <c r="O486" s="5" t="str">
        <f t="shared" si="79"/>
        <v>Tax-Reviewer-Mid</v>
      </c>
      <c r="P486" s="5" t="str">
        <f t="shared" si="80"/>
        <v>Tax-Signer-Mid</v>
      </c>
      <c r="Q486" s="6">
        <v>2.7401969696969677</v>
      </c>
      <c r="R486" s="6">
        <v>0.5480393939393936</v>
      </c>
      <c r="S486" s="6">
        <v>0.2740196969696968</v>
      </c>
      <c r="T486" s="7">
        <f t="shared" si="87"/>
        <v>3.562256060606058</v>
      </c>
      <c r="U486" s="6" t="e">
        <f>SUMIFS([1]Sheet1!$L:$L,[1]Sheet1!$I:$I,AJ486,[1]Sheet1!$C:$C,A486)</f>
        <v>#VALUE!</v>
      </c>
      <c r="V486" s="6"/>
      <c r="W486" s="6"/>
      <c r="X486" s="7" t="e">
        <f t="shared" si="81"/>
        <v>#VALUE!</v>
      </c>
      <c r="Y486" s="6"/>
      <c r="AJ486" s="5" t="str">
        <f t="shared" si="82"/>
        <v>NM 1040 - Personal</v>
      </c>
      <c r="AK486" s="5" t="str">
        <f t="shared" si="83"/>
        <v>NM-Tax Services-ANN-1040 - Personal_Mid</v>
      </c>
      <c r="AL486" s="5" t="str">
        <f t="shared" si="84"/>
        <v>Mounta_9832_NM 1040 - Personal</v>
      </c>
      <c r="AM486" s="5" t="str">
        <f t="shared" si="85"/>
        <v>Mounta_9832_NM-Tax Services-ANN-1040 - Personal_Mid</v>
      </c>
    </row>
    <row r="487" spans="1:39" x14ac:dyDescent="0.25">
      <c r="A487" s="2" t="s">
        <v>720</v>
      </c>
      <c r="B487" s="2" t="s">
        <v>721</v>
      </c>
      <c r="C487" s="2" t="s">
        <v>1196</v>
      </c>
      <c r="D487" s="8">
        <v>43831</v>
      </c>
      <c r="E487" s="5" t="str">
        <f t="shared" si="86"/>
        <v>Mueller, Jens &amp; Anette_01-01-20</v>
      </c>
      <c r="F487" s="2" t="s">
        <v>1203</v>
      </c>
      <c r="G487" s="2" t="s">
        <v>1241</v>
      </c>
      <c r="H487" s="2" t="s">
        <v>1220</v>
      </c>
      <c r="I487" s="2" t="s">
        <v>1223</v>
      </c>
      <c r="J487" s="2" t="s">
        <v>1234</v>
      </c>
      <c r="M487" s="5" t="str">
        <f t="shared" si="77"/>
        <v>Basic</v>
      </c>
      <c r="N487" s="5" t="str">
        <f t="shared" si="78"/>
        <v>Tax-Staff-Basic</v>
      </c>
      <c r="O487" s="5" t="str">
        <f t="shared" si="79"/>
        <v>Tax-Reviewer-Basic</v>
      </c>
      <c r="P487" s="5" t="str">
        <f t="shared" si="80"/>
        <v>Tax-Signer-Basic</v>
      </c>
      <c r="Q487" s="6">
        <v>1.4675000000000016</v>
      </c>
      <c r="R487" s="6">
        <v>0.29350000000000032</v>
      </c>
      <c r="S487" s="6">
        <v>0.14675000000000016</v>
      </c>
      <c r="T487" s="7">
        <f t="shared" si="87"/>
        <v>1.9077500000000021</v>
      </c>
      <c r="U487" s="6" t="e">
        <f>SUMIFS([1]Sheet1!$L:$L,[1]Sheet1!$I:$I,AJ487,[1]Sheet1!$C:$C,A487)</f>
        <v>#VALUE!</v>
      </c>
      <c r="V487" s="6"/>
      <c r="W487" s="6"/>
      <c r="X487" s="7" t="e">
        <f t="shared" si="81"/>
        <v>#VALUE!</v>
      </c>
      <c r="Y487" s="6"/>
      <c r="AJ487" s="5" t="str">
        <f t="shared" si="82"/>
        <v>NM 1040 - Personal</v>
      </c>
      <c r="AK487" s="5" t="str">
        <f t="shared" si="83"/>
        <v>NM-Tax Services-ANN-1040 - Personal_Basic</v>
      </c>
      <c r="AL487" s="5" t="str">
        <f t="shared" si="84"/>
        <v>Muelle_7636_NM 1040 - Personal</v>
      </c>
      <c r="AM487" s="5" t="str">
        <f t="shared" si="85"/>
        <v>Muelle_7636_NM-Tax Services-ANN-1040 - Personal_Basic</v>
      </c>
    </row>
    <row r="488" spans="1:39" x14ac:dyDescent="0.25">
      <c r="A488" s="2" t="s">
        <v>722</v>
      </c>
      <c r="B488" s="2" t="s">
        <v>723</v>
      </c>
      <c r="C488" s="2" t="s">
        <v>1196</v>
      </c>
      <c r="D488" s="8">
        <v>43831</v>
      </c>
      <c r="E488" s="5" t="str">
        <f t="shared" si="86"/>
        <v>Muniz Juan_01-01-20</v>
      </c>
      <c r="F488" s="2" t="s">
        <v>1203</v>
      </c>
      <c r="G488" s="2" t="s">
        <v>1241</v>
      </c>
      <c r="H488" s="2" t="s">
        <v>1220</v>
      </c>
      <c r="I488" s="2" t="s">
        <v>1221</v>
      </c>
      <c r="J488" s="2" t="s">
        <v>1234</v>
      </c>
      <c r="M488" s="5" t="str">
        <f t="shared" si="77"/>
        <v>Mid</v>
      </c>
      <c r="N488" s="5" t="str">
        <f t="shared" si="78"/>
        <v>Tax-Staff-Mid</v>
      </c>
      <c r="O488" s="5" t="str">
        <f t="shared" si="79"/>
        <v>Tax-Reviewer-Mid</v>
      </c>
      <c r="P488" s="5" t="str">
        <f t="shared" si="80"/>
        <v>Tax-Signer-Mid</v>
      </c>
      <c r="Q488" s="6">
        <v>2.7401969696969677</v>
      </c>
      <c r="R488" s="6">
        <v>0.5480393939393936</v>
      </c>
      <c r="S488" s="6">
        <v>0.2740196969696968</v>
      </c>
      <c r="T488" s="7">
        <f t="shared" si="87"/>
        <v>3.562256060606058</v>
      </c>
      <c r="U488" s="6" t="e">
        <f>SUMIFS([1]Sheet1!$L:$L,[1]Sheet1!$I:$I,AJ488,[1]Sheet1!$C:$C,A488)</f>
        <v>#VALUE!</v>
      </c>
      <c r="V488" s="6"/>
      <c r="W488" s="6"/>
      <c r="X488" s="7" t="e">
        <f t="shared" si="81"/>
        <v>#VALUE!</v>
      </c>
      <c r="Y488" s="6"/>
      <c r="AJ488" s="5" t="str">
        <f t="shared" si="82"/>
        <v>NM 1040 - Personal</v>
      </c>
      <c r="AK488" s="5" t="str">
        <f t="shared" si="83"/>
        <v>NM-Tax Services-ANN-1040 - Personal_Mid</v>
      </c>
      <c r="AL488" s="5" t="str">
        <f t="shared" si="84"/>
        <v>Muniz _4859_NM 1040 - Personal</v>
      </c>
      <c r="AM488" s="5" t="str">
        <f t="shared" si="85"/>
        <v>Muniz _4859_NM-Tax Services-ANN-1040 - Personal_Mid</v>
      </c>
    </row>
    <row r="489" spans="1:39" x14ac:dyDescent="0.25">
      <c r="A489" s="2" t="s">
        <v>379</v>
      </c>
      <c r="B489" s="2" t="s">
        <v>380</v>
      </c>
      <c r="C489" s="2" t="s">
        <v>1196</v>
      </c>
      <c r="D489" s="8">
        <v>43831</v>
      </c>
      <c r="E489" s="5" t="str">
        <f t="shared" si="86"/>
        <v>NAQ Enterprises, LLC_01-01-20</v>
      </c>
      <c r="F489" s="2" t="s">
        <v>1199</v>
      </c>
      <c r="G489" s="2" t="s">
        <v>1241</v>
      </c>
      <c r="H489" s="2" t="s">
        <v>1220</v>
      </c>
      <c r="I489" s="2" t="s">
        <v>1221</v>
      </c>
      <c r="J489" s="2" t="s">
        <v>1234</v>
      </c>
      <c r="M489" s="5" t="str">
        <f t="shared" si="77"/>
        <v>Mid</v>
      </c>
      <c r="N489" s="5" t="str">
        <f t="shared" si="78"/>
        <v>Tax-Staff-Mid</v>
      </c>
      <c r="O489" s="5" t="str">
        <f t="shared" si="79"/>
        <v>Tax-Reviewer-Mid</v>
      </c>
      <c r="P489" s="5" t="str">
        <f t="shared" si="80"/>
        <v>Tax-Signer-Mid</v>
      </c>
      <c r="Q489" s="6">
        <v>2.7401969696969677</v>
      </c>
      <c r="R489" s="6">
        <v>0.5480393939393936</v>
      </c>
      <c r="S489" s="6">
        <v>0.2740196969696968</v>
      </c>
      <c r="T489" s="7">
        <f t="shared" si="87"/>
        <v>3.562256060606058</v>
      </c>
      <c r="U489" s="6" t="e">
        <f>SUMIFS([1]Sheet1!$L:$L,[1]Sheet1!$I:$I,AJ489,[1]Sheet1!$C:$C,A489)</f>
        <v>#VALUE!</v>
      </c>
      <c r="V489" s="6"/>
      <c r="W489" s="6"/>
      <c r="X489" s="7" t="e">
        <f t="shared" si="81"/>
        <v>#VALUE!</v>
      </c>
      <c r="Y489" s="6"/>
      <c r="AJ489" s="5" t="str">
        <f t="shared" si="82"/>
        <v>NM 1065 - Partnership</v>
      </c>
      <c r="AK489" s="5" t="str">
        <f t="shared" si="83"/>
        <v>NM-Tax Services-ANN-1065 - Partnership_Mid</v>
      </c>
      <c r="AL489" s="5" t="str">
        <f t="shared" si="84"/>
        <v>NAQ Ente_1065_83-1440696_NM 1065 - Partnership</v>
      </c>
      <c r="AM489" s="5" t="str">
        <f t="shared" si="85"/>
        <v>NAQ Ente_1065_83-1440696_NM-Tax Services-ANN-1065 - Partnership_Mid</v>
      </c>
    </row>
    <row r="490" spans="1:39" x14ac:dyDescent="0.25">
      <c r="A490" s="2" t="s">
        <v>726</v>
      </c>
      <c r="B490" s="2" t="s">
        <v>727</v>
      </c>
      <c r="C490" s="2" t="s">
        <v>1196</v>
      </c>
      <c r="D490" s="8">
        <v>43831</v>
      </c>
      <c r="E490" s="5" t="str">
        <f t="shared" si="86"/>
        <v>Neargarder, Elizabeth_01-01-20</v>
      </c>
      <c r="F490" s="2" t="s">
        <v>1203</v>
      </c>
      <c r="G490" s="2" t="s">
        <v>1241</v>
      </c>
      <c r="H490" s="2" t="s">
        <v>1220</v>
      </c>
      <c r="I490" s="2" t="s">
        <v>1223</v>
      </c>
      <c r="J490" s="2" t="s">
        <v>1234</v>
      </c>
      <c r="M490" s="5" t="str">
        <f t="shared" si="77"/>
        <v>Basic</v>
      </c>
      <c r="N490" s="5" t="str">
        <f t="shared" si="78"/>
        <v>Tax-Staff-Basic</v>
      </c>
      <c r="O490" s="5" t="str">
        <f t="shared" si="79"/>
        <v>Tax-Reviewer-Basic</v>
      </c>
      <c r="P490" s="5" t="str">
        <f t="shared" si="80"/>
        <v>Tax-Signer-Basic</v>
      </c>
      <c r="Q490" s="6">
        <v>1.4675000000000016</v>
      </c>
      <c r="R490" s="6">
        <v>0.29350000000000032</v>
      </c>
      <c r="S490" s="6">
        <v>0.14675000000000016</v>
      </c>
      <c r="T490" s="7">
        <f t="shared" si="87"/>
        <v>1.9077500000000021</v>
      </c>
      <c r="U490" s="6" t="e">
        <f>SUMIFS([1]Sheet1!$L:$L,[1]Sheet1!$I:$I,AJ490,[1]Sheet1!$C:$C,A490)</f>
        <v>#VALUE!</v>
      </c>
      <c r="V490" s="6"/>
      <c r="W490" s="6"/>
      <c r="X490" s="7" t="e">
        <f t="shared" si="81"/>
        <v>#VALUE!</v>
      </c>
      <c r="Y490" s="6"/>
      <c r="AJ490" s="5" t="str">
        <f t="shared" si="82"/>
        <v>NM 1040 - Personal</v>
      </c>
      <c r="AK490" s="5" t="str">
        <f t="shared" si="83"/>
        <v>NM-Tax Services-ANN-1040 - Personal_Basic</v>
      </c>
      <c r="AL490" s="5" t="str">
        <f t="shared" si="84"/>
        <v>Nearga_6853_NM 1040 - Personal</v>
      </c>
      <c r="AM490" s="5" t="str">
        <f t="shared" si="85"/>
        <v>Nearga_6853_NM-Tax Services-ANN-1040 - Personal_Basic</v>
      </c>
    </row>
    <row r="491" spans="1:39" x14ac:dyDescent="0.25">
      <c r="A491" s="2" t="s">
        <v>728</v>
      </c>
      <c r="B491" s="2" t="s">
        <v>729</v>
      </c>
      <c r="C491" s="2" t="s">
        <v>1196</v>
      </c>
      <c r="D491" s="8">
        <v>43831</v>
      </c>
      <c r="E491" s="5" t="str">
        <f t="shared" si="86"/>
        <v>Ngo, Minh Trang T_01-01-20</v>
      </c>
      <c r="F491" s="2" t="s">
        <v>1203</v>
      </c>
      <c r="G491" s="2" t="s">
        <v>1241</v>
      </c>
      <c r="H491" s="2" t="s">
        <v>1220</v>
      </c>
      <c r="I491" s="2" t="s">
        <v>1222</v>
      </c>
      <c r="J491" s="2" t="s">
        <v>1234</v>
      </c>
      <c r="M491" s="5" t="str">
        <f t="shared" si="77"/>
        <v>Adv</v>
      </c>
      <c r="N491" s="5" t="str">
        <f t="shared" si="78"/>
        <v>Tax-Staff-Adv</v>
      </c>
      <c r="O491" s="5" t="str">
        <f t="shared" si="79"/>
        <v>Tax-Reviewer-Adv</v>
      </c>
      <c r="P491" s="5" t="str">
        <f t="shared" si="80"/>
        <v>Tax-Signer-Adv</v>
      </c>
      <c r="Q491" s="6">
        <v>4.5832500000000005</v>
      </c>
      <c r="R491" s="6">
        <v>0.91665000000000019</v>
      </c>
      <c r="S491" s="6">
        <v>0.45832500000000009</v>
      </c>
      <c r="T491" s="7">
        <f t="shared" si="87"/>
        <v>5.9582250000000005</v>
      </c>
      <c r="U491" s="6" t="e">
        <f>SUMIFS([1]Sheet1!$L:$L,[1]Sheet1!$I:$I,AJ491,[1]Sheet1!$C:$C,A491)</f>
        <v>#VALUE!</v>
      </c>
      <c r="V491" s="6"/>
      <c r="W491" s="6"/>
      <c r="X491" s="7" t="e">
        <f t="shared" si="81"/>
        <v>#VALUE!</v>
      </c>
      <c r="Y491" s="6"/>
      <c r="AJ491" s="5" t="str">
        <f t="shared" si="82"/>
        <v>NM 1040 - Personal</v>
      </c>
      <c r="AK491" s="5" t="str">
        <f t="shared" si="83"/>
        <v>NM-Tax Services-ANN-1040 - Personal_Adv</v>
      </c>
      <c r="AL491" s="5" t="str">
        <f t="shared" si="84"/>
        <v>Ngo, M_6608_NM 1040 - Personal</v>
      </c>
      <c r="AM491" s="5" t="str">
        <f t="shared" si="85"/>
        <v>Ngo, M_6608_NM-Tax Services-ANN-1040 - Personal_Adv</v>
      </c>
    </row>
    <row r="492" spans="1:39" x14ac:dyDescent="0.25">
      <c r="A492" s="2" t="s">
        <v>736</v>
      </c>
      <c r="B492" s="2" t="s">
        <v>737</v>
      </c>
      <c r="C492" s="2" t="s">
        <v>1196</v>
      </c>
      <c r="D492" s="8">
        <v>43831</v>
      </c>
      <c r="E492" s="5" t="str">
        <f t="shared" si="86"/>
        <v>Nguyen, VY Anh Hoang_01-01-20</v>
      </c>
      <c r="F492" s="2" t="s">
        <v>1203</v>
      </c>
      <c r="G492" s="2" t="s">
        <v>1241</v>
      </c>
      <c r="H492" s="2" t="s">
        <v>1220</v>
      </c>
      <c r="I492" s="2" t="s">
        <v>1222</v>
      </c>
      <c r="J492" s="2" t="s">
        <v>1234</v>
      </c>
      <c r="M492" s="5" t="str">
        <f t="shared" si="77"/>
        <v>Adv</v>
      </c>
      <c r="N492" s="5" t="str">
        <f t="shared" si="78"/>
        <v>Tax-Staff-Adv</v>
      </c>
      <c r="O492" s="5" t="str">
        <f t="shared" si="79"/>
        <v>Tax-Reviewer-Adv</v>
      </c>
      <c r="P492" s="5" t="str">
        <f t="shared" si="80"/>
        <v>Tax-Signer-Adv</v>
      </c>
      <c r="Q492" s="6">
        <v>4.5832500000000005</v>
      </c>
      <c r="R492" s="6">
        <v>0.91665000000000019</v>
      </c>
      <c r="S492" s="6">
        <v>0.45832500000000009</v>
      </c>
      <c r="T492" s="7">
        <f t="shared" si="87"/>
        <v>5.9582250000000005</v>
      </c>
      <c r="U492" s="6" t="e">
        <f>SUMIFS([1]Sheet1!$L:$L,[1]Sheet1!$I:$I,AJ492,[1]Sheet1!$C:$C,A492)</f>
        <v>#VALUE!</v>
      </c>
      <c r="V492" s="6"/>
      <c r="W492" s="6"/>
      <c r="X492" s="7" t="e">
        <f t="shared" si="81"/>
        <v>#VALUE!</v>
      </c>
      <c r="Y492" s="6"/>
      <c r="AJ492" s="5" t="str">
        <f t="shared" si="82"/>
        <v>NM 1040 - Personal</v>
      </c>
      <c r="AK492" s="5" t="str">
        <f t="shared" si="83"/>
        <v>NM-Tax Services-ANN-1040 - Personal_Adv</v>
      </c>
      <c r="AL492" s="5" t="str">
        <f t="shared" si="84"/>
        <v>Nguyen_0593_NM 1040 - Personal</v>
      </c>
      <c r="AM492" s="5" t="str">
        <f t="shared" si="85"/>
        <v>Nguyen_0593_NM-Tax Services-ANN-1040 - Personal_Adv</v>
      </c>
    </row>
    <row r="493" spans="1:39" x14ac:dyDescent="0.25">
      <c r="A493" s="2" t="s">
        <v>846</v>
      </c>
      <c r="B493" s="2" t="s">
        <v>847</v>
      </c>
      <c r="C493" s="2" t="s">
        <v>1197</v>
      </c>
      <c r="D493" s="8">
        <v>43831</v>
      </c>
      <c r="E493" s="5" t="str">
        <f t="shared" si="86"/>
        <v>Nguyen, Kenneth_01-01-20</v>
      </c>
      <c r="F493" s="2" t="s">
        <v>1203</v>
      </c>
      <c r="G493" s="2" t="s">
        <v>1241</v>
      </c>
      <c r="H493" s="2" t="s">
        <v>1220</v>
      </c>
      <c r="I493" s="2" t="s">
        <v>1221</v>
      </c>
      <c r="J493" s="2" t="s">
        <v>1234</v>
      </c>
      <c r="M493" s="5" t="str">
        <f t="shared" si="77"/>
        <v>Mid</v>
      </c>
      <c r="N493" s="5" t="str">
        <f t="shared" si="78"/>
        <v>Tax-Staff-Mid</v>
      </c>
      <c r="O493" s="5" t="str">
        <f t="shared" si="79"/>
        <v>Tax-Reviewer-Mid</v>
      </c>
      <c r="P493" s="5" t="str">
        <f t="shared" si="80"/>
        <v>Tax-Signer-Mid</v>
      </c>
      <c r="Q493" s="6">
        <v>2.7401969696969677</v>
      </c>
      <c r="R493" s="6">
        <v>0.5480393939393936</v>
      </c>
      <c r="S493" s="6">
        <v>0.2740196969696968</v>
      </c>
      <c r="T493" s="7">
        <f t="shared" si="87"/>
        <v>3.562256060606058</v>
      </c>
      <c r="U493" s="6" t="e">
        <f>SUMIFS([1]Sheet1!$L:$L,[1]Sheet1!$I:$I,AJ493,[1]Sheet1!$C:$C,A493)</f>
        <v>#VALUE!</v>
      </c>
      <c r="V493" s="6"/>
      <c r="W493" s="6"/>
      <c r="X493" s="7" t="e">
        <f t="shared" si="81"/>
        <v>#VALUE!</v>
      </c>
      <c r="Y493" s="6"/>
      <c r="AJ493" s="5" t="str">
        <f t="shared" si="82"/>
        <v>MO 1040 - Personal</v>
      </c>
      <c r="AK493" s="5" t="str">
        <f t="shared" si="83"/>
        <v>MO-Tax Services-ANN-1040 - Personal_Mid</v>
      </c>
      <c r="AL493" s="5" t="str">
        <f t="shared" si="84"/>
        <v>Nguyen_1580_MO 1040 - Personal</v>
      </c>
      <c r="AM493" s="5" t="str">
        <f t="shared" si="85"/>
        <v>Nguyen_1580_MO-Tax Services-ANN-1040 - Personal_Mid</v>
      </c>
    </row>
    <row r="494" spans="1:39" x14ac:dyDescent="0.25">
      <c r="A494" s="2" t="s">
        <v>732</v>
      </c>
      <c r="B494" s="2" t="s">
        <v>733</v>
      </c>
      <c r="C494" s="2" t="s">
        <v>1196</v>
      </c>
      <c r="D494" s="8">
        <v>43831</v>
      </c>
      <c r="E494" s="5" t="str">
        <f t="shared" si="86"/>
        <v>Nguyen, (Tuan) Quoctuan &amp; Ngoc_01-01-20</v>
      </c>
      <c r="F494" s="2" t="s">
        <v>1203</v>
      </c>
      <c r="G494" s="2" t="s">
        <v>1241</v>
      </c>
      <c r="H494" s="2" t="s">
        <v>1220</v>
      </c>
      <c r="I494" s="2" t="s">
        <v>1223</v>
      </c>
      <c r="J494" s="2" t="s">
        <v>1234</v>
      </c>
      <c r="M494" s="5" t="str">
        <f t="shared" si="77"/>
        <v>Basic</v>
      </c>
      <c r="N494" s="5" t="str">
        <f t="shared" si="78"/>
        <v>Tax-Staff-Basic</v>
      </c>
      <c r="O494" s="5" t="str">
        <f t="shared" si="79"/>
        <v>Tax-Reviewer-Basic</v>
      </c>
      <c r="P494" s="5" t="str">
        <f t="shared" si="80"/>
        <v>Tax-Signer-Basic</v>
      </c>
      <c r="Q494" s="6">
        <v>1.4675000000000016</v>
      </c>
      <c r="R494" s="6">
        <v>0.29350000000000032</v>
      </c>
      <c r="S494" s="6">
        <v>0.14675000000000016</v>
      </c>
      <c r="T494" s="7">
        <f t="shared" si="87"/>
        <v>1.9077500000000021</v>
      </c>
      <c r="U494" s="6" t="e">
        <f>SUMIFS([1]Sheet1!$L:$L,[1]Sheet1!$I:$I,AJ494,[1]Sheet1!$C:$C,A494)</f>
        <v>#VALUE!</v>
      </c>
      <c r="V494" s="6"/>
      <c r="W494" s="6"/>
      <c r="X494" s="7" t="e">
        <f t="shared" si="81"/>
        <v>#VALUE!</v>
      </c>
      <c r="Y494" s="6"/>
      <c r="AJ494" s="5" t="str">
        <f t="shared" si="82"/>
        <v>NM 1040 - Personal</v>
      </c>
      <c r="AK494" s="5" t="str">
        <f t="shared" si="83"/>
        <v>NM-Tax Services-ANN-1040 - Personal_Basic</v>
      </c>
      <c r="AL494" s="5" t="str">
        <f t="shared" si="84"/>
        <v>Nguyen_3145_NM 1040 - Personal</v>
      </c>
      <c r="AM494" s="5" t="str">
        <f t="shared" si="85"/>
        <v>Nguyen_3145_NM-Tax Services-ANN-1040 - Personal_Basic</v>
      </c>
    </row>
    <row r="495" spans="1:39" x14ac:dyDescent="0.25">
      <c r="A495" s="2" t="s">
        <v>734</v>
      </c>
      <c r="B495" s="2" t="s">
        <v>735</v>
      </c>
      <c r="C495" s="2" t="s">
        <v>1196</v>
      </c>
      <c r="D495" s="8">
        <v>43831</v>
      </c>
      <c r="E495" s="5" t="str">
        <f t="shared" si="86"/>
        <v>Nguyen, VY_01-01-20</v>
      </c>
      <c r="F495" s="2" t="s">
        <v>1203</v>
      </c>
      <c r="G495" s="2" t="s">
        <v>1241</v>
      </c>
      <c r="H495" s="2" t="s">
        <v>1220</v>
      </c>
      <c r="I495" s="2" t="s">
        <v>1222</v>
      </c>
      <c r="J495" s="2" t="s">
        <v>1234</v>
      </c>
      <c r="M495" s="5" t="str">
        <f t="shared" si="77"/>
        <v>Adv</v>
      </c>
      <c r="N495" s="5" t="str">
        <f t="shared" si="78"/>
        <v>Tax-Staff-Adv</v>
      </c>
      <c r="O495" s="5" t="str">
        <f t="shared" si="79"/>
        <v>Tax-Reviewer-Adv</v>
      </c>
      <c r="P495" s="5" t="str">
        <f t="shared" si="80"/>
        <v>Tax-Signer-Adv</v>
      </c>
      <c r="Q495" s="6">
        <v>4.5832500000000005</v>
      </c>
      <c r="R495" s="6">
        <v>0.91665000000000019</v>
      </c>
      <c r="S495" s="6">
        <v>0.45832500000000009</v>
      </c>
      <c r="T495" s="7">
        <f t="shared" si="87"/>
        <v>5.9582250000000005</v>
      </c>
      <c r="U495" s="6" t="e">
        <f>SUMIFS([1]Sheet1!$L:$L,[1]Sheet1!$I:$I,AJ495,[1]Sheet1!$C:$C,A495)</f>
        <v>#VALUE!</v>
      </c>
      <c r="V495" s="6"/>
      <c r="W495" s="6"/>
      <c r="X495" s="7" t="e">
        <f t="shared" si="81"/>
        <v>#VALUE!</v>
      </c>
      <c r="Y495" s="6"/>
      <c r="AJ495" s="5" t="str">
        <f t="shared" si="82"/>
        <v>NM 1040 - Personal</v>
      </c>
      <c r="AK495" s="5" t="str">
        <f t="shared" si="83"/>
        <v>NM-Tax Services-ANN-1040 - Personal_Adv</v>
      </c>
      <c r="AL495" s="5" t="str">
        <f t="shared" si="84"/>
        <v>Nguyen_7401_NM 1040 - Personal</v>
      </c>
      <c r="AM495" s="5" t="str">
        <f t="shared" si="85"/>
        <v>Nguyen_7401_NM-Tax Services-ANN-1040 - Personal_Adv</v>
      </c>
    </row>
    <row r="496" spans="1:39" x14ac:dyDescent="0.25">
      <c r="A496" s="2" t="s">
        <v>848</v>
      </c>
      <c r="B496" s="2" t="s">
        <v>849</v>
      </c>
      <c r="C496" s="2" t="s">
        <v>1197</v>
      </c>
      <c r="D496" s="8">
        <v>43831</v>
      </c>
      <c r="E496" s="5" t="str">
        <f t="shared" si="86"/>
        <v>Nguyen, Tin Tin_01-01-20</v>
      </c>
      <c r="F496" s="2" t="s">
        <v>1203</v>
      </c>
      <c r="G496" s="2" t="s">
        <v>1241</v>
      </c>
      <c r="H496" s="2" t="s">
        <v>1220</v>
      </c>
      <c r="I496" s="2" t="s">
        <v>1223</v>
      </c>
      <c r="J496" s="2" t="s">
        <v>1234</v>
      </c>
      <c r="M496" s="5" t="str">
        <f t="shared" si="77"/>
        <v>Basic</v>
      </c>
      <c r="N496" s="5" t="str">
        <f t="shared" si="78"/>
        <v>Tax-Staff-Basic</v>
      </c>
      <c r="O496" s="5" t="str">
        <f t="shared" si="79"/>
        <v>Tax-Reviewer-Basic</v>
      </c>
      <c r="P496" s="5" t="str">
        <f t="shared" si="80"/>
        <v>Tax-Signer-Basic</v>
      </c>
      <c r="Q496" s="6">
        <v>1.4675000000000016</v>
      </c>
      <c r="R496" s="6">
        <v>0.29350000000000032</v>
      </c>
      <c r="S496" s="6">
        <v>0.14675000000000016</v>
      </c>
      <c r="T496" s="7">
        <f t="shared" si="87"/>
        <v>1.9077500000000021</v>
      </c>
      <c r="U496" s="6" t="e">
        <f>SUMIFS([1]Sheet1!$L:$L,[1]Sheet1!$I:$I,AJ496,[1]Sheet1!$C:$C,A496)</f>
        <v>#VALUE!</v>
      </c>
      <c r="V496" s="6"/>
      <c r="W496" s="6"/>
      <c r="X496" s="7" t="e">
        <f t="shared" si="81"/>
        <v>#VALUE!</v>
      </c>
      <c r="Y496" s="6"/>
      <c r="AJ496" s="5" t="str">
        <f t="shared" si="82"/>
        <v>MO 1040 - Personal</v>
      </c>
      <c r="AK496" s="5" t="str">
        <f t="shared" si="83"/>
        <v>MO-Tax Services-ANN-1040 - Personal_Basic</v>
      </c>
      <c r="AL496" s="5" t="str">
        <f t="shared" si="84"/>
        <v>Nguyen_8776_MO 1040 - Personal</v>
      </c>
      <c r="AM496" s="5" t="str">
        <f t="shared" si="85"/>
        <v>Nguyen_8776_MO-Tax Services-ANN-1040 - Personal_Basic</v>
      </c>
    </row>
    <row r="497" spans="1:39" x14ac:dyDescent="0.25">
      <c r="A497" s="2" t="s">
        <v>730</v>
      </c>
      <c r="B497" s="2" t="s">
        <v>731</v>
      </c>
      <c r="C497" s="2" t="s">
        <v>1196</v>
      </c>
      <c r="D497" s="8">
        <v>43831</v>
      </c>
      <c r="E497" s="5" t="str">
        <f t="shared" si="86"/>
        <v>Nguyen, Raymond_01-01-20</v>
      </c>
      <c r="F497" s="2" t="s">
        <v>1203</v>
      </c>
      <c r="G497" s="2" t="s">
        <v>1241</v>
      </c>
      <c r="H497" s="2" t="s">
        <v>1220</v>
      </c>
      <c r="I497" s="2" t="s">
        <v>1222</v>
      </c>
      <c r="J497" s="2" t="s">
        <v>1234</v>
      </c>
      <c r="M497" s="5" t="str">
        <f t="shared" si="77"/>
        <v>Adv</v>
      </c>
      <c r="N497" s="5" t="str">
        <f t="shared" si="78"/>
        <v>Tax-Staff-Adv</v>
      </c>
      <c r="O497" s="5" t="str">
        <f t="shared" si="79"/>
        <v>Tax-Reviewer-Adv</v>
      </c>
      <c r="P497" s="5" t="str">
        <f t="shared" si="80"/>
        <v>Tax-Signer-Adv</v>
      </c>
      <c r="Q497" s="6">
        <v>4.5832500000000005</v>
      </c>
      <c r="R497" s="6">
        <v>0.91665000000000019</v>
      </c>
      <c r="S497" s="6">
        <v>0.45832500000000009</v>
      </c>
      <c r="T497" s="7">
        <f t="shared" si="87"/>
        <v>5.9582250000000005</v>
      </c>
      <c r="U497" s="6" t="e">
        <f>SUMIFS([1]Sheet1!$L:$L,[1]Sheet1!$I:$I,AJ497,[1]Sheet1!$C:$C,A497)</f>
        <v>#VALUE!</v>
      </c>
      <c r="V497" s="6"/>
      <c r="W497" s="6"/>
      <c r="X497" s="7" t="e">
        <f t="shared" si="81"/>
        <v>#VALUE!</v>
      </c>
      <c r="Y497" s="6"/>
      <c r="AJ497" s="5" t="str">
        <f t="shared" si="82"/>
        <v>NM 1040 - Personal</v>
      </c>
      <c r="AK497" s="5" t="str">
        <f t="shared" si="83"/>
        <v>NM-Tax Services-ANN-1040 - Personal_Adv</v>
      </c>
      <c r="AL497" s="5" t="str">
        <f t="shared" si="84"/>
        <v>Nguyen_8982_NM 1040 - Personal</v>
      </c>
      <c r="AM497" s="5" t="str">
        <f t="shared" si="85"/>
        <v>Nguyen_8982_NM-Tax Services-ANN-1040 - Personal_Adv</v>
      </c>
    </row>
    <row r="498" spans="1:39" x14ac:dyDescent="0.25">
      <c r="A498" s="2" t="s">
        <v>401</v>
      </c>
      <c r="B498" s="2" t="s">
        <v>402</v>
      </c>
      <c r="C498" s="2" t="s">
        <v>1197</v>
      </c>
      <c r="D498" s="8">
        <v>43831</v>
      </c>
      <c r="E498" s="5" t="str">
        <f t="shared" si="86"/>
        <v>NHE Advance, LLC_01-01-20</v>
      </c>
      <c r="F498" s="2" t="s">
        <v>1199</v>
      </c>
      <c r="G498" s="2" t="s">
        <v>1241</v>
      </c>
      <c r="H498" s="2" t="s">
        <v>1220</v>
      </c>
      <c r="I498" s="2" t="s">
        <v>1222</v>
      </c>
      <c r="J498" s="2" t="s">
        <v>1234</v>
      </c>
      <c r="M498" s="5" t="str">
        <f t="shared" si="77"/>
        <v>Adv</v>
      </c>
      <c r="N498" s="5" t="str">
        <f t="shared" si="78"/>
        <v>Tax-Staff-Adv</v>
      </c>
      <c r="O498" s="5" t="str">
        <f t="shared" si="79"/>
        <v>Tax-Reviewer-Adv</v>
      </c>
      <c r="P498" s="5" t="str">
        <f t="shared" si="80"/>
        <v>Tax-Signer-Adv</v>
      </c>
      <c r="Q498" s="6">
        <v>4.5832500000000005</v>
      </c>
      <c r="R498" s="6">
        <v>0.91665000000000019</v>
      </c>
      <c r="S498" s="6">
        <v>0.45832500000000009</v>
      </c>
      <c r="T498" s="7">
        <f t="shared" si="87"/>
        <v>5.9582250000000005</v>
      </c>
      <c r="U498" s="6" t="e">
        <f>SUMIFS([1]Sheet1!$L:$L,[1]Sheet1!$I:$I,AJ498,[1]Sheet1!$C:$C,A498)</f>
        <v>#VALUE!</v>
      </c>
      <c r="V498" s="6"/>
      <c r="W498" s="6"/>
      <c r="X498" s="7" t="e">
        <f t="shared" si="81"/>
        <v>#VALUE!</v>
      </c>
      <c r="Y498" s="6"/>
      <c r="AJ498" s="5" t="str">
        <f t="shared" si="82"/>
        <v>MO 1065 - Partnership</v>
      </c>
      <c r="AK498" s="5" t="str">
        <f t="shared" si="83"/>
        <v>MO-Tax Services-ANN-1065 - Partnership_Adv</v>
      </c>
      <c r="AL498" s="5" t="str">
        <f t="shared" si="84"/>
        <v>NHE Adva_1065_83-3977398_MO 1065 - Partnership</v>
      </c>
      <c r="AM498" s="5" t="str">
        <f t="shared" si="85"/>
        <v>NHE Adva_1065_83-3977398_MO-Tax Services-ANN-1065 - Partnership_Adv</v>
      </c>
    </row>
    <row r="499" spans="1:39" x14ac:dyDescent="0.25">
      <c r="A499" s="2" t="s">
        <v>850</v>
      </c>
      <c r="B499" s="2" t="s">
        <v>851</v>
      </c>
      <c r="C499" s="2" t="s">
        <v>1197</v>
      </c>
      <c r="D499" s="8">
        <v>43831</v>
      </c>
      <c r="E499" s="5" t="str">
        <f t="shared" si="86"/>
        <v>Nicholson, Tyler M._01-01-20</v>
      </c>
      <c r="F499" s="2" t="s">
        <v>1203</v>
      </c>
      <c r="G499" s="2" t="s">
        <v>1241</v>
      </c>
      <c r="H499" s="2" t="s">
        <v>1220</v>
      </c>
      <c r="I499" s="2" t="s">
        <v>1221</v>
      </c>
      <c r="J499" s="2" t="s">
        <v>1234</v>
      </c>
      <c r="M499" s="5" t="str">
        <f t="shared" si="77"/>
        <v>Mid</v>
      </c>
      <c r="N499" s="5" t="str">
        <f t="shared" si="78"/>
        <v>Tax-Staff-Mid</v>
      </c>
      <c r="O499" s="5" t="str">
        <f t="shared" si="79"/>
        <v>Tax-Reviewer-Mid</v>
      </c>
      <c r="P499" s="5" t="str">
        <f t="shared" si="80"/>
        <v>Tax-Signer-Mid</v>
      </c>
      <c r="Q499" s="6">
        <v>2.7401969696969677</v>
      </c>
      <c r="R499" s="6">
        <v>0.5480393939393936</v>
      </c>
      <c r="S499" s="6">
        <v>0.2740196969696968</v>
      </c>
      <c r="T499" s="7">
        <f t="shared" si="87"/>
        <v>3.562256060606058</v>
      </c>
      <c r="U499" s="6" t="e">
        <f>SUMIFS([1]Sheet1!$L:$L,[1]Sheet1!$I:$I,AJ499,[1]Sheet1!$C:$C,A499)</f>
        <v>#VALUE!</v>
      </c>
      <c r="V499" s="6"/>
      <c r="W499" s="6"/>
      <c r="X499" s="7" t="e">
        <f t="shared" si="81"/>
        <v>#VALUE!</v>
      </c>
      <c r="Y499" s="6"/>
      <c r="AJ499" s="5" t="str">
        <f t="shared" si="82"/>
        <v>MO 1040 - Personal</v>
      </c>
      <c r="AK499" s="5" t="str">
        <f t="shared" si="83"/>
        <v>MO-Tax Services-ANN-1040 - Personal_Mid</v>
      </c>
      <c r="AL499" s="5" t="str">
        <f t="shared" si="84"/>
        <v>Nichol_0775_MO 1040 - Personal</v>
      </c>
      <c r="AM499" s="5" t="str">
        <f t="shared" si="85"/>
        <v>Nichol_0775_MO-Tax Services-ANN-1040 - Personal_Mid</v>
      </c>
    </row>
    <row r="500" spans="1:39" x14ac:dyDescent="0.25">
      <c r="A500" s="2" t="s">
        <v>944</v>
      </c>
      <c r="B500" s="2" t="s">
        <v>945</v>
      </c>
      <c r="C500" s="2" t="s">
        <v>1196</v>
      </c>
      <c r="D500" s="8">
        <v>43831</v>
      </c>
      <c r="E500" s="5" t="str">
        <f t="shared" si="86"/>
        <v>Nicholson, Katie_01-01-20</v>
      </c>
      <c r="F500" s="2" t="s">
        <v>1203</v>
      </c>
      <c r="G500" s="2" t="s">
        <v>1241</v>
      </c>
      <c r="H500" s="2" t="s">
        <v>1220</v>
      </c>
      <c r="I500" s="2" t="s">
        <v>1223</v>
      </c>
      <c r="J500" s="2" t="s">
        <v>1234</v>
      </c>
      <c r="M500" s="5" t="str">
        <f t="shared" si="77"/>
        <v>Basic</v>
      </c>
      <c r="N500" s="5" t="str">
        <f t="shared" si="78"/>
        <v>Tax-Staff-Basic</v>
      </c>
      <c r="O500" s="5" t="str">
        <f t="shared" si="79"/>
        <v>Tax-Reviewer-Basic</v>
      </c>
      <c r="P500" s="5" t="str">
        <f t="shared" si="80"/>
        <v>Tax-Signer-Basic</v>
      </c>
      <c r="Q500" s="6">
        <v>1.4675000000000016</v>
      </c>
      <c r="R500" s="6">
        <v>0.29350000000000032</v>
      </c>
      <c r="S500" s="6">
        <v>0.14675000000000016</v>
      </c>
      <c r="T500" s="7">
        <f t="shared" si="87"/>
        <v>1.9077500000000021</v>
      </c>
      <c r="U500" s="6" t="e">
        <f>SUMIFS([1]Sheet1!$L:$L,[1]Sheet1!$I:$I,AJ500,[1]Sheet1!$C:$C,A500)</f>
        <v>#VALUE!</v>
      </c>
      <c r="V500" s="6"/>
      <c r="W500" s="6"/>
      <c r="X500" s="7" t="e">
        <f t="shared" si="81"/>
        <v>#VALUE!</v>
      </c>
      <c r="Y500" s="6"/>
      <c r="AJ500" s="5" t="str">
        <f t="shared" si="82"/>
        <v>NM 1040 - Personal</v>
      </c>
      <c r="AK500" s="5" t="str">
        <f t="shared" si="83"/>
        <v>NM-Tax Services-ANN-1040 - Personal_Basic</v>
      </c>
      <c r="AL500" s="5" t="str">
        <f t="shared" si="84"/>
        <v>Nichol_8559_NM 1040 - Personal</v>
      </c>
      <c r="AM500" s="5" t="str">
        <f t="shared" si="85"/>
        <v>Nichol_8559_NM-Tax Services-ANN-1040 - Personal_Basic</v>
      </c>
    </row>
    <row r="501" spans="1:39" x14ac:dyDescent="0.25">
      <c r="A501" s="2" t="s">
        <v>277</v>
      </c>
      <c r="B501" s="2" t="s">
        <v>278</v>
      </c>
      <c r="C501" s="2" t="s">
        <v>1196</v>
      </c>
      <c r="D501" s="8">
        <v>43831</v>
      </c>
      <c r="E501" s="5" t="str">
        <f t="shared" si="86"/>
        <v>Nii Amaa Ollennu Firm, PLLC_01-01-20</v>
      </c>
      <c r="F501" s="2" t="s">
        <v>1204</v>
      </c>
      <c r="G501" s="2" t="s">
        <v>1241</v>
      </c>
      <c r="H501" s="2" t="s">
        <v>1220</v>
      </c>
      <c r="I501" s="2" t="s">
        <v>1223</v>
      </c>
      <c r="J501" s="2" t="s">
        <v>1234</v>
      </c>
      <c r="M501" s="5" t="str">
        <f t="shared" si="77"/>
        <v>Basic</v>
      </c>
      <c r="N501" s="5" t="str">
        <f t="shared" si="78"/>
        <v>Tax-Staff-Basic</v>
      </c>
      <c r="O501" s="5" t="str">
        <f t="shared" si="79"/>
        <v>Tax-Reviewer-Basic</v>
      </c>
      <c r="P501" s="5" t="str">
        <f t="shared" si="80"/>
        <v>Tax-Signer-Basic</v>
      </c>
      <c r="Q501" s="6">
        <v>1.4675000000000016</v>
      </c>
      <c r="R501" s="6">
        <v>0.29350000000000032</v>
      </c>
      <c r="S501" s="6">
        <v>0.14675000000000016</v>
      </c>
      <c r="T501" s="7">
        <f t="shared" si="87"/>
        <v>1.9077500000000021</v>
      </c>
      <c r="U501" s="6" t="e">
        <f>SUMIFS([1]Sheet1!$L:$L,[1]Sheet1!$I:$I,AJ501,[1]Sheet1!$C:$C,A501)</f>
        <v>#VALUE!</v>
      </c>
      <c r="V501" s="6"/>
      <c r="W501" s="6"/>
      <c r="X501" s="7" t="e">
        <f t="shared" si="81"/>
        <v>#VALUE!</v>
      </c>
      <c r="Y501" s="6"/>
      <c r="AJ501" s="5" t="str">
        <f t="shared" si="82"/>
        <v>NM 1120S - S Corporation</v>
      </c>
      <c r="AK501" s="5" t="str">
        <f t="shared" si="83"/>
        <v>NM-Tax Services-ANN-1120S - S Corporation_Basic</v>
      </c>
      <c r="AL501" s="5" t="str">
        <f t="shared" si="84"/>
        <v>Nii Amaa_1120S_47-4503615_NM 1120S - S Corporation</v>
      </c>
      <c r="AM501" s="5" t="str">
        <f t="shared" si="85"/>
        <v>Nii Amaa_1120S_47-4503615_NM-Tax Services-ANN-1120S - S Corporation_Basic</v>
      </c>
    </row>
    <row r="502" spans="1:39" x14ac:dyDescent="0.25">
      <c r="A502" s="2" t="s">
        <v>205</v>
      </c>
      <c r="B502" s="2" t="s">
        <v>206</v>
      </c>
      <c r="C502" s="2" t="s">
        <v>1196</v>
      </c>
      <c r="D502" s="8">
        <v>43831</v>
      </c>
      <c r="E502" s="5" t="str">
        <f t="shared" si="86"/>
        <v>Nina Kelley Designs, Inc._01-01-20</v>
      </c>
      <c r="F502" s="2" t="s">
        <v>1206</v>
      </c>
      <c r="G502" s="2" t="s">
        <v>1241</v>
      </c>
      <c r="H502" s="2" t="s">
        <v>1220</v>
      </c>
      <c r="I502" s="2" t="s">
        <v>1223</v>
      </c>
      <c r="J502" s="2" t="s">
        <v>1234</v>
      </c>
      <c r="M502" s="5" t="str">
        <f t="shared" si="77"/>
        <v>Basic</v>
      </c>
      <c r="N502" s="5" t="str">
        <f t="shared" si="78"/>
        <v>Tax-Staff-Basic</v>
      </c>
      <c r="O502" s="5" t="str">
        <f t="shared" si="79"/>
        <v>Tax-Reviewer-Basic</v>
      </c>
      <c r="P502" s="5" t="str">
        <f t="shared" si="80"/>
        <v>Tax-Signer-Basic</v>
      </c>
      <c r="Q502" s="6">
        <v>1.4675000000000016</v>
      </c>
      <c r="R502" s="6">
        <v>0.29350000000000032</v>
      </c>
      <c r="S502" s="6">
        <v>0.14675000000000016</v>
      </c>
      <c r="T502" s="7">
        <f t="shared" si="87"/>
        <v>1.9077500000000021</v>
      </c>
      <c r="U502" s="6" t="e">
        <f>SUMIFS([1]Sheet1!$L:$L,[1]Sheet1!$I:$I,AJ502,[1]Sheet1!$C:$C,A502)</f>
        <v>#VALUE!</v>
      </c>
      <c r="V502" s="6"/>
      <c r="W502" s="6"/>
      <c r="X502" s="7" t="e">
        <f t="shared" si="81"/>
        <v>#VALUE!</v>
      </c>
      <c r="Y502" s="6"/>
      <c r="AJ502" s="5" t="str">
        <f t="shared" si="82"/>
        <v>NM 1120 - C Corporation</v>
      </c>
      <c r="AK502" s="5" t="str">
        <f t="shared" si="83"/>
        <v>NM-Tax Services-ANN-1120 - C Corporation_Basic</v>
      </c>
      <c r="AL502" s="5" t="str">
        <f t="shared" si="84"/>
        <v>Nina Kel_1120C_46-4759434_NM 1120 - C Corporation</v>
      </c>
      <c r="AM502" s="5" t="str">
        <f t="shared" si="85"/>
        <v>Nina Kel_1120C_46-4759434_NM-Tax Services-ANN-1120 - C Corporation_Basic</v>
      </c>
    </row>
    <row r="503" spans="1:39" x14ac:dyDescent="0.25">
      <c r="A503" s="2" t="s">
        <v>118</v>
      </c>
      <c r="B503" s="2" t="s">
        <v>119</v>
      </c>
      <c r="C503" s="2" t="s">
        <v>1197</v>
      </c>
      <c r="D503" s="8">
        <v>43831</v>
      </c>
      <c r="E503" s="5" t="str">
        <f t="shared" si="86"/>
        <v>Noah's Pool Service_01-01-20</v>
      </c>
      <c r="F503" s="2" t="s">
        <v>1201</v>
      </c>
      <c r="G503" s="2" t="s">
        <v>1201</v>
      </c>
      <c r="H503" s="2" t="s">
        <v>1197</v>
      </c>
      <c r="I503" s="2" t="s">
        <v>1223</v>
      </c>
      <c r="J503" s="2" t="s">
        <v>1235</v>
      </c>
      <c r="M503" s="5" t="str">
        <f t="shared" si="77"/>
        <v>Basic</v>
      </c>
      <c r="N503" s="5" t="str">
        <f t="shared" si="78"/>
        <v>Accountant-Staff-Basic</v>
      </c>
      <c r="O503" s="5" t="str">
        <f t="shared" si="79"/>
        <v>Accountant-Reviewer-Basic</v>
      </c>
      <c r="P503" s="5" t="str">
        <f t="shared" si="80"/>
        <v>Accountant-Signer-Basic</v>
      </c>
      <c r="Q503" s="6">
        <v>1.47</v>
      </c>
      <c r="R503" s="6">
        <v>0.29399999999999998</v>
      </c>
      <c r="S503" s="6">
        <v>0.14699999999999999</v>
      </c>
      <c r="T503" s="7">
        <f t="shared" si="87"/>
        <v>1.911</v>
      </c>
      <c r="U503" s="6" t="e">
        <f>SUMIFS([1]Sheet1!$L:$L,[1]Sheet1!$I:$I,AJ503,[1]Sheet1!$C:$C,A503)</f>
        <v>#VALUE!</v>
      </c>
      <c r="V503" s="6"/>
      <c r="W503" s="6"/>
      <c r="X503" s="7" t="e">
        <f t="shared" si="81"/>
        <v>#VALUE!</v>
      </c>
      <c r="Y503" s="6"/>
      <c r="AJ503" s="5" t="str">
        <f t="shared" si="82"/>
        <v>MO Accounting Services</v>
      </c>
      <c r="AK503" s="5" t="str">
        <f t="shared" si="83"/>
        <v>MO-Accounting Services-MO-Accounting Services_Basic</v>
      </c>
      <c r="AL503" s="5" t="str">
        <f t="shared" si="84"/>
        <v>Noah's P_1120S_46-0562548_MO Accounting Services</v>
      </c>
      <c r="AM503" s="5" t="str">
        <f t="shared" si="85"/>
        <v>Noah's P_1120S_46-0562548_MO-Accounting Services-MO-Accounting Services_Basic</v>
      </c>
    </row>
    <row r="504" spans="1:39" x14ac:dyDescent="0.25">
      <c r="A504" s="2" t="s">
        <v>118</v>
      </c>
      <c r="B504" s="2" t="s">
        <v>119</v>
      </c>
      <c r="C504" s="2" t="s">
        <v>1197</v>
      </c>
      <c r="D504" s="8">
        <v>43831</v>
      </c>
      <c r="E504" s="5" t="str">
        <f t="shared" si="86"/>
        <v>Noah's Pool Service_01-01-20</v>
      </c>
      <c r="F504" s="2" t="s">
        <v>1204</v>
      </c>
      <c r="G504" s="2" t="s">
        <v>1241</v>
      </c>
      <c r="H504" s="2" t="s">
        <v>1220</v>
      </c>
      <c r="I504" s="2" t="s">
        <v>1222</v>
      </c>
      <c r="J504" s="2" t="s">
        <v>1234</v>
      </c>
      <c r="M504" s="5" t="str">
        <f t="shared" si="77"/>
        <v>Adv</v>
      </c>
      <c r="N504" s="5" t="str">
        <f t="shared" si="78"/>
        <v>Tax-Staff-Adv</v>
      </c>
      <c r="O504" s="5" t="str">
        <f t="shared" si="79"/>
        <v>Tax-Reviewer-Adv</v>
      </c>
      <c r="P504" s="5" t="str">
        <f t="shared" si="80"/>
        <v>Tax-Signer-Adv</v>
      </c>
      <c r="Q504" s="6">
        <v>4.5832500000000005</v>
      </c>
      <c r="R504" s="6">
        <v>0.91665000000000019</v>
      </c>
      <c r="S504" s="6">
        <v>0.45832500000000009</v>
      </c>
      <c r="T504" s="7">
        <f t="shared" si="87"/>
        <v>5.9582250000000005</v>
      </c>
      <c r="U504" s="6" t="e">
        <f>SUMIFS([1]Sheet1!$L:$L,[1]Sheet1!$I:$I,AJ504,[1]Sheet1!$C:$C,A504)</f>
        <v>#VALUE!</v>
      </c>
      <c r="V504" s="6"/>
      <c r="W504" s="6"/>
      <c r="X504" s="7" t="e">
        <f t="shared" si="81"/>
        <v>#VALUE!</v>
      </c>
      <c r="Y504" s="6"/>
      <c r="AJ504" s="5" t="str">
        <f t="shared" si="82"/>
        <v>MO 1120S - S Corporation</v>
      </c>
      <c r="AK504" s="5" t="str">
        <f t="shared" si="83"/>
        <v>MO-Tax Services-ANN-1120S - S Corporation_Adv</v>
      </c>
      <c r="AL504" s="5" t="str">
        <f t="shared" si="84"/>
        <v>Noah's P_1120S_46-0562548_MO 1120S - S Corporation</v>
      </c>
      <c r="AM504" s="5" t="str">
        <f t="shared" si="85"/>
        <v>Noah's P_1120S_46-0562548_MO-Tax Services-ANN-1120S - S Corporation_Adv</v>
      </c>
    </row>
    <row r="505" spans="1:39" x14ac:dyDescent="0.25">
      <c r="A505" s="2" t="s">
        <v>118</v>
      </c>
      <c r="B505" s="2" t="s">
        <v>119</v>
      </c>
      <c r="C505" s="2" t="s">
        <v>1197</v>
      </c>
      <c r="D505" s="8">
        <v>43831</v>
      </c>
      <c r="E505" s="5" t="str">
        <f t="shared" si="86"/>
        <v>Noah's Pool Service_01-01-20</v>
      </c>
      <c r="F505" s="2" t="s">
        <v>1205</v>
      </c>
      <c r="G505" s="2" t="s">
        <v>1201</v>
      </c>
      <c r="H505" s="2" t="s">
        <v>1224</v>
      </c>
      <c r="I505" s="2" t="s">
        <v>1223</v>
      </c>
      <c r="J505" s="2" t="s">
        <v>1235</v>
      </c>
      <c r="M505" s="5" t="str">
        <f t="shared" si="77"/>
        <v>Basic</v>
      </c>
      <c r="N505" s="5" t="str">
        <f t="shared" si="78"/>
        <v>Accountant-Staff-Basic</v>
      </c>
      <c r="O505" s="5" t="str">
        <f t="shared" si="79"/>
        <v>Accountant-Reviewer-Basic</v>
      </c>
      <c r="P505" s="5" t="str">
        <f t="shared" si="80"/>
        <v>Accountant-Signer-Basic</v>
      </c>
      <c r="Q505" s="6">
        <v>0.5</v>
      </c>
      <c r="R505" s="6">
        <v>0.1</v>
      </c>
      <c r="S505" s="6">
        <v>0.05</v>
      </c>
      <c r="T505" s="7">
        <f t="shared" si="87"/>
        <v>0.65</v>
      </c>
      <c r="U505" s="6" t="e">
        <f>SUMIFS([1]Sheet1!$L:$L,[1]Sheet1!$I:$I,AJ505,[1]Sheet1!$C:$C,A505)</f>
        <v>#VALUE!</v>
      </c>
      <c r="V505" s="6"/>
      <c r="W505" s="6"/>
      <c r="X505" s="7" t="e">
        <f t="shared" si="81"/>
        <v>#VALUE!</v>
      </c>
      <c r="Y505" s="6"/>
      <c r="AJ505" s="5" t="str">
        <f t="shared" si="82"/>
        <v>MO Payroll Services</v>
      </c>
      <c r="AK505" s="5" t="str">
        <f t="shared" si="83"/>
        <v>MO-Accounting Services-QTR-Payroll Services_Basic</v>
      </c>
      <c r="AL505" s="5" t="str">
        <f t="shared" si="84"/>
        <v>Noah's P_1120S_46-0562548_MO Payroll Services</v>
      </c>
      <c r="AM505" s="5" t="str">
        <f t="shared" si="85"/>
        <v>Noah's P_1120S_46-0562548_MO-Accounting Services-QTR-Payroll Services_Basic</v>
      </c>
    </row>
    <row r="506" spans="1:39" x14ac:dyDescent="0.25">
      <c r="A506" s="2" t="s">
        <v>118</v>
      </c>
      <c r="B506" s="2" t="s">
        <v>119</v>
      </c>
      <c r="C506" s="2" t="s">
        <v>1197</v>
      </c>
      <c r="D506" s="8">
        <v>43831</v>
      </c>
      <c r="E506" s="5" t="str">
        <f t="shared" si="86"/>
        <v>Noah's Pool Service_01-01-20</v>
      </c>
      <c r="F506" s="2" t="s">
        <v>1200</v>
      </c>
      <c r="G506" s="2" t="s">
        <v>1241</v>
      </c>
      <c r="H506" s="2" t="s">
        <v>1220</v>
      </c>
      <c r="I506" s="2" t="s">
        <v>1223</v>
      </c>
      <c r="J506" s="2" t="s">
        <v>1234</v>
      </c>
      <c r="M506" s="5" t="str">
        <f t="shared" si="77"/>
        <v>Basic</v>
      </c>
      <c r="N506" s="5" t="str">
        <f t="shared" si="78"/>
        <v>Tax-Staff-Basic</v>
      </c>
      <c r="O506" s="5" t="str">
        <f t="shared" si="79"/>
        <v>Tax-Reviewer-Basic</v>
      </c>
      <c r="P506" s="5" t="str">
        <f t="shared" si="80"/>
        <v>Tax-Signer-Basic</v>
      </c>
      <c r="Q506" s="6">
        <v>0.5</v>
      </c>
      <c r="R506" s="6">
        <v>0.1</v>
      </c>
      <c r="S506" s="6">
        <v>0.05</v>
      </c>
      <c r="T506" s="7">
        <f t="shared" si="87"/>
        <v>0.65</v>
      </c>
      <c r="U506" s="6" t="e">
        <f>SUMIFS([1]Sheet1!$L:$L,[1]Sheet1!$I:$I,AJ506,[1]Sheet1!$C:$C,A506)</f>
        <v>#VALUE!</v>
      </c>
      <c r="V506" s="6"/>
      <c r="W506" s="6"/>
      <c r="X506" s="7" t="e">
        <f t="shared" si="81"/>
        <v>#VALUE!</v>
      </c>
      <c r="Y506" s="6"/>
      <c r="AJ506" s="5" t="str">
        <f t="shared" si="82"/>
        <v>MO Texas Franchise Tax Return</v>
      </c>
      <c r="AK506" s="5" t="str">
        <f t="shared" si="83"/>
        <v>MO-Tax Services-ANN-Texas Franchise Tax Return_Basic</v>
      </c>
      <c r="AL506" s="5" t="str">
        <f t="shared" si="84"/>
        <v>Noah's P_1120S_46-0562548_MO Texas Franchise Tax Return</v>
      </c>
      <c r="AM506" s="5" t="str">
        <f t="shared" si="85"/>
        <v>Noah's P_1120S_46-0562548_MO-Tax Services-ANN-Texas Franchise Tax Return_Basic</v>
      </c>
    </row>
    <row r="507" spans="1:39" x14ac:dyDescent="0.25">
      <c r="A507" s="2" t="s">
        <v>279</v>
      </c>
      <c r="B507" s="2" t="s">
        <v>280</v>
      </c>
      <c r="C507" s="2" t="s">
        <v>1196</v>
      </c>
      <c r="D507" s="8">
        <v>43831</v>
      </c>
      <c r="E507" s="5" t="str">
        <f t="shared" si="86"/>
        <v>Norris Family Law, PLLC_01-01-20</v>
      </c>
      <c r="F507" s="2" t="s">
        <v>1204</v>
      </c>
      <c r="G507" s="2" t="s">
        <v>1241</v>
      </c>
      <c r="H507" s="2" t="s">
        <v>1220</v>
      </c>
      <c r="I507" s="2" t="s">
        <v>1223</v>
      </c>
      <c r="J507" s="2" t="s">
        <v>1234</v>
      </c>
      <c r="M507" s="5" t="str">
        <f t="shared" si="77"/>
        <v>Basic</v>
      </c>
      <c r="N507" s="5" t="str">
        <f t="shared" si="78"/>
        <v>Tax-Staff-Basic</v>
      </c>
      <c r="O507" s="5" t="str">
        <f t="shared" si="79"/>
        <v>Tax-Reviewer-Basic</v>
      </c>
      <c r="P507" s="5" t="str">
        <f t="shared" si="80"/>
        <v>Tax-Signer-Basic</v>
      </c>
      <c r="Q507" s="6">
        <v>1.4675000000000016</v>
      </c>
      <c r="R507" s="6">
        <v>0.29350000000000032</v>
      </c>
      <c r="S507" s="6">
        <v>0.14675000000000016</v>
      </c>
      <c r="T507" s="7">
        <f t="shared" si="87"/>
        <v>1.9077500000000021</v>
      </c>
      <c r="U507" s="6" t="e">
        <f>SUMIFS([1]Sheet1!$L:$L,[1]Sheet1!$I:$I,AJ507,[1]Sheet1!$C:$C,A507)</f>
        <v>#VALUE!</v>
      </c>
      <c r="V507" s="6"/>
      <c r="W507" s="6"/>
      <c r="X507" s="7" t="e">
        <f t="shared" si="81"/>
        <v>#VALUE!</v>
      </c>
      <c r="Y507" s="6"/>
      <c r="AJ507" s="5" t="str">
        <f t="shared" si="82"/>
        <v>NM 1120S - S Corporation</v>
      </c>
      <c r="AK507" s="5" t="str">
        <f t="shared" si="83"/>
        <v>NM-Tax Services-ANN-1120S - S Corporation_Basic</v>
      </c>
      <c r="AL507" s="5" t="str">
        <f t="shared" si="84"/>
        <v>Norris F_1120S_82-4217648_NM 1120S - S Corporation</v>
      </c>
      <c r="AM507" s="5" t="str">
        <f t="shared" si="85"/>
        <v>Norris F_1120S_82-4217648_NM-Tax Services-ANN-1120S - S Corporation_Basic</v>
      </c>
    </row>
    <row r="508" spans="1:39" x14ac:dyDescent="0.25">
      <c r="A508" s="2" t="s">
        <v>738</v>
      </c>
      <c r="B508" s="2" t="s">
        <v>739</v>
      </c>
      <c r="C508" s="2" t="s">
        <v>1196</v>
      </c>
      <c r="D508" s="8">
        <v>43831</v>
      </c>
      <c r="E508" s="5" t="str">
        <f t="shared" si="86"/>
        <v>Norris, Christopher B. &amp; Mindi K._01-01-20</v>
      </c>
      <c r="F508" s="2" t="s">
        <v>1203</v>
      </c>
      <c r="G508" s="2" t="s">
        <v>1241</v>
      </c>
      <c r="H508" s="2" t="s">
        <v>1220</v>
      </c>
      <c r="I508" s="2" t="s">
        <v>1221</v>
      </c>
      <c r="J508" s="2" t="s">
        <v>1234</v>
      </c>
      <c r="M508" s="5" t="str">
        <f t="shared" si="77"/>
        <v>Mid</v>
      </c>
      <c r="N508" s="5" t="str">
        <f t="shared" si="78"/>
        <v>Tax-Staff-Mid</v>
      </c>
      <c r="O508" s="5" t="str">
        <f t="shared" si="79"/>
        <v>Tax-Reviewer-Mid</v>
      </c>
      <c r="P508" s="5" t="str">
        <f t="shared" si="80"/>
        <v>Tax-Signer-Mid</v>
      </c>
      <c r="Q508" s="6">
        <v>2.7401969696969677</v>
      </c>
      <c r="R508" s="6">
        <v>0.5480393939393936</v>
      </c>
      <c r="S508" s="6">
        <v>0.2740196969696968</v>
      </c>
      <c r="T508" s="7">
        <f t="shared" si="87"/>
        <v>3.562256060606058</v>
      </c>
      <c r="U508" s="6" t="e">
        <f>SUMIFS([1]Sheet1!$L:$L,[1]Sheet1!$I:$I,AJ508,[1]Sheet1!$C:$C,A508)</f>
        <v>#VALUE!</v>
      </c>
      <c r="V508" s="6"/>
      <c r="W508" s="6"/>
      <c r="X508" s="7" t="e">
        <f t="shared" si="81"/>
        <v>#VALUE!</v>
      </c>
      <c r="Y508" s="6"/>
      <c r="AJ508" s="5" t="str">
        <f t="shared" si="82"/>
        <v>NM 1040 - Personal</v>
      </c>
      <c r="AK508" s="5" t="str">
        <f t="shared" si="83"/>
        <v>NM-Tax Services-ANN-1040 - Personal_Mid</v>
      </c>
      <c r="AL508" s="5" t="str">
        <f t="shared" si="84"/>
        <v>Norris_6939_NM 1040 - Personal</v>
      </c>
      <c r="AM508" s="5" t="str">
        <f t="shared" si="85"/>
        <v>Norris_6939_NM-Tax Services-ANN-1040 - Personal_Mid</v>
      </c>
    </row>
    <row r="509" spans="1:39" x14ac:dyDescent="0.25">
      <c r="A509" s="2" t="s">
        <v>177</v>
      </c>
      <c r="B509" s="2" t="s">
        <v>178</v>
      </c>
      <c r="C509" s="2" t="s">
        <v>1197</v>
      </c>
      <c r="D509" s="8">
        <v>43831</v>
      </c>
      <c r="E509" s="5" t="str">
        <f t="shared" si="86"/>
        <v>Nortex Janitorial, LLC_01-01-20</v>
      </c>
      <c r="F509" s="2" t="s">
        <v>1201</v>
      </c>
      <c r="G509" s="2" t="s">
        <v>1201</v>
      </c>
      <c r="H509" s="2" t="s">
        <v>1197</v>
      </c>
      <c r="I509" s="2" t="s">
        <v>1223</v>
      </c>
      <c r="J509" s="2" t="s">
        <v>1235</v>
      </c>
      <c r="M509" s="5" t="str">
        <f t="shared" si="77"/>
        <v>Basic</v>
      </c>
      <c r="N509" s="5" t="str">
        <f t="shared" si="78"/>
        <v>Accountant-Staff-Basic</v>
      </c>
      <c r="O509" s="5" t="str">
        <f t="shared" si="79"/>
        <v>Accountant-Reviewer-Basic</v>
      </c>
      <c r="P509" s="5" t="str">
        <f t="shared" si="80"/>
        <v>Accountant-Signer-Basic</v>
      </c>
      <c r="Q509" s="6">
        <v>1.47</v>
      </c>
      <c r="R509" s="6">
        <v>0.29399999999999998</v>
      </c>
      <c r="S509" s="6">
        <v>0.14699999999999999</v>
      </c>
      <c r="T509" s="7">
        <f t="shared" si="87"/>
        <v>1.911</v>
      </c>
      <c r="U509" s="6" t="e">
        <f>SUMIFS([1]Sheet1!$L:$L,[1]Sheet1!$I:$I,AJ509,[1]Sheet1!$C:$C,A509)</f>
        <v>#VALUE!</v>
      </c>
      <c r="V509" s="6"/>
      <c r="W509" s="6"/>
      <c r="X509" s="7" t="e">
        <f t="shared" si="81"/>
        <v>#VALUE!</v>
      </c>
      <c r="Y509" s="6"/>
      <c r="AJ509" s="5" t="str">
        <f t="shared" si="82"/>
        <v>MO Accounting Services</v>
      </c>
      <c r="AK509" s="5" t="str">
        <f t="shared" si="83"/>
        <v>MO-Accounting Services-MO-Accounting Services_Basic</v>
      </c>
      <c r="AL509" s="5" t="str">
        <f t="shared" si="84"/>
        <v>Nortex J_1040_1_MO Accounting Services</v>
      </c>
      <c r="AM509" s="5" t="str">
        <f t="shared" si="85"/>
        <v>Nortex J_1040_1_MO-Accounting Services-MO-Accounting Services_Basic</v>
      </c>
    </row>
    <row r="510" spans="1:39" x14ac:dyDescent="0.25">
      <c r="A510" s="2" t="s">
        <v>1225</v>
      </c>
      <c r="B510" s="2" t="s">
        <v>120</v>
      </c>
      <c r="C510" s="2" t="s">
        <v>1197</v>
      </c>
      <c r="D510" s="8">
        <v>43831</v>
      </c>
      <c r="E510" s="5" t="str">
        <f t="shared" si="86"/>
        <v>Nortex Janitorial_01-01-20</v>
      </c>
      <c r="F510" s="2" t="s">
        <v>1200</v>
      </c>
      <c r="G510" s="2" t="s">
        <v>1241</v>
      </c>
      <c r="H510" s="2" t="s">
        <v>1220</v>
      </c>
      <c r="I510" s="2" t="s">
        <v>1223</v>
      </c>
      <c r="J510" s="2" t="s">
        <v>1234</v>
      </c>
      <c r="M510" s="5" t="str">
        <f t="shared" si="77"/>
        <v>Basic</v>
      </c>
      <c r="N510" s="5" t="str">
        <f t="shared" si="78"/>
        <v>Tax-Staff-Basic</v>
      </c>
      <c r="O510" s="5" t="str">
        <f t="shared" si="79"/>
        <v>Tax-Reviewer-Basic</v>
      </c>
      <c r="P510" s="5" t="str">
        <f t="shared" si="80"/>
        <v>Tax-Signer-Basic</v>
      </c>
      <c r="Q510" s="6">
        <v>0.5</v>
      </c>
      <c r="R510" s="6">
        <v>0.1</v>
      </c>
      <c r="S510" s="6">
        <v>0.05</v>
      </c>
      <c r="T510" s="7">
        <f t="shared" si="87"/>
        <v>0.65</v>
      </c>
      <c r="U510" s="6" t="e">
        <f>SUMIFS([1]Sheet1!$L:$L,[1]Sheet1!$I:$I,AJ510,[1]Sheet1!$C:$C,A510)</f>
        <v>#VALUE!</v>
      </c>
      <c r="V510" s="6"/>
      <c r="W510" s="6"/>
      <c r="X510" s="7" t="e">
        <f t="shared" si="81"/>
        <v>#VALUE!</v>
      </c>
      <c r="Y510" s="6"/>
      <c r="AJ510" s="5" t="str">
        <f t="shared" si="82"/>
        <v>MO Texas Franchise Tax Return</v>
      </c>
      <c r="AK510" s="5" t="str">
        <f t="shared" si="83"/>
        <v>MO-Tax Services-ANN-Texas Franchise Tax Return_Basic</v>
      </c>
      <c r="AL510" s="5" t="str">
        <f t="shared" si="84"/>
        <v>Nortex_1040_1_MO Texas Franchise Tax Return</v>
      </c>
      <c r="AM510" s="5" t="str">
        <f t="shared" si="85"/>
        <v>Nortex_1040_1_MO-Tax Services-ANN-Texas Franchise Tax Return_Basic</v>
      </c>
    </row>
    <row r="511" spans="1:39" x14ac:dyDescent="0.25">
      <c r="A511" s="2" t="s">
        <v>740</v>
      </c>
      <c r="B511" s="2" t="s">
        <v>741</v>
      </c>
      <c r="C511" s="2" t="s">
        <v>1196</v>
      </c>
      <c r="D511" s="8">
        <v>43831</v>
      </c>
      <c r="E511" s="5" t="str">
        <f t="shared" si="86"/>
        <v>Norton, Susan_01-01-20</v>
      </c>
      <c r="F511" s="2" t="s">
        <v>1203</v>
      </c>
      <c r="G511" s="2" t="s">
        <v>1241</v>
      </c>
      <c r="H511" s="2" t="s">
        <v>1220</v>
      </c>
      <c r="I511" s="2" t="s">
        <v>1221</v>
      </c>
      <c r="J511" s="2" t="s">
        <v>1234</v>
      </c>
      <c r="M511" s="5" t="str">
        <f t="shared" si="77"/>
        <v>Mid</v>
      </c>
      <c r="N511" s="5" t="str">
        <f t="shared" si="78"/>
        <v>Tax-Staff-Mid</v>
      </c>
      <c r="O511" s="5" t="str">
        <f t="shared" si="79"/>
        <v>Tax-Reviewer-Mid</v>
      </c>
      <c r="P511" s="5" t="str">
        <f t="shared" si="80"/>
        <v>Tax-Signer-Mid</v>
      </c>
      <c r="Q511" s="6">
        <v>2.7401969696969677</v>
      </c>
      <c r="R511" s="6">
        <v>0.5480393939393936</v>
      </c>
      <c r="S511" s="6">
        <v>0.2740196969696968</v>
      </c>
      <c r="T511" s="7">
        <f t="shared" si="87"/>
        <v>3.562256060606058</v>
      </c>
      <c r="U511" s="6" t="e">
        <f>SUMIFS([1]Sheet1!$L:$L,[1]Sheet1!$I:$I,AJ511,[1]Sheet1!$C:$C,A511)</f>
        <v>#VALUE!</v>
      </c>
      <c r="V511" s="6"/>
      <c r="W511" s="6"/>
      <c r="X511" s="7" t="e">
        <f t="shared" si="81"/>
        <v>#VALUE!</v>
      </c>
      <c r="Y511" s="6"/>
      <c r="AJ511" s="5" t="str">
        <f t="shared" si="82"/>
        <v>NM 1040 - Personal</v>
      </c>
      <c r="AK511" s="5" t="str">
        <f t="shared" si="83"/>
        <v>NM-Tax Services-ANN-1040 - Personal_Mid</v>
      </c>
      <c r="AL511" s="5" t="str">
        <f t="shared" si="84"/>
        <v>Norton_5754_NM 1040 - Personal</v>
      </c>
      <c r="AM511" s="5" t="str">
        <f t="shared" si="85"/>
        <v>Norton_5754_NM-Tax Services-ANN-1040 - Personal_Mid</v>
      </c>
    </row>
    <row r="512" spans="1:39" x14ac:dyDescent="0.25">
      <c r="A512" s="2" t="s">
        <v>742</v>
      </c>
      <c r="B512" s="2" t="s">
        <v>743</v>
      </c>
      <c r="C512" s="2" t="s">
        <v>1196</v>
      </c>
      <c r="D512" s="8">
        <v>43831</v>
      </c>
      <c r="E512" s="5" t="str">
        <f t="shared" si="86"/>
        <v>O'Brien, Molly M &amp; Justin_01-01-20</v>
      </c>
      <c r="F512" s="2" t="s">
        <v>1203</v>
      </c>
      <c r="G512" s="2" t="s">
        <v>1241</v>
      </c>
      <c r="H512" s="2" t="s">
        <v>1220</v>
      </c>
      <c r="I512" s="2" t="s">
        <v>1223</v>
      </c>
      <c r="J512" s="2" t="s">
        <v>1234</v>
      </c>
      <c r="M512" s="5" t="str">
        <f t="shared" si="77"/>
        <v>Basic</v>
      </c>
      <c r="N512" s="5" t="str">
        <f t="shared" si="78"/>
        <v>Tax-Staff-Basic</v>
      </c>
      <c r="O512" s="5" t="str">
        <f t="shared" si="79"/>
        <v>Tax-Reviewer-Basic</v>
      </c>
      <c r="P512" s="5" t="str">
        <f t="shared" si="80"/>
        <v>Tax-Signer-Basic</v>
      </c>
      <c r="Q512" s="6">
        <v>1.4675000000000016</v>
      </c>
      <c r="R512" s="6">
        <v>0.29350000000000032</v>
      </c>
      <c r="S512" s="6">
        <v>0.14675000000000016</v>
      </c>
      <c r="T512" s="7">
        <f t="shared" si="87"/>
        <v>1.9077500000000021</v>
      </c>
      <c r="U512" s="6" t="e">
        <f>SUMIFS([1]Sheet1!$L:$L,[1]Sheet1!$I:$I,AJ512,[1]Sheet1!$C:$C,A512)</f>
        <v>#VALUE!</v>
      </c>
      <c r="V512" s="6"/>
      <c r="W512" s="6"/>
      <c r="X512" s="7" t="e">
        <f t="shared" si="81"/>
        <v>#VALUE!</v>
      </c>
      <c r="Y512" s="6"/>
      <c r="AJ512" s="5" t="str">
        <f t="shared" si="82"/>
        <v>NM 1040 - Personal</v>
      </c>
      <c r="AK512" s="5" t="str">
        <f t="shared" si="83"/>
        <v>NM-Tax Services-ANN-1040 - Personal_Basic</v>
      </c>
      <c r="AL512" s="5" t="str">
        <f t="shared" si="84"/>
        <v>O'Brie_2724_NM 1040 - Personal</v>
      </c>
      <c r="AM512" s="5" t="str">
        <f t="shared" si="85"/>
        <v>O'Brie_2724_NM-Tax Services-ANN-1040 - Personal_Basic</v>
      </c>
    </row>
    <row r="513" spans="1:39" x14ac:dyDescent="0.25">
      <c r="A513" s="2" t="s">
        <v>121</v>
      </c>
      <c r="B513" s="2" t="s">
        <v>122</v>
      </c>
      <c r="C513" s="2" t="s">
        <v>1197</v>
      </c>
      <c r="D513" s="8">
        <v>43831</v>
      </c>
      <c r="E513" s="5" t="str">
        <f t="shared" si="86"/>
        <v>Odom Grooming, LLC_01-01-20</v>
      </c>
      <c r="F513" s="2" t="s">
        <v>1201</v>
      </c>
      <c r="G513" s="2" t="s">
        <v>1201</v>
      </c>
      <c r="H513" s="2" t="s">
        <v>1197</v>
      </c>
      <c r="I513" s="2" t="s">
        <v>1223</v>
      </c>
      <c r="J513" s="2" t="s">
        <v>1235</v>
      </c>
      <c r="M513" s="5" t="str">
        <f t="shared" si="77"/>
        <v>Basic</v>
      </c>
      <c r="N513" s="5" t="str">
        <f t="shared" si="78"/>
        <v>Accountant-Staff-Basic</v>
      </c>
      <c r="O513" s="5" t="str">
        <f t="shared" si="79"/>
        <v>Accountant-Reviewer-Basic</v>
      </c>
      <c r="P513" s="5" t="str">
        <f t="shared" si="80"/>
        <v>Accountant-Signer-Basic</v>
      </c>
      <c r="Q513" s="6">
        <v>1.47</v>
      </c>
      <c r="R513" s="6">
        <v>0.29399999999999998</v>
      </c>
      <c r="S513" s="6">
        <v>0.14699999999999999</v>
      </c>
      <c r="T513" s="7">
        <f t="shared" si="87"/>
        <v>1.911</v>
      </c>
      <c r="U513" s="6" t="e">
        <f>SUMIFS([1]Sheet1!$L:$L,[1]Sheet1!$I:$I,AJ513,[1]Sheet1!$C:$C,A513)</f>
        <v>#VALUE!</v>
      </c>
      <c r="V513" s="6"/>
      <c r="W513" s="6"/>
      <c r="X513" s="7" t="e">
        <f t="shared" si="81"/>
        <v>#VALUE!</v>
      </c>
      <c r="Y513" s="6"/>
      <c r="AJ513" s="5" t="str">
        <f t="shared" si="82"/>
        <v>MO Accounting Services</v>
      </c>
      <c r="AK513" s="5" t="str">
        <f t="shared" si="83"/>
        <v>MO-Accounting Services-MO-Accounting Services_Basic</v>
      </c>
      <c r="AL513" s="5" t="str">
        <f t="shared" si="84"/>
        <v>Odom Gro_1120S_82-1887528_MO Accounting Services</v>
      </c>
      <c r="AM513" s="5" t="str">
        <f t="shared" si="85"/>
        <v>Odom Gro_1120S_82-1887528_MO-Accounting Services-MO-Accounting Services_Basic</v>
      </c>
    </row>
    <row r="514" spans="1:39" x14ac:dyDescent="0.25">
      <c r="A514" s="2" t="s">
        <v>121</v>
      </c>
      <c r="B514" s="2" t="s">
        <v>122</v>
      </c>
      <c r="C514" s="2" t="s">
        <v>1197</v>
      </c>
      <c r="D514" s="8">
        <v>43831</v>
      </c>
      <c r="E514" s="5" t="str">
        <f t="shared" si="86"/>
        <v>Odom Grooming, LLC_01-01-20</v>
      </c>
      <c r="F514" s="2" t="s">
        <v>1204</v>
      </c>
      <c r="G514" s="2" t="s">
        <v>1241</v>
      </c>
      <c r="H514" s="2" t="s">
        <v>1220</v>
      </c>
      <c r="I514" s="2" t="s">
        <v>1223</v>
      </c>
      <c r="J514" s="2" t="s">
        <v>1234</v>
      </c>
      <c r="M514" s="5" t="str">
        <f t="shared" ref="M514:M577" si="88">I514</f>
        <v>Basic</v>
      </c>
      <c r="N514" s="5" t="str">
        <f t="shared" ref="N514:N577" si="89">$J514&amp;"-"&amp;"Staff"&amp;"-"&amp;$M514</f>
        <v>Tax-Staff-Basic</v>
      </c>
      <c r="O514" s="5" t="str">
        <f t="shared" ref="O514:O577" si="90">$J514&amp;"-"&amp;"Reviewer"&amp;"-"&amp;$M514</f>
        <v>Tax-Reviewer-Basic</v>
      </c>
      <c r="P514" s="5" t="str">
        <f t="shared" ref="P514:P577" si="91">$J514&amp;"-"&amp;"Signer"&amp;"-"&amp;$M514</f>
        <v>Tax-Signer-Basic</v>
      </c>
      <c r="Q514" s="6">
        <v>1.4675000000000016</v>
      </c>
      <c r="R514" s="6">
        <v>0.29350000000000032</v>
      </c>
      <c r="S514" s="6">
        <v>0.14675000000000016</v>
      </c>
      <c r="T514" s="7">
        <f t="shared" si="87"/>
        <v>1.9077500000000021</v>
      </c>
      <c r="U514" s="6" t="e">
        <f>SUMIFS([1]Sheet1!$L:$L,[1]Sheet1!$I:$I,AJ514,[1]Sheet1!$C:$C,A514)</f>
        <v>#VALUE!</v>
      </c>
      <c r="V514" s="6"/>
      <c r="W514" s="6"/>
      <c r="X514" s="7" t="e">
        <f t="shared" ref="X514:X577" si="92">SUM(U514:W514)</f>
        <v>#VALUE!</v>
      </c>
      <c r="Y514" s="6"/>
      <c r="AJ514" s="5" t="str">
        <f t="shared" ref="AJ514:AJ577" si="93">C514&amp;" "&amp;F514</f>
        <v>MO 1120S - S Corporation</v>
      </c>
      <c r="AK514" s="5" t="str">
        <f t="shared" ref="AK514:AK577" si="94">C514&amp;"-"&amp;G514&amp;"-"&amp;H514&amp;"-"&amp;F514&amp;"_"&amp;I514</f>
        <v>MO-Tax Services-ANN-1120S - S Corporation_Basic</v>
      </c>
      <c r="AL514" s="5" t="str">
        <f t="shared" ref="AL514:AL577" si="95">A514&amp;"_"&amp;AJ514</f>
        <v>Odom Gro_1120S_82-1887528_MO 1120S - S Corporation</v>
      </c>
      <c r="AM514" s="5" t="str">
        <f t="shared" ref="AM514:AM577" si="96">A514&amp;"_"&amp;AK514</f>
        <v>Odom Gro_1120S_82-1887528_MO-Tax Services-ANN-1120S - S Corporation_Basic</v>
      </c>
    </row>
    <row r="515" spans="1:39" x14ac:dyDescent="0.25">
      <c r="A515" s="2" t="s">
        <v>121</v>
      </c>
      <c r="B515" s="2" t="s">
        <v>122</v>
      </c>
      <c r="C515" s="2" t="s">
        <v>1197</v>
      </c>
      <c r="D515" s="8">
        <v>43831</v>
      </c>
      <c r="E515" s="5" t="str">
        <f t="shared" ref="E515:E578" si="97">B515&amp;"_"&amp;TEXT(D515,"DD-MM-YY")</f>
        <v>Odom Grooming, LLC_01-01-20</v>
      </c>
      <c r="F515" s="2" t="s">
        <v>1205</v>
      </c>
      <c r="G515" s="2" t="s">
        <v>1201</v>
      </c>
      <c r="H515" s="2" t="s">
        <v>1224</v>
      </c>
      <c r="I515" s="2" t="s">
        <v>1223</v>
      </c>
      <c r="J515" s="2" t="s">
        <v>1235</v>
      </c>
      <c r="M515" s="5" t="str">
        <f t="shared" si="88"/>
        <v>Basic</v>
      </c>
      <c r="N515" s="5" t="str">
        <f t="shared" si="89"/>
        <v>Accountant-Staff-Basic</v>
      </c>
      <c r="O515" s="5" t="str">
        <f t="shared" si="90"/>
        <v>Accountant-Reviewer-Basic</v>
      </c>
      <c r="P515" s="5" t="str">
        <f t="shared" si="91"/>
        <v>Accountant-Signer-Basic</v>
      </c>
      <c r="Q515" s="6">
        <v>0.5</v>
      </c>
      <c r="R515" s="6">
        <v>0.1</v>
      </c>
      <c r="S515" s="6">
        <v>0.05</v>
      </c>
      <c r="T515" s="7">
        <f t="shared" ref="T515:T578" si="98">SUM(Q515:S515)</f>
        <v>0.65</v>
      </c>
      <c r="U515" s="6" t="e">
        <f>SUMIFS([1]Sheet1!$L:$L,[1]Sheet1!$I:$I,AJ515,[1]Sheet1!$C:$C,A515)</f>
        <v>#VALUE!</v>
      </c>
      <c r="V515" s="6"/>
      <c r="W515" s="6"/>
      <c r="X515" s="7" t="e">
        <f t="shared" si="92"/>
        <v>#VALUE!</v>
      </c>
      <c r="Y515" s="6"/>
      <c r="AJ515" s="5" t="str">
        <f t="shared" si="93"/>
        <v>MO Payroll Services</v>
      </c>
      <c r="AK515" s="5" t="str">
        <f t="shared" si="94"/>
        <v>MO-Accounting Services-QTR-Payroll Services_Basic</v>
      </c>
      <c r="AL515" s="5" t="str">
        <f t="shared" si="95"/>
        <v>Odom Gro_1120S_82-1887528_MO Payroll Services</v>
      </c>
      <c r="AM515" s="5" t="str">
        <f t="shared" si="96"/>
        <v>Odom Gro_1120S_82-1887528_MO-Accounting Services-QTR-Payroll Services_Basic</v>
      </c>
    </row>
    <row r="516" spans="1:39" x14ac:dyDescent="0.25">
      <c r="A516" s="2" t="s">
        <v>121</v>
      </c>
      <c r="B516" s="2" t="s">
        <v>122</v>
      </c>
      <c r="C516" s="2" t="s">
        <v>1197</v>
      </c>
      <c r="D516" s="8">
        <v>43831</v>
      </c>
      <c r="E516" s="5" t="str">
        <f t="shared" si="97"/>
        <v>Odom Grooming, LLC_01-01-20</v>
      </c>
      <c r="F516" s="2" t="s">
        <v>1200</v>
      </c>
      <c r="G516" s="2" t="s">
        <v>1241</v>
      </c>
      <c r="H516" s="2" t="s">
        <v>1220</v>
      </c>
      <c r="I516" s="2" t="s">
        <v>1223</v>
      </c>
      <c r="J516" s="2" t="s">
        <v>1234</v>
      </c>
      <c r="M516" s="5" t="str">
        <f t="shared" si="88"/>
        <v>Basic</v>
      </c>
      <c r="N516" s="5" t="str">
        <f t="shared" si="89"/>
        <v>Tax-Staff-Basic</v>
      </c>
      <c r="O516" s="5" t="str">
        <f t="shared" si="90"/>
        <v>Tax-Reviewer-Basic</v>
      </c>
      <c r="P516" s="5" t="str">
        <f t="shared" si="91"/>
        <v>Tax-Signer-Basic</v>
      </c>
      <c r="Q516" s="6">
        <v>0.5</v>
      </c>
      <c r="R516" s="6">
        <v>0.1</v>
      </c>
      <c r="S516" s="6">
        <v>0.05</v>
      </c>
      <c r="T516" s="7">
        <f t="shared" si="98"/>
        <v>0.65</v>
      </c>
      <c r="U516" s="6" t="e">
        <f>SUMIFS([1]Sheet1!$L:$L,[1]Sheet1!$I:$I,AJ516,[1]Sheet1!$C:$C,A516)</f>
        <v>#VALUE!</v>
      </c>
      <c r="V516" s="6"/>
      <c r="W516" s="6"/>
      <c r="X516" s="7" t="e">
        <f t="shared" si="92"/>
        <v>#VALUE!</v>
      </c>
      <c r="Y516" s="6"/>
      <c r="AJ516" s="5" t="str">
        <f t="shared" si="93"/>
        <v>MO Texas Franchise Tax Return</v>
      </c>
      <c r="AK516" s="5" t="str">
        <f t="shared" si="94"/>
        <v>MO-Tax Services-ANN-Texas Franchise Tax Return_Basic</v>
      </c>
      <c r="AL516" s="5" t="str">
        <f t="shared" si="95"/>
        <v>Odom Gro_1120S_82-1887528_MO Texas Franchise Tax Return</v>
      </c>
      <c r="AM516" s="5" t="str">
        <f t="shared" si="96"/>
        <v>Odom Gro_1120S_82-1887528_MO-Tax Services-ANN-Texas Franchise Tax Return_Basic</v>
      </c>
    </row>
    <row r="517" spans="1:39" x14ac:dyDescent="0.25">
      <c r="A517" s="2" t="s">
        <v>852</v>
      </c>
      <c r="B517" s="2" t="s">
        <v>853</v>
      </c>
      <c r="C517" s="2" t="s">
        <v>1197</v>
      </c>
      <c r="D517" s="8">
        <v>43831</v>
      </c>
      <c r="E517" s="5" t="str">
        <f t="shared" si="97"/>
        <v>Odom, Parke &amp; Ellison G._01-01-20</v>
      </c>
      <c r="F517" s="2" t="s">
        <v>1203</v>
      </c>
      <c r="G517" s="2" t="s">
        <v>1241</v>
      </c>
      <c r="H517" s="2" t="s">
        <v>1220</v>
      </c>
      <c r="I517" s="2" t="s">
        <v>1221</v>
      </c>
      <c r="J517" s="2" t="s">
        <v>1234</v>
      </c>
      <c r="M517" s="5" t="str">
        <f t="shared" si="88"/>
        <v>Mid</v>
      </c>
      <c r="N517" s="5" t="str">
        <f t="shared" si="89"/>
        <v>Tax-Staff-Mid</v>
      </c>
      <c r="O517" s="5" t="str">
        <f t="shared" si="90"/>
        <v>Tax-Reviewer-Mid</v>
      </c>
      <c r="P517" s="5" t="str">
        <f t="shared" si="91"/>
        <v>Tax-Signer-Mid</v>
      </c>
      <c r="Q517" s="6">
        <v>2.7401969696969677</v>
      </c>
      <c r="R517" s="6">
        <v>0.5480393939393936</v>
      </c>
      <c r="S517" s="6">
        <v>0.2740196969696968</v>
      </c>
      <c r="T517" s="7">
        <f t="shared" si="98"/>
        <v>3.562256060606058</v>
      </c>
      <c r="U517" s="6" t="e">
        <f>SUMIFS([1]Sheet1!$L:$L,[1]Sheet1!$I:$I,AJ517,[1]Sheet1!$C:$C,A517)</f>
        <v>#VALUE!</v>
      </c>
      <c r="V517" s="6"/>
      <c r="W517" s="6"/>
      <c r="X517" s="7" t="e">
        <f t="shared" si="92"/>
        <v>#VALUE!</v>
      </c>
      <c r="Y517" s="6"/>
      <c r="AJ517" s="5" t="str">
        <f t="shared" si="93"/>
        <v>MO 1040 - Personal</v>
      </c>
      <c r="AK517" s="5" t="str">
        <f t="shared" si="94"/>
        <v>MO-Tax Services-ANN-1040 - Personal_Mid</v>
      </c>
      <c r="AL517" s="5" t="str">
        <f t="shared" si="95"/>
        <v>Odom, _4880_MO 1040 - Personal</v>
      </c>
      <c r="AM517" s="5" t="str">
        <f t="shared" si="96"/>
        <v>Odom, _4880_MO-Tax Services-ANN-1040 - Personal_Mid</v>
      </c>
    </row>
    <row r="518" spans="1:39" x14ac:dyDescent="0.25">
      <c r="A518" s="2" t="s">
        <v>744</v>
      </c>
      <c r="B518" s="2" t="s">
        <v>745</v>
      </c>
      <c r="C518" s="2" t="s">
        <v>1196</v>
      </c>
      <c r="D518" s="8">
        <v>43831</v>
      </c>
      <c r="E518" s="5" t="str">
        <f t="shared" si="97"/>
        <v>O'Dowd, Ryan &amp; Laura_01-01-20</v>
      </c>
      <c r="F518" s="2" t="s">
        <v>1203</v>
      </c>
      <c r="G518" s="2" t="s">
        <v>1241</v>
      </c>
      <c r="H518" s="2" t="s">
        <v>1220</v>
      </c>
      <c r="I518" s="2" t="s">
        <v>1221</v>
      </c>
      <c r="J518" s="2" t="s">
        <v>1234</v>
      </c>
      <c r="M518" s="5" t="str">
        <f t="shared" si="88"/>
        <v>Mid</v>
      </c>
      <c r="N518" s="5" t="str">
        <f t="shared" si="89"/>
        <v>Tax-Staff-Mid</v>
      </c>
      <c r="O518" s="5" t="str">
        <f t="shared" si="90"/>
        <v>Tax-Reviewer-Mid</v>
      </c>
      <c r="P518" s="5" t="str">
        <f t="shared" si="91"/>
        <v>Tax-Signer-Mid</v>
      </c>
      <c r="Q518" s="6">
        <v>2.7401969696969677</v>
      </c>
      <c r="R518" s="6">
        <v>0.5480393939393936</v>
      </c>
      <c r="S518" s="6">
        <v>0.2740196969696968</v>
      </c>
      <c r="T518" s="7">
        <f t="shared" si="98"/>
        <v>3.562256060606058</v>
      </c>
      <c r="U518" s="6" t="e">
        <f>SUMIFS([1]Sheet1!$L:$L,[1]Sheet1!$I:$I,AJ518,[1]Sheet1!$C:$C,A518)</f>
        <v>#VALUE!</v>
      </c>
      <c r="V518" s="6"/>
      <c r="W518" s="6"/>
      <c r="X518" s="7" t="e">
        <f t="shared" si="92"/>
        <v>#VALUE!</v>
      </c>
      <c r="Y518" s="6"/>
      <c r="AJ518" s="5" t="str">
        <f t="shared" si="93"/>
        <v>NM 1040 - Personal</v>
      </c>
      <c r="AK518" s="5" t="str">
        <f t="shared" si="94"/>
        <v>NM-Tax Services-ANN-1040 - Personal_Mid</v>
      </c>
      <c r="AL518" s="5" t="str">
        <f t="shared" si="95"/>
        <v>O'Dowd_3736_NM 1040 - Personal</v>
      </c>
      <c r="AM518" s="5" t="str">
        <f t="shared" si="96"/>
        <v>O'Dowd_3736_NM-Tax Services-ANN-1040 - Personal_Mid</v>
      </c>
    </row>
    <row r="519" spans="1:39" x14ac:dyDescent="0.25">
      <c r="A519" s="2" t="s">
        <v>958</v>
      </c>
      <c r="B519" s="2" t="s">
        <v>959</v>
      </c>
      <c r="C519" s="2" t="s">
        <v>1197</v>
      </c>
      <c r="D519" s="8">
        <v>43831</v>
      </c>
      <c r="E519" s="5" t="str">
        <f t="shared" si="97"/>
        <v>Old School Pool Service LLC_01-01-20</v>
      </c>
      <c r="F519" s="2" t="s">
        <v>1204</v>
      </c>
      <c r="G519" s="2" t="s">
        <v>1241</v>
      </c>
      <c r="H519" s="2" t="s">
        <v>1220</v>
      </c>
      <c r="I519" s="2" t="s">
        <v>1223</v>
      </c>
      <c r="J519" s="2" t="s">
        <v>1234</v>
      </c>
      <c r="M519" s="5" t="str">
        <f t="shared" si="88"/>
        <v>Basic</v>
      </c>
      <c r="N519" s="5" t="str">
        <f t="shared" si="89"/>
        <v>Tax-Staff-Basic</v>
      </c>
      <c r="O519" s="5" t="str">
        <f t="shared" si="90"/>
        <v>Tax-Reviewer-Basic</v>
      </c>
      <c r="P519" s="5" t="str">
        <f t="shared" si="91"/>
        <v>Tax-Signer-Basic</v>
      </c>
      <c r="Q519" s="6">
        <v>1.4675000000000016</v>
      </c>
      <c r="R519" s="6">
        <v>0.29350000000000032</v>
      </c>
      <c r="S519" s="6">
        <v>0.14675000000000016</v>
      </c>
      <c r="T519" s="7">
        <f t="shared" si="98"/>
        <v>1.9077500000000021</v>
      </c>
      <c r="U519" s="6" t="e">
        <f>SUMIFS([1]Sheet1!$L:$L,[1]Sheet1!$I:$I,AJ519,[1]Sheet1!$C:$C,A519)</f>
        <v>#VALUE!</v>
      </c>
      <c r="V519" s="6"/>
      <c r="W519" s="6"/>
      <c r="X519" s="7" t="e">
        <f t="shared" si="92"/>
        <v>#VALUE!</v>
      </c>
      <c r="Y519" s="6"/>
      <c r="AJ519" s="5" t="str">
        <f t="shared" si="93"/>
        <v>MO 1120S - S Corporation</v>
      </c>
      <c r="AK519" s="5" t="str">
        <f t="shared" si="94"/>
        <v>MO-Tax Services-ANN-1120S - S Corporation_Basic</v>
      </c>
      <c r="AL519" s="5" t="str">
        <f t="shared" si="95"/>
        <v>Old Scho_1120S_45-4136512_MO 1120S - S Corporation</v>
      </c>
      <c r="AM519" s="5" t="str">
        <f t="shared" si="96"/>
        <v>Old Scho_1120S_45-4136512_MO-Tax Services-ANN-1120S - S Corporation_Basic</v>
      </c>
    </row>
    <row r="520" spans="1:39" x14ac:dyDescent="0.25">
      <c r="A520" s="2" t="s">
        <v>746</v>
      </c>
      <c r="B520" s="2" t="s">
        <v>747</v>
      </c>
      <c r="C520" s="2" t="s">
        <v>1196</v>
      </c>
      <c r="D520" s="8">
        <v>43831</v>
      </c>
      <c r="E520" s="5" t="str">
        <f t="shared" si="97"/>
        <v>Ollennu, Nii A._01-01-20</v>
      </c>
      <c r="F520" s="2" t="s">
        <v>1203</v>
      </c>
      <c r="G520" s="2" t="s">
        <v>1241</v>
      </c>
      <c r="H520" s="2" t="s">
        <v>1220</v>
      </c>
      <c r="I520" s="2" t="s">
        <v>1223</v>
      </c>
      <c r="J520" s="2" t="s">
        <v>1234</v>
      </c>
      <c r="M520" s="5" t="str">
        <f t="shared" si="88"/>
        <v>Basic</v>
      </c>
      <c r="N520" s="5" t="str">
        <f t="shared" si="89"/>
        <v>Tax-Staff-Basic</v>
      </c>
      <c r="O520" s="5" t="str">
        <f t="shared" si="90"/>
        <v>Tax-Reviewer-Basic</v>
      </c>
      <c r="P520" s="5" t="str">
        <f t="shared" si="91"/>
        <v>Tax-Signer-Basic</v>
      </c>
      <c r="Q520" s="6">
        <v>1.4675000000000016</v>
      </c>
      <c r="R520" s="6">
        <v>0.29350000000000032</v>
      </c>
      <c r="S520" s="6">
        <v>0.14675000000000016</v>
      </c>
      <c r="T520" s="7">
        <f t="shared" si="98"/>
        <v>1.9077500000000021</v>
      </c>
      <c r="U520" s="6" t="e">
        <f>SUMIFS([1]Sheet1!$L:$L,[1]Sheet1!$I:$I,AJ520,[1]Sheet1!$C:$C,A520)</f>
        <v>#VALUE!</v>
      </c>
      <c r="V520" s="6"/>
      <c r="W520" s="6"/>
      <c r="X520" s="7" t="e">
        <f t="shared" si="92"/>
        <v>#VALUE!</v>
      </c>
      <c r="Y520" s="6"/>
      <c r="AJ520" s="5" t="str">
        <f t="shared" si="93"/>
        <v>NM 1040 - Personal</v>
      </c>
      <c r="AK520" s="5" t="str">
        <f t="shared" si="94"/>
        <v>NM-Tax Services-ANN-1040 - Personal_Basic</v>
      </c>
      <c r="AL520" s="5" t="str">
        <f t="shared" si="95"/>
        <v>Ollenn_8867_NM 1040 - Personal</v>
      </c>
      <c r="AM520" s="5" t="str">
        <f t="shared" si="96"/>
        <v>Ollenn_8867_NM-Tax Services-ANN-1040 - Personal_Basic</v>
      </c>
    </row>
    <row r="521" spans="1:39" x14ac:dyDescent="0.25">
      <c r="A521" s="2" t="s">
        <v>1059</v>
      </c>
      <c r="B521" s="2" t="s">
        <v>1060</v>
      </c>
      <c r="C521" s="2" t="s">
        <v>1196</v>
      </c>
      <c r="D521" s="8">
        <v>43831</v>
      </c>
      <c r="E521" s="5" t="str">
        <f t="shared" si="97"/>
        <v>Olson, Jeffrey W_01-01-20</v>
      </c>
      <c r="F521" s="2" t="s">
        <v>1203</v>
      </c>
      <c r="G521" s="2" t="s">
        <v>1241</v>
      </c>
      <c r="H521" s="2" t="s">
        <v>1220</v>
      </c>
      <c r="I521" s="2" t="s">
        <v>1223</v>
      </c>
      <c r="J521" s="2" t="s">
        <v>1234</v>
      </c>
      <c r="M521" s="5" t="str">
        <f t="shared" si="88"/>
        <v>Basic</v>
      </c>
      <c r="N521" s="5" t="str">
        <f t="shared" si="89"/>
        <v>Tax-Staff-Basic</v>
      </c>
      <c r="O521" s="5" t="str">
        <f t="shared" si="90"/>
        <v>Tax-Reviewer-Basic</v>
      </c>
      <c r="P521" s="5" t="str">
        <f t="shared" si="91"/>
        <v>Tax-Signer-Basic</v>
      </c>
      <c r="Q521" s="6">
        <v>1.4675000000000016</v>
      </c>
      <c r="R521" s="6">
        <v>0.29350000000000032</v>
      </c>
      <c r="S521" s="6">
        <v>0.14675000000000016</v>
      </c>
      <c r="T521" s="7">
        <f t="shared" si="98"/>
        <v>1.9077500000000021</v>
      </c>
      <c r="U521" s="6" t="e">
        <f>SUMIFS([1]Sheet1!$L:$L,[1]Sheet1!$I:$I,AJ521,[1]Sheet1!$C:$C,A521)</f>
        <v>#VALUE!</v>
      </c>
      <c r="V521" s="6"/>
      <c r="W521" s="6"/>
      <c r="X521" s="7" t="e">
        <f t="shared" si="92"/>
        <v>#VALUE!</v>
      </c>
      <c r="Y521" s="6"/>
      <c r="AJ521" s="5" t="str">
        <f t="shared" si="93"/>
        <v>NM 1040 - Personal</v>
      </c>
      <c r="AK521" s="5" t="str">
        <f t="shared" si="94"/>
        <v>NM-Tax Services-ANN-1040 - Personal_Basic</v>
      </c>
      <c r="AL521" s="5" t="str">
        <f t="shared" si="95"/>
        <v>Olson,_6181_NM 1040 - Personal</v>
      </c>
      <c r="AM521" s="5" t="str">
        <f t="shared" si="96"/>
        <v>Olson,_6181_NM-Tax Services-ANN-1040 - Personal_Basic</v>
      </c>
    </row>
    <row r="522" spans="1:39" x14ac:dyDescent="0.25">
      <c r="A522" s="2" t="s">
        <v>748</v>
      </c>
      <c r="B522" s="2" t="s">
        <v>749</v>
      </c>
      <c r="C522" s="2" t="s">
        <v>1196</v>
      </c>
      <c r="D522" s="8">
        <v>43831</v>
      </c>
      <c r="E522" s="5" t="str">
        <f t="shared" si="97"/>
        <v>O'Neil, Ryan_01-01-20</v>
      </c>
      <c r="F522" s="2" t="s">
        <v>1203</v>
      </c>
      <c r="G522" s="2" t="s">
        <v>1241</v>
      </c>
      <c r="H522" s="2" t="s">
        <v>1220</v>
      </c>
      <c r="I522" s="2" t="s">
        <v>1223</v>
      </c>
      <c r="J522" s="2" t="s">
        <v>1234</v>
      </c>
      <c r="M522" s="5" t="str">
        <f t="shared" si="88"/>
        <v>Basic</v>
      </c>
      <c r="N522" s="5" t="str">
        <f t="shared" si="89"/>
        <v>Tax-Staff-Basic</v>
      </c>
      <c r="O522" s="5" t="str">
        <f t="shared" si="90"/>
        <v>Tax-Reviewer-Basic</v>
      </c>
      <c r="P522" s="5" t="str">
        <f t="shared" si="91"/>
        <v>Tax-Signer-Basic</v>
      </c>
      <c r="Q522" s="6">
        <v>1.4675000000000016</v>
      </c>
      <c r="R522" s="6">
        <v>0.29350000000000032</v>
      </c>
      <c r="S522" s="6">
        <v>0.14675000000000016</v>
      </c>
      <c r="T522" s="7">
        <f t="shared" si="98"/>
        <v>1.9077500000000021</v>
      </c>
      <c r="U522" s="6" t="e">
        <f>SUMIFS([1]Sheet1!$L:$L,[1]Sheet1!$I:$I,AJ522,[1]Sheet1!$C:$C,A522)</f>
        <v>#VALUE!</v>
      </c>
      <c r="V522" s="6"/>
      <c r="W522" s="6"/>
      <c r="X522" s="7" t="e">
        <f t="shared" si="92"/>
        <v>#VALUE!</v>
      </c>
      <c r="Y522" s="6"/>
      <c r="AJ522" s="5" t="str">
        <f t="shared" si="93"/>
        <v>NM 1040 - Personal</v>
      </c>
      <c r="AK522" s="5" t="str">
        <f t="shared" si="94"/>
        <v>NM-Tax Services-ANN-1040 - Personal_Basic</v>
      </c>
      <c r="AL522" s="5" t="str">
        <f t="shared" si="95"/>
        <v>O'Neil_2136_NM 1040 - Personal</v>
      </c>
      <c r="AM522" s="5" t="str">
        <f t="shared" si="96"/>
        <v>O'Neil_2136_NM-Tax Services-ANN-1040 - Personal_Basic</v>
      </c>
    </row>
    <row r="523" spans="1:39" x14ac:dyDescent="0.25">
      <c r="A523" s="2" t="s">
        <v>123</v>
      </c>
      <c r="B523" s="2" t="s">
        <v>124</v>
      </c>
      <c r="C523" s="2" t="s">
        <v>1197</v>
      </c>
      <c r="D523" s="8">
        <v>43831</v>
      </c>
      <c r="E523" s="5" t="str">
        <f t="shared" si="97"/>
        <v>Ora Dental PLLC_01-01-20</v>
      </c>
      <c r="F523" s="2" t="s">
        <v>1199</v>
      </c>
      <c r="G523" s="2" t="s">
        <v>1241</v>
      </c>
      <c r="H523" s="2" t="s">
        <v>1220</v>
      </c>
      <c r="I523" s="2" t="s">
        <v>1221</v>
      </c>
      <c r="J523" s="2" t="s">
        <v>1234</v>
      </c>
      <c r="M523" s="5" t="str">
        <f t="shared" si="88"/>
        <v>Mid</v>
      </c>
      <c r="N523" s="5" t="str">
        <f t="shared" si="89"/>
        <v>Tax-Staff-Mid</v>
      </c>
      <c r="O523" s="5" t="str">
        <f t="shared" si="90"/>
        <v>Tax-Reviewer-Mid</v>
      </c>
      <c r="P523" s="5" t="str">
        <f t="shared" si="91"/>
        <v>Tax-Signer-Mid</v>
      </c>
      <c r="Q523" s="6">
        <v>2.7401969696969677</v>
      </c>
      <c r="R523" s="6">
        <v>0.5480393939393936</v>
      </c>
      <c r="S523" s="6">
        <v>0.2740196969696968</v>
      </c>
      <c r="T523" s="7">
        <f t="shared" si="98"/>
        <v>3.562256060606058</v>
      </c>
      <c r="U523" s="6" t="e">
        <f>SUMIFS([1]Sheet1!$L:$L,[1]Sheet1!$I:$I,AJ523,[1]Sheet1!$C:$C,A523)</f>
        <v>#VALUE!</v>
      </c>
      <c r="V523" s="6"/>
      <c r="W523" s="6"/>
      <c r="X523" s="7" t="e">
        <f t="shared" si="92"/>
        <v>#VALUE!</v>
      </c>
      <c r="Y523" s="6"/>
      <c r="AJ523" s="5" t="str">
        <f t="shared" si="93"/>
        <v>MO 1065 - Partnership</v>
      </c>
      <c r="AK523" s="5" t="str">
        <f t="shared" si="94"/>
        <v>MO-Tax Services-ANN-1065 - Partnership_Mid</v>
      </c>
      <c r="AL523" s="5" t="str">
        <f t="shared" si="95"/>
        <v>Ora Dent_1120S_47-3995289_MO 1065 - Partnership</v>
      </c>
      <c r="AM523" s="5" t="str">
        <f t="shared" si="96"/>
        <v>Ora Dent_1120S_47-3995289_MO-Tax Services-ANN-1065 - Partnership_Mid</v>
      </c>
    </row>
    <row r="524" spans="1:39" x14ac:dyDescent="0.25">
      <c r="A524" s="2" t="s">
        <v>123</v>
      </c>
      <c r="B524" s="2" t="s">
        <v>124</v>
      </c>
      <c r="C524" s="2" t="s">
        <v>1197</v>
      </c>
      <c r="D524" s="8">
        <v>43831</v>
      </c>
      <c r="E524" s="5" t="str">
        <f t="shared" si="97"/>
        <v>Ora Dental PLLC_01-01-20</v>
      </c>
      <c r="F524" s="2" t="s">
        <v>1201</v>
      </c>
      <c r="G524" s="2" t="s">
        <v>1201</v>
      </c>
      <c r="H524" s="2" t="s">
        <v>1197</v>
      </c>
      <c r="I524" s="2" t="s">
        <v>1223</v>
      </c>
      <c r="J524" s="2" t="s">
        <v>1235</v>
      </c>
      <c r="M524" s="5" t="str">
        <f t="shared" si="88"/>
        <v>Basic</v>
      </c>
      <c r="N524" s="5" t="str">
        <f t="shared" si="89"/>
        <v>Accountant-Staff-Basic</v>
      </c>
      <c r="O524" s="5" t="str">
        <f t="shared" si="90"/>
        <v>Accountant-Reviewer-Basic</v>
      </c>
      <c r="P524" s="5" t="str">
        <f t="shared" si="91"/>
        <v>Accountant-Signer-Basic</v>
      </c>
      <c r="Q524" s="6">
        <v>1.47</v>
      </c>
      <c r="R524" s="6">
        <v>0.29399999999999998</v>
      </c>
      <c r="S524" s="6">
        <v>0.14699999999999999</v>
      </c>
      <c r="T524" s="7">
        <f t="shared" si="98"/>
        <v>1.911</v>
      </c>
      <c r="U524" s="6" t="e">
        <f>SUMIFS([1]Sheet1!$L:$L,[1]Sheet1!$I:$I,AJ524,[1]Sheet1!$C:$C,A524)</f>
        <v>#VALUE!</v>
      </c>
      <c r="V524" s="6"/>
      <c r="W524" s="6"/>
      <c r="X524" s="7" t="e">
        <f t="shared" si="92"/>
        <v>#VALUE!</v>
      </c>
      <c r="Y524" s="6"/>
      <c r="AJ524" s="5" t="str">
        <f t="shared" si="93"/>
        <v>MO Accounting Services</v>
      </c>
      <c r="AK524" s="5" t="str">
        <f t="shared" si="94"/>
        <v>MO-Accounting Services-MO-Accounting Services_Basic</v>
      </c>
      <c r="AL524" s="5" t="str">
        <f t="shared" si="95"/>
        <v>Ora Dent_1120S_47-3995289_MO Accounting Services</v>
      </c>
      <c r="AM524" s="5" t="str">
        <f t="shared" si="96"/>
        <v>Ora Dent_1120S_47-3995289_MO-Accounting Services-MO-Accounting Services_Basic</v>
      </c>
    </row>
    <row r="525" spans="1:39" x14ac:dyDescent="0.25">
      <c r="A525" s="2" t="s">
        <v>123</v>
      </c>
      <c r="B525" s="2" t="s">
        <v>124</v>
      </c>
      <c r="C525" s="2" t="s">
        <v>1197</v>
      </c>
      <c r="D525" s="8">
        <v>43831</v>
      </c>
      <c r="E525" s="5" t="str">
        <f t="shared" si="97"/>
        <v>Ora Dental PLLC_01-01-20</v>
      </c>
      <c r="F525" s="2" t="s">
        <v>1204</v>
      </c>
      <c r="G525" s="2" t="s">
        <v>1241</v>
      </c>
      <c r="H525" s="2" t="s">
        <v>1220</v>
      </c>
      <c r="I525" s="2" t="s">
        <v>1221</v>
      </c>
      <c r="J525" s="2" t="s">
        <v>1234</v>
      </c>
      <c r="M525" s="5" t="str">
        <f t="shared" si="88"/>
        <v>Mid</v>
      </c>
      <c r="N525" s="5" t="str">
        <f t="shared" si="89"/>
        <v>Tax-Staff-Mid</v>
      </c>
      <c r="O525" s="5" t="str">
        <f t="shared" si="90"/>
        <v>Tax-Reviewer-Mid</v>
      </c>
      <c r="P525" s="5" t="str">
        <f t="shared" si="91"/>
        <v>Tax-Signer-Mid</v>
      </c>
      <c r="Q525" s="6">
        <v>2.7401969696969677</v>
      </c>
      <c r="R525" s="6">
        <v>0.5480393939393936</v>
      </c>
      <c r="S525" s="6">
        <v>0.2740196969696968</v>
      </c>
      <c r="T525" s="7">
        <f t="shared" si="98"/>
        <v>3.562256060606058</v>
      </c>
      <c r="U525" s="6" t="e">
        <f>SUMIFS([1]Sheet1!$L:$L,[1]Sheet1!$I:$I,AJ525,[1]Sheet1!$C:$C,A525)</f>
        <v>#VALUE!</v>
      </c>
      <c r="V525" s="6"/>
      <c r="W525" s="6"/>
      <c r="X525" s="7" t="e">
        <f t="shared" si="92"/>
        <v>#VALUE!</v>
      </c>
      <c r="Y525" s="6"/>
      <c r="AJ525" s="5" t="str">
        <f t="shared" si="93"/>
        <v>MO 1120S - S Corporation</v>
      </c>
      <c r="AK525" s="5" t="str">
        <f t="shared" si="94"/>
        <v>MO-Tax Services-ANN-1120S - S Corporation_Mid</v>
      </c>
      <c r="AL525" s="5" t="str">
        <f t="shared" si="95"/>
        <v>Ora Dent_1120S_47-3995289_MO 1120S - S Corporation</v>
      </c>
      <c r="AM525" s="5" t="str">
        <f t="shared" si="96"/>
        <v>Ora Dent_1120S_47-3995289_MO-Tax Services-ANN-1120S - S Corporation_Mid</v>
      </c>
    </row>
    <row r="526" spans="1:39" x14ac:dyDescent="0.25">
      <c r="A526" s="2" t="s">
        <v>123</v>
      </c>
      <c r="B526" s="2" t="s">
        <v>124</v>
      </c>
      <c r="C526" s="2" t="s">
        <v>1197</v>
      </c>
      <c r="D526" s="8">
        <v>43831</v>
      </c>
      <c r="E526" s="5" t="str">
        <f t="shared" si="97"/>
        <v>Ora Dental PLLC_01-01-20</v>
      </c>
      <c r="F526" s="2" t="s">
        <v>1205</v>
      </c>
      <c r="G526" s="2" t="s">
        <v>1201</v>
      </c>
      <c r="H526" s="2" t="s">
        <v>1224</v>
      </c>
      <c r="I526" s="2" t="s">
        <v>1223</v>
      </c>
      <c r="J526" s="2" t="s">
        <v>1235</v>
      </c>
      <c r="M526" s="5" t="str">
        <f t="shared" si="88"/>
        <v>Basic</v>
      </c>
      <c r="N526" s="5" t="str">
        <f t="shared" si="89"/>
        <v>Accountant-Staff-Basic</v>
      </c>
      <c r="O526" s="5" t="str">
        <f t="shared" si="90"/>
        <v>Accountant-Reviewer-Basic</v>
      </c>
      <c r="P526" s="5" t="str">
        <f t="shared" si="91"/>
        <v>Accountant-Signer-Basic</v>
      </c>
      <c r="Q526" s="6">
        <v>0.5</v>
      </c>
      <c r="R526" s="6">
        <v>0.1</v>
      </c>
      <c r="S526" s="6">
        <v>0.05</v>
      </c>
      <c r="T526" s="7">
        <f t="shared" si="98"/>
        <v>0.65</v>
      </c>
      <c r="U526" s="6" t="e">
        <f>SUMIFS([1]Sheet1!$L:$L,[1]Sheet1!$I:$I,AJ526,[1]Sheet1!$C:$C,A526)</f>
        <v>#VALUE!</v>
      </c>
      <c r="V526" s="6"/>
      <c r="W526" s="6"/>
      <c r="X526" s="7" t="e">
        <f t="shared" si="92"/>
        <v>#VALUE!</v>
      </c>
      <c r="Y526" s="6"/>
      <c r="AJ526" s="5" t="str">
        <f t="shared" si="93"/>
        <v>MO Payroll Services</v>
      </c>
      <c r="AK526" s="5" t="str">
        <f t="shared" si="94"/>
        <v>MO-Accounting Services-QTR-Payroll Services_Basic</v>
      </c>
      <c r="AL526" s="5" t="str">
        <f t="shared" si="95"/>
        <v>Ora Dent_1120S_47-3995289_MO Payroll Services</v>
      </c>
      <c r="AM526" s="5" t="str">
        <f t="shared" si="96"/>
        <v>Ora Dent_1120S_47-3995289_MO-Accounting Services-QTR-Payroll Services_Basic</v>
      </c>
    </row>
    <row r="527" spans="1:39" x14ac:dyDescent="0.25">
      <c r="A527" s="2" t="s">
        <v>750</v>
      </c>
      <c r="B527" s="2" t="s">
        <v>751</v>
      </c>
      <c r="C527" s="2" t="s">
        <v>1196</v>
      </c>
      <c r="D527" s="8">
        <v>43831</v>
      </c>
      <c r="E527" s="5" t="str">
        <f t="shared" si="97"/>
        <v>Orsak, Brett_01-01-20</v>
      </c>
      <c r="F527" s="2" t="s">
        <v>1203</v>
      </c>
      <c r="G527" s="2" t="s">
        <v>1241</v>
      </c>
      <c r="H527" s="2" t="s">
        <v>1220</v>
      </c>
      <c r="I527" s="2" t="s">
        <v>1221</v>
      </c>
      <c r="J527" s="2" t="s">
        <v>1234</v>
      </c>
      <c r="M527" s="5" t="str">
        <f t="shared" si="88"/>
        <v>Mid</v>
      </c>
      <c r="N527" s="5" t="str">
        <f t="shared" si="89"/>
        <v>Tax-Staff-Mid</v>
      </c>
      <c r="O527" s="5" t="str">
        <f t="shared" si="90"/>
        <v>Tax-Reviewer-Mid</v>
      </c>
      <c r="P527" s="5" t="str">
        <f t="shared" si="91"/>
        <v>Tax-Signer-Mid</v>
      </c>
      <c r="Q527" s="6">
        <v>2.7401969696969677</v>
      </c>
      <c r="R527" s="6">
        <v>0.5480393939393936</v>
      </c>
      <c r="S527" s="6">
        <v>0.2740196969696968</v>
      </c>
      <c r="T527" s="7">
        <f t="shared" si="98"/>
        <v>3.562256060606058</v>
      </c>
      <c r="U527" s="6" t="e">
        <f>SUMIFS([1]Sheet1!$L:$L,[1]Sheet1!$I:$I,AJ527,[1]Sheet1!$C:$C,A527)</f>
        <v>#VALUE!</v>
      </c>
      <c r="V527" s="6"/>
      <c r="W527" s="6"/>
      <c r="X527" s="7" t="e">
        <f t="shared" si="92"/>
        <v>#VALUE!</v>
      </c>
      <c r="Y527" s="6"/>
      <c r="AJ527" s="5" t="str">
        <f t="shared" si="93"/>
        <v>NM 1040 - Personal</v>
      </c>
      <c r="AK527" s="5" t="str">
        <f t="shared" si="94"/>
        <v>NM-Tax Services-ANN-1040 - Personal_Mid</v>
      </c>
      <c r="AL527" s="5" t="str">
        <f t="shared" si="95"/>
        <v>Orsak,_2804_NM 1040 - Personal</v>
      </c>
      <c r="AM527" s="5" t="str">
        <f t="shared" si="96"/>
        <v>Orsak,_2804_NM-Tax Services-ANN-1040 - Personal_Mid</v>
      </c>
    </row>
    <row r="528" spans="1:39" x14ac:dyDescent="0.25">
      <c r="A528" s="2" t="s">
        <v>207</v>
      </c>
      <c r="B528" s="2" t="s">
        <v>208</v>
      </c>
      <c r="C528" s="2" t="s">
        <v>1196</v>
      </c>
      <c r="D528" s="8">
        <v>43831</v>
      </c>
      <c r="E528" s="5" t="str">
        <f t="shared" si="97"/>
        <v>Othram Inc_01-01-20</v>
      </c>
      <c r="F528" s="2" t="s">
        <v>1206</v>
      </c>
      <c r="G528" s="2" t="s">
        <v>1241</v>
      </c>
      <c r="H528" s="2" t="s">
        <v>1220</v>
      </c>
      <c r="I528" s="2" t="s">
        <v>1221</v>
      </c>
      <c r="J528" s="2" t="s">
        <v>1234</v>
      </c>
      <c r="M528" s="5" t="str">
        <f t="shared" si="88"/>
        <v>Mid</v>
      </c>
      <c r="N528" s="5" t="str">
        <f t="shared" si="89"/>
        <v>Tax-Staff-Mid</v>
      </c>
      <c r="O528" s="5" t="str">
        <f t="shared" si="90"/>
        <v>Tax-Reviewer-Mid</v>
      </c>
      <c r="P528" s="5" t="str">
        <f t="shared" si="91"/>
        <v>Tax-Signer-Mid</v>
      </c>
      <c r="Q528" s="6">
        <v>2.7401969696969677</v>
      </c>
      <c r="R528" s="6">
        <v>0.5480393939393936</v>
      </c>
      <c r="S528" s="6">
        <v>0.2740196969696968</v>
      </c>
      <c r="T528" s="7">
        <f t="shared" si="98"/>
        <v>3.562256060606058</v>
      </c>
      <c r="U528" s="6" t="e">
        <f>SUMIFS([1]Sheet1!$L:$L,[1]Sheet1!$I:$I,AJ528,[1]Sheet1!$C:$C,A528)</f>
        <v>#VALUE!</v>
      </c>
      <c r="V528" s="6"/>
      <c r="W528" s="6"/>
      <c r="X528" s="7" t="e">
        <f t="shared" si="92"/>
        <v>#VALUE!</v>
      </c>
      <c r="Y528" s="6"/>
      <c r="AJ528" s="5" t="str">
        <f t="shared" si="93"/>
        <v>NM 1120 - C Corporation</v>
      </c>
      <c r="AK528" s="5" t="str">
        <f t="shared" si="94"/>
        <v>NM-Tax Services-ANN-1120 - C Corporation_Mid</v>
      </c>
      <c r="AL528" s="5" t="str">
        <f t="shared" si="95"/>
        <v>Othram I_1120C_83-1835867_NM 1120 - C Corporation</v>
      </c>
      <c r="AM528" s="5" t="str">
        <f t="shared" si="96"/>
        <v>Othram I_1120C_83-1835867_NM-Tax Services-ANN-1120 - C Corporation_Mid</v>
      </c>
    </row>
    <row r="529" spans="1:39" ht="13.5" customHeight="1" x14ac:dyDescent="0.25">
      <c r="A529" s="2" t="s">
        <v>140</v>
      </c>
      <c r="B529" s="2" t="s">
        <v>141</v>
      </c>
      <c r="C529" s="2" t="s">
        <v>1197</v>
      </c>
      <c r="D529" s="8">
        <v>43831</v>
      </c>
      <c r="E529" s="5" t="str">
        <f t="shared" si="97"/>
        <v>Overkill Motorsports Inc._01-01-20</v>
      </c>
      <c r="F529" s="2" t="s">
        <v>1203</v>
      </c>
      <c r="G529" s="2" t="s">
        <v>1241</v>
      </c>
      <c r="H529" s="2" t="s">
        <v>1220</v>
      </c>
      <c r="I529" s="2" t="s">
        <v>1223</v>
      </c>
      <c r="J529" s="2" t="s">
        <v>1234</v>
      </c>
      <c r="M529" s="5" t="str">
        <f t="shared" si="88"/>
        <v>Basic</v>
      </c>
      <c r="N529" s="5" t="str">
        <f t="shared" si="89"/>
        <v>Tax-Staff-Basic</v>
      </c>
      <c r="O529" s="5" t="str">
        <f t="shared" si="90"/>
        <v>Tax-Reviewer-Basic</v>
      </c>
      <c r="P529" s="5" t="str">
        <f t="shared" si="91"/>
        <v>Tax-Signer-Basic</v>
      </c>
      <c r="Q529" s="6">
        <v>1.4675000000000016</v>
      </c>
      <c r="R529" s="6">
        <v>0.29350000000000032</v>
      </c>
      <c r="S529" s="6">
        <v>0.14675000000000016</v>
      </c>
      <c r="T529" s="7">
        <f t="shared" si="98"/>
        <v>1.9077500000000021</v>
      </c>
      <c r="U529" s="6" t="e">
        <f>SUMIFS([1]Sheet1!$L:$L,[1]Sheet1!$I:$I,AJ529,[1]Sheet1!$C:$C,A529)</f>
        <v>#VALUE!</v>
      </c>
      <c r="V529" s="6"/>
      <c r="W529" s="6"/>
      <c r="X529" s="7" t="e">
        <f t="shared" si="92"/>
        <v>#VALUE!</v>
      </c>
      <c r="Y529" s="6"/>
      <c r="AJ529" s="5" t="str">
        <f t="shared" si="93"/>
        <v>MO 1040 - Personal</v>
      </c>
      <c r="AK529" s="5" t="str">
        <f t="shared" si="94"/>
        <v>MO-Tax Services-ANN-1040 - Personal_Basic</v>
      </c>
      <c r="AL529" s="5" t="str">
        <f t="shared" si="95"/>
        <v>Overkill_1120S_26-2109235_MO 1040 - Personal</v>
      </c>
      <c r="AM529" s="5" t="str">
        <f t="shared" si="96"/>
        <v>Overkill_1120S_26-2109235_MO-Tax Services-ANN-1040 - Personal_Basic</v>
      </c>
    </row>
    <row r="530" spans="1:39" ht="14.25" customHeight="1" x14ac:dyDescent="0.25">
      <c r="A530" s="2" t="s">
        <v>140</v>
      </c>
      <c r="B530" s="2" t="s">
        <v>141</v>
      </c>
      <c r="C530" s="2" t="s">
        <v>1197</v>
      </c>
      <c r="D530" s="8">
        <v>43831</v>
      </c>
      <c r="E530" s="5" t="str">
        <f t="shared" si="97"/>
        <v>Overkill Motorsports Inc._01-01-20</v>
      </c>
      <c r="F530" s="2" t="s">
        <v>1201</v>
      </c>
      <c r="G530" s="2" t="s">
        <v>1201</v>
      </c>
      <c r="H530" s="2" t="s">
        <v>1197</v>
      </c>
      <c r="I530" s="2" t="s">
        <v>1221</v>
      </c>
      <c r="J530" s="2" t="s">
        <v>1235</v>
      </c>
      <c r="M530" s="5" t="str">
        <f t="shared" si="88"/>
        <v>Mid</v>
      </c>
      <c r="N530" s="5" t="str">
        <f t="shared" si="89"/>
        <v>Accountant-Staff-Mid</v>
      </c>
      <c r="O530" s="5" t="str">
        <f t="shared" si="90"/>
        <v>Accountant-Reviewer-Mid</v>
      </c>
      <c r="P530" s="5" t="str">
        <f t="shared" si="91"/>
        <v>Accountant-Signer-Mid</v>
      </c>
      <c r="Q530" s="6">
        <v>1.47</v>
      </c>
      <c r="R530" s="6">
        <v>0.29399999999999998</v>
      </c>
      <c r="S530" s="6">
        <v>0.14699999999999999</v>
      </c>
      <c r="T530" s="7">
        <f t="shared" si="98"/>
        <v>1.911</v>
      </c>
      <c r="U530" s="6" t="e">
        <f>SUMIFS([1]Sheet1!$L:$L,[1]Sheet1!$I:$I,AJ530,[1]Sheet1!$C:$C,A530)</f>
        <v>#VALUE!</v>
      </c>
      <c r="V530" s="6"/>
      <c r="W530" s="6"/>
      <c r="X530" s="7" t="e">
        <f t="shared" si="92"/>
        <v>#VALUE!</v>
      </c>
      <c r="Y530" s="6"/>
      <c r="AJ530" s="5" t="str">
        <f t="shared" si="93"/>
        <v>MO Accounting Services</v>
      </c>
      <c r="AK530" s="5" t="str">
        <f t="shared" si="94"/>
        <v>MO-Accounting Services-MO-Accounting Services_Mid</v>
      </c>
      <c r="AL530" s="5" t="str">
        <f t="shared" si="95"/>
        <v>Overkill_1120S_26-2109235_MO Accounting Services</v>
      </c>
      <c r="AM530" s="5" t="str">
        <f t="shared" si="96"/>
        <v>Overkill_1120S_26-2109235_MO-Accounting Services-MO-Accounting Services_Mid</v>
      </c>
    </row>
    <row r="531" spans="1:39" x14ac:dyDescent="0.25">
      <c r="A531" s="2" t="s">
        <v>140</v>
      </c>
      <c r="B531" s="2" t="s">
        <v>141</v>
      </c>
      <c r="C531" s="2" t="s">
        <v>1197</v>
      </c>
      <c r="D531" s="8">
        <v>43831</v>
      </c>
      <c r="E531" s="5" t="str">
        <f t="shared" si="97"/>
        <v>Overkill Motorsports Inc._01-01-20</v>
      </c>
      <c r="F531" s="2" t="s">
        <v>1204</v>
      </c>
      <c r="G531" s="2" t="s">
        <v>1241</v>
      </c>
      <c r="H531" s="2" t="s">
        <v>1220</v>
      </c>
      <c r="I531" s="2" t="s">
        <v>1222</v>
      </c>
      <c r="J531" s="2" t="s">
        <v>1234</v>
      </c>
      <c r="M531" s="5" t="str">
        <f t="shared" si="88"/>
        <v>Adv</v>
      </c>
      <c r="N531" s="5" t="str">
        <f t="shared" si="89"/>
        <v>Tax-Staff-Adv</v>
      </c>
      <c r="O531" s="5" t="str">
        <f t="shared" si="90"/>
        <v>Tax-Reviewer-Adv</v>
      </c>
      <c r="P531" s="5" t="str">
        <f t="shared" si="91"/>
        <v>Tax-Signer-Adv</v>
      </c>
      <c r="Q531" s="6">
        <v>4.5832500000000005</v>
      </c>
      <c r="R531" s="6">
        <v>0.91665000000000019</v>
      </c>
      <c r="S531" s="6">
        <v>0.45832500000000009</v>
      </c>
      <c r="T531" s="7">
        <f t="shared" si="98"/>
        <v>5.9582250000000005</v>
      </c>
      <c r="U531" s="6" t="e">
        <f>SUMIFS([1]Sheet1!$L:$L,[1]Sheet1!$I:$I,AJ531,[1]Sheet1!$C:$C,A531)</f>
        <v>#VALUE!</v>
      </c>
      <c r="V531" s="6"/>
      <c r="W531" s="6"/>
      <c r="X531" s="7" t="e">
        <f t="shared" si="92"/>
        <v>#VALUE!</v>
      </c>
      <c r="Y531" s="6"/>
      <c r="AJ531" s="5" t="str">
        <f t="shared" si="93"/>
        <v>MO 1120S - S Corporation</v>
      </c>
      <c r="AK531" s="5" t="str">
        <f t="shared" si="94"/>
        <v>MO-Tax Services-ANN-1120S - S Corporation_Adv</v>
      </c>
      <c r="AL531" s="5" t="str">
        <f t="shared" si="95"/>
        <v>Overkill_1120S_26-2109235_MO 1120S - S Corporation</v>
      </c>
      <c r="AM531" s="5" t="str">
        <f t="shared" si="96"/>
        <v>Overkill_1120S_26-2109235_MO-Tax Services-ANN-1120S - S Corporation_Adv</v>
      </c>
    </row>
    <row r="532" spans="1:39" x14ac:dyDescent="0.25">
      <c r="A532" s="2" t="s">
        <v>140</v>
      </c>
      <c r="B532" s="2" t="s">
        <v>141</v>
      </c>
      <c r="C532" s="2" t="s">
        <v>1197</v>
      </c>
      <c r="D532" s="8">
        <v>43831</v>
      </c>
      <c r="E532" s="5" t="str">
        <f t="shared" si="97"/>
        <v>Overkill Motorsports Inc._01-01-20</v>
      </c>
      <c r="F532" s="2" t="s">
        <v>1200</v>
      </c>
      <c r="G532" s="2" t="s">
        <v>1241</v>
      </c>
      <c r="H532" s="2" t="s">
        <v>1220</v>
      </c>
      <c r="I532" s="2" t="s">
        <v>1222</v>
      </c>
      <c r="J532" s="2" t="s">
        <v>1234</v>
      </c>
      <c r="M532" s="5" t="str">
        <f t="shared" si="88"/>
        <v>Adv</v>
      </c>
      <c r="N532" s="5" t="str">
        <f t="shared" si="89"/>
        <v>Tax-Staff-Adv</v>
      </c>
      <c r="O532" s="5" t="str">
        <f t="shared" si="90"/>
        <v>Tax-Reviewer-Adv</v>
      </c>
      <c r="P532" s="5" t="str">
        <f t="shared" si="91"/>
        <v>Tax-Signer-Adv</v>
      </c>
      <c r="Q532" s="6">
        <v>1.5</v>
      </c>
      <c r="R532" s="6">
        <v>0.30000000000000004</v>
      </c>
      <c r="S532" s="6">
        <v>0.15000000000000002</v>
      </c>
      <c r="T532" s="7">
        <f t="shared" si="98"/>
        <v>1.9500000000000002</v>
      </c>
      <c r="U532" s="6" t="e">
        <f>SUMIFS([1]Sheet1!$L:$L,[1]Sheet1!$I:$I,AJ532,[1]Sheet1!$C:$C,A532)</f>
        <v>#VALUE!</v>
      </c>
      <c r="V532" s="6"/>
      <c r="W532" s="6"/>
      <c r="X532" s="7" t="e">
        <f t="shared" si="92"/>
        <v>#VALUE!</v>
      </c>
      <c r="Y532" s="6"/>
      <c r="AJ532" s="5" t="str">
        <f t="shared" si="93"/>
        <v>MO Texas Franchise Tax Return</v>
      </c>
      <c r="AK532" s="5" t="str">
        <f t="shared" si="94"/>
        <v>MO-Tax Services-ANN-Texas Franchise Tax Return_Adv</v>
      </c>
      <c r="AL532" s="5" t="str">
        <f t="shared" si="95"/>
        <v>Overkill_1120S_26-2109235_MO Texas Franchise Tax Return</v>
      </c>
      <c r="AM532" s="5" t="str">
        <f t="shared" si="96"/>
        <v>Overkill_1120S_26-2109235_MO-Tax Services-ANN-Texas Franchise Tax Return_Adv</v>
      </c>
    </row>
    <row r="533" spans="1:39" x14ac:dyDescent="0.25">
      <c r="A533" s="2" t="s">
        <v>1049</v>
      </c>
      <c r="B533" s="2" t="s">
        <v>1050</v>
      </c>
      <c r="C533" s="2" t="s">
        <v>1196</v>
      </c>
      <c r="D533" s="8">
        <v>43831</v>
      </c>
      <c r="E533" s="5" t="str">
        <f t="shared" si="97"/>
        <v>P and C Out of the Box, LLC_01-01-20</v>
      </c>
      <c r="F533" s="2" t="s">
        <v>1199</v>
      </c>
      <c r="G533" s="2" t="s">
        <v>1241</v>
      </c>
      <c r="H533" s="2" t="s">
        <v>1220</v>
      </c>
      <c r="I533" s="2" t="s">
        <v>1223</v>
      </c>
      <c r="J533" s="2" t="s">
        <v>1234</v>
      </c>
      <c r="M533" s="5" t="str">
        <f t="shared" si="88"/>
        <v>Basic</v>
      </c>
      <c r="N533" s="5" t="str">
        <f t="shared" si="89"/>
        <v>Tax-Staff-Basic</v>
      </c>
      <c r="O533" s="5" t="str">
        <f t="shared" si="90"/>
        <v>Tax-Reviewer-Basic</v>
      </c>
      <c r="P533" s="5" t="str">
        <f t="shared" si="91"/>
        <v>Tax-Signer-Basic</v>
      </c>
      <c r="Q533" s="6">
        <v>1.4675000000000016</v>
      </c>
      <c r="R533" s="6">
        <v>0.29350000000000032</v>
      </c>
      <c r="S533" s="6">
        <v>0.14675000000000016</v>
      </c>
      <c r="T533" s="7">
        <f t="shared" si="98"/>
        <v>1.9077500000000021</v>
      </c>
      <c r="U533" s="6" t="e">
        <f>SUMIFS([1]Sheet1!$L:$L,[1]Sheet1!$I:$I,AJ533,[1]Sheet1!$C:$C,A533)</f>
        <v>#VALUE!</v>
      </c>
      <c r="V533" s="6"/>
      <c r="W533" s="6"/>
      <c r="X533" s="7" t="e">
        <f t="shared" si="92"/>
        <v>#VALUE!</v>
      </c>
      <c r="Y533" s="6"/>
      <c r="AJ533" s="5" t="str">
        <f t="shared" si="93"/>
        <v>NM 1065 - Partnership</v>
      </c>
      <c r="AK533" s="5" t="str">
        <f t="shared" si="94"/>
        <v>NM-Tax Services-ANN-1065 - Partnership_Basic</v>
      </c>
      <c r="AL533" s="5" t="str">
        <f t="shared" si="95"/>
        <v>P and C _1065_82-1733178_NM 1065 - Partnership</v>
      </c>
      <c r="AM533" s="5" t="str">
        <f t="shared" si="96"/>
        <v>P and C _1065_82-1733178_NM-Tax Services-ANN-1065 - Partnership_Basic</v>
      </c>
    </row>
    <row r="534" spans="1:39" x14ac:dyDescent="0.25">
      <c r="A534" s="2" t="s">
        <v>1049</v>
      </c>
      <c r="B534" s="2" t="s">
        <v>1050</v>
      </c>
      <c r="C534" s="2" t="s">
        <v>1196</v>
      </c>
      <c r="D534" s="8">
        <v>43831</v>
      </c>
      <c r="E534" s="5" t="str">
        <f t="shared" si="97"/>
        <v>P and C Out of the Box, LLC_01-01-20</v>
      </c>
      <c r="F534" s="2" t="s">
        <v>1200</v>
      </c>
      <c r="G534" s="2" t="s">
        <v>1241</v>
      </c>
      <c r="H534" s="2" t="s">
        <v>1220</v>
      </c>
      <c r="I534" s="2" t="s">
        <v>1223</v>
      </c>
      <c r="J534" s="2" t="s">
        <v>1234</v>
      </c>
      <c r="M534" s="5" t="str">
        <f t="shared" si="88"/>
        <v>Basic</v>
      </c>
      <c r="N534" s="5" t="str">
        <f t="shared" si="89"/>
        <v>Tax-Staff-Basic</v>
      </c>
      <c r="O534" s="5" t="str">
        <f t="shared" si="90"/>
        <v>Tax-Reviewer-Basic</v>
      </c>
      <c r="P534" s="5" t="str">
        <f t="shared" si="91"/>
        <v>Tax-Signer-Basic</v>
      </c>
      <c r="Q534" s="6">
        <v>0.5</v>
      </c>
      <c r="R534" s="6">
        <v>0.1</v>
      </c>
      <c r="S534" s="6">
        <v>0.05</v>
      </c>
      <c r="T534" s="7">
        <f t="shared" si="98"/>
        <v>0.65</v>
      </c>
      <c r="U534" s="6" t="e">
        <f>SUMIFS([1]Sheet1!$L:$L,[1]Sheet1!$I:$I,AJ534,[1]Sheet1!$C:$C,A534)</f>
        <v>#VALUE!</v>
      </c>
      <c r="V534" s="6"/>
      <c r="W534" s="6"/>
      <c r="X534" s="7" t="e">
        <f t="shared" si="92"/>
        <v>#VALUE!</v>
      </c>
      <c r="Y534" s="6"/>
      <c r="AJ534" s="5" t="str">
        <f t="shared" si="93"/>
        <v>NM Texas Franchise Tax Return</v>
      </c>
      <c r="AK534" s="5" t="str">
        <f t="shared" si="94"/>
        <v>NM-Tax Services-ANN-Texas Franchise Tax Return_Basic</v>
      </c>
      <c r="AL534" s="5" t="str">
        <f t="shared" si="95"/>
        <v>P and C _1065_82-1733178_NM Texas Franchise Tax Return</v>
      </c>
      <c r="AM534" s="5" t="str">
        <f t="shared" si="96"/>
        <v>P and C _1065_82-1733178_NM-Tax Services-ANN-Texas Franchise Tax Return_Basic</v>
      </c>
    </row>
    <row r="535" spans="1:39" x14ac:dyDescent="0.25">
      <c r="A535" s="2" t="s">
        <v>281</v>
      </c>
      <c r="B535" s="2" t="s">
        <v>282</v>
      </c>
      <c r="C535" s="2" t="s">
        <v>1196</v>
      </c>
      <c r="D535" s="8">
        <v>43831</v>
      </c>
      <c r="E535" s="5" t="str">
        <f t="shared" si="97"/>
        <v>P and C Amaya Enterprises, LLC_01-01-20</v>
      </c>
      <c r="F535" s="2" t="s">
        <v>1204</v>
      </c>
      <c r="G535" s="2" t="s">
        <v>1241</v>
      </c>
      <c r="H535" s="2" t="s">
        <v>1220</v>
      </c>
      <c r="I535" s="2" t="s">
        <v>1223</v>
      </c>
      <c r="J535" s="2" t="s">
        <v>1234</v>
      </c>
      <c r="M535" s="5" t="str">
        <f t="shared" si="88"/>
        <v>Basic</v>
      </c>
      <c r="N535" s="5" t="str">
        <f t="shared" si="89"/>
        <v>Tax-Staff-Basic</v>
      </c>
      <c r="O535" s="5" t="str">
        <f t="shared" si="90"/>
        <v>Tax-Reviewer-Basic</v>
      </c>
      <c r="P535" s="5" t="str">
        <f t="shared" si="91"/>
        <v>Tax-Signer-Basic</v>
      </c>
      <c r="Q535" s="6">
        <v>1.4675000000000016</v>
      </c>
      <c r="R535" s="6">
        <v>0.29350000000000032</v>
      </c>
      <c r="S535" s="6">
        <v>0.14675000000000016</v>
      </c>
      <c r="T535" s="7">
        <f t="shared" si="98"/>
        <v>1.9077500000000021</v>
      </c>
      <c r="U535" s="6" t="e">
        <f>SUMIFS([1]Sheet1!$L:$L,[1]Sheet1!$I:$I,AJ535,[1]Sheet1!$C:$C,A535)</f>
        <v>#VALUE!</v>
      </c>
      <c r="V535" s="6"/>
      <c r="W535" s="6"/>
      <c r="X535" s="7" t="e">
        <f t="shared" si="92"/>
        <v>#VALUE!</v>
      </c>
      <c r="Y535" s="6"/>
      <c r="AJ535" s="5" t="str">
        <f t="shared" si="93"/>
        <v>NM 1120S - S Corporation</v>
      </c>
      <c r="AK535" s="5" t="str">
        <f t="shared" si="94"/>
        <v>NM-Tax Services-ANN-1120S - S Corporation_Basic</v>
      </c>
      <c r="AL535" s="5" t="str">
        <f t="shared" si="95"/>
        <v>P and C _1120S_82-1732927_NM 1120S - S Corporation</v>
      </c>
      <c r="AM535" s="5" t="str">
        <f t="shared" si="96"/>
        <v>P and C _1120S_82-1732927_NM-Tax Services-ANN-1120S - S Corporation_Basic</v>
      </c>
    </row>
    <row r="536" spans="1:39" x14ac:dyDescent="0.25">
      <c r="A536" s="2" t="s">
        <v>281</v>
      </c>
      <c r="B536" s="2" t="s">
        <v>282</v>
      </c>
      <c r="C536" s="2" t="s">
        <v>1196</v>
      </c>
      <c r="D536" s="8">
        <v>43831</v>
      </c>
      <c r="E536" s="5" t="str">
        <f t="shared" si="97"/>
        <v>P and C Amaya Enterprises, LLC_01-01-20</v>
      </c>
      <c r="F536" s="2" t="s">
        <v>1200</v>
      </c>
      <c r="G536" s="2" t="s">
        <v>1241</v>
      </c>
      <c r="H536" s="2" t="s">
        <v>1220</v>
      </c>
      <c r="I536" s="2" t="s">
        <v>1223</v>
      </c>
      <c r="J536" s="2" t="s">
        <v>1234</v>
      </c>
      <c r="M536" s="5" t="str">
        <f t="shared" si="88"/>
        <v>Basic</v>
      </c>
      <c r="N536" s="5" t="str">
        <f t="shared" si="89"/>
        <v>Tax-Staff-Basic</v>
      </c>
      <c r="O536" s="5" t="str">
        <f t="shared" si="90"/>
        <v>Tax-Reviewer-Basic</v>
      </c>
      <c r="P536" s="5" t="str">
        <f t="shared" si="91"/>
        <v>Tax-Signer-Basic</v>
      </c>
      <c r="Q536" s="6">
        <v>0.5</v>
      </c>
      <c r="R536" s="6">
        <v>0.1</v>
      </c>
      <c r="S536" s="6">
        <v>0.05</v>
      </c>
      <c r="T536" s="7">
        <f t="shared" si="98"/>
        <v>0.65</v>
      </c>
      <c r="U536" s="6" t="e">
        <f>SUMIFS([1]Sheet1!$L:$L,[1]Sheet1!$I:$I,AJ536,[1]Sheet1!$C:$C,A536)</f>
        <v>#VALUE!</v>
      </c>
      <c r="V536" s="6"/>
      <c r="W536" s="6"/>
      <c r="X536" s="7" t="e">
        <f t="shared" si="92"/>
        <v>#VALUE!</v>
      </c>
      <c r="Y536" s="6"/>
      <c r="AJ536" s="5" t="str">
        <f t="shared" si="93"/>
        <v>NM Texas Franchise Tax Return</v>
      </c>
      <c r="AK536" s="5" t="str">
        <f t="shared" si="94"/>
        <v>NM-Tax Services-ANN-Texas Franchise Tax Return_Basic</v>
      </c>
      <c r="AL536" s="5" t="str">
        <f t="shared" si="95"/>
        <v>P and C _1120S_82-1732927_NM Texas Franchise Tax Return</v>
      </c>
      <c r="AM536" s="5" t="str">
        <f t="shared" si="96"/>
        <v>P and C _1120S_82-1732927_NM-Tax Services-ANN-Texas Franchise Tax Return_Basic</v>
      </c>
    </row>
    <row r="537" spans="1:39" x14ac:dyDescent="0.25">
      <c r="A537" s="2" t="s">
        <v>1101</v>
      </c>
      <c r="B537" s="2" t="s">
        <v>1102</v>
      </c>
      <c r="C537" s="2" t="s">
        <v>1196</v>
      </c>
      <c r="D537" s="8">
        <v>43831</v>
      </c>
      <c r="E537" s="5" t="str">
        <f t="shared" si="97"/>
        <v>P and C Leverage Your Network, LLC_01-01-20</v>
      </c>
      <c r="F537" s="2" t="s">
        <v>1200</v>
      </c>
      <c r="G537" s="2" t="s">
        <v>1241</v>
      </c>
      <c r="H537" s="2" t="s">
        <v>1220</v>
      </c>
      <c r="I537" s="2" t="s">
        <v>1223</v>
      </c>
      <c r="J537" s="2" t="s">
        <v>1234</v>
      </c>
      <c r="M537" s="5" t="str">
        <f t="shared" si="88"/>
        <v>Basic</v>
      </c>
      <c r="N537" s="5" t="str">
        <f t="shared" si="89"/>
        <v>Tax-Staff-Basic</v>
      </c>
      <c r="O537" s="5" t="str">
        <f t="shared" si="90"/>
        <v>Tax-Reviewer-Basic</v>
      </c>
      <c r="P537" s="5" t="str">
        <f t="shared" si="91"/>
        <v>Tax-Signer-Basic</v>
      </c>
      <c r="Q537" s="6">
        <v>0.5</v>
      </c>
      <c r="R537" s="6">
        <v>0.1</v>
      </c>
      <c r="S537" s="6">
        <v>0.05</v>
      </c>
      <c r="T537" s="7">
        <f t="shared" si="98"/>
        <v>0.65</v>
      </c>
      <c r="U537" s="6" t="e">
        <f>SUMIFS([1]Sheet1!$L:$L,[1]Sheet1!$I:$I,AJ537,[1]Sheet1!$C:$C,A537)</f>
        <v>#VALUE!</v>
      </c>
      <c r="V537" s="6"/>
      <c r="W537" s="6"/>
      <c r="X537" s="7" t="e">
        <f t="shared" si="92"/>
        <v>#VALUE!</v>
      </c>
      <c r="Y537" s="6"/>
      <c r="AJ537" s="5" t="str">
        <f t="shared" si="93"/>
        <v>NM Texas Franchise Tax Return</v>
      </c>
      <c r="AK537" s="5" t="str">
        <f t="shared" si="94"/>
        <v>NM-Tax Services-ANN-Texas Franchise Tax Return_Basic</v>
      </c>
      <c r="AL537" s="5" t="str">
        <f t="shared" si="95"/>
        <v>P and C _TX-FTR_82-1949135_NM Texas Franchise Tax Return</v>
      </c>
      <c r="AM537" s="5" t="str">
        <f t="shared" si="96"/>
        <v>P and C _TX-FTR_82-1949135_NM-Tax Services-ANN-Texas Franchise Tax Return_Basic</v>
      </c>
    </row>
    <row r="538" spans="1:39" x14ac:dyDescent="0.25">
      <c r="A538" s="2" t="s">
        <v>984</v>
      </c>
      <c r="B538" s="2" t="s">
        <v>985</v>
      </c>
      <c r="C538" s="2" t="s">
        <v>1196</v>
      </c>
      <c r="D538" s="8">
        <v>43831</v>
      </c>
      <c r="E538" s="5" t="str">
        <f t="shared" si="97"/>
        <v>Paradigm Design &amp; Construction LLC_01-01-20</v>
      </c>
      <c r="F538" s="2" t="s">
        <v>1204</v>
      </c>
      <c r="G538" s="2" t="s">
        <v>1241</v>
      </c>
      <c r="H538" s="2" t="s">
        <v>1220</v>
      </c>
      <c r="I538" s="2" t="s">
        <v>1223</v>
      </c>
      <c r="J538" s="2" t="s">
        <v>1234</v>
      </c>
      <c r="M538" s="5" t="str">
        <f t="shared" si="88"/>
        <v>Basic</v>
      </c>
      <c r="N538" s="5" t="str">
        <f t="shared" si="89"/>
        <v>Tax-Staff-Basic</v>
      </c>
      <c r="O538" s="5" t="str">
        <f t="shared" si="90"/>
        <v>Tax-Reviewer-Basic</v>
      </c>
      <c r="P538" s="5" t="str">
        <f t="shared" si="91"/>
        <v>Tax-Signer-Basic</v>
      </c>
      <c r="Q538" s="6">
        <v>1.4675000000000016</v>
      </c>
      <c r="R538" s="6">
        <v>0.29350000000000032</v>
      </c>
      <c r="S538" s="6">
        <v>0.14675000000000016</v>
      </c>
      <c r="T538" s="7">
        <f t="shared" si="98"/>
        <v>1.9077500000000021</v>
      </c>
      <c r="U538" s="6" t="e">
        <f>SUMIFS([1]Sheet1!$L:$L,[1]Sheet1!$I:$I,AJ538,[1]Sheet1!$C:$C,A538)</f>
        <v>#VALUE!</v>
      </c>
      <c r="V538" s="6"/>
      <c r="W538" s="6"/>
      <c r="X538" s="7" t="e">
        <f t="shared" si="92"/>
        <v>#VALUE!</v>
      </c>
      <c r="Y538" s="6"/>
      <c r="AJ538" s="5" t="str">
        <f t="shared" si="93"/>
        <v>NM 1120S - S Corporation</v>
      </c>
      <c r="AK538" s="5" t="str">
        <f t="shared" si="94"/>
        <v>NM-Tax Services-ANN-1120S - S Corporation_Basic</v>
      </c>
      <c r="AL538" s="5" t="str">
        <f t="shared" si="95"/>
        <v>Paradigm_1120S_20-0828718_NM 1120S - S Corporation</v>
      </c>
      <c r="AM538" s="5" t="str">
        <f t="shared" si="96"/>
        <v>Paradigm_1120S_20-0828718_NM-Tax Services-ANN-1120S - S Corporation_Basic</v>
      </c>
    </row>
    <row r="539" spans="1:39" x14ac:dyDescent="0.25">
      <c r="A539" s="2" t="s">
        <v>984</v>
      </c>
      <c r="B539" s="2" t="s">
        <v>985</v>
      </c>
      <c r="C539" s="2" t="s">
        <v>1196</v>
      </c>
      <c r="D539" s="8">
        <v>43831</v>
      </c>
      <c r="E539" s="5" t="str">
        <f t="shared" si="97"/>
        <v>Paradigm Design &amp; Construction LLC_01-01-20</v>
      </c>
      <c r="F539" s="2" t="s">
        <v>1200</v>
      </c>
      <c r="G539" s="2" t="s">
        <v>1241</v>
      </c>
      <c r="H539" s="2" t="s">
        <v>1220</v>
      </c>
      <c r="I539" s="2" t="s">
        <v>1223</v>
      </c>
      <c r="J539" s="2" t="s">
        <v>1234</v>
      </c>
      <c r="M539" s="5" t="str">
        <f t="shared" si="88"/>
        <v>Basic</v>
      </c>
      <c r="N539" s="5" t="str">
        <f t="shared" si="89"/>
        <v>Tax-Staff-Basic</v>
      </c>
      <c r="O539" s="5" t="str">
        <f t="shared" si="90"/>
        <v>Tax-Reviewer-Basic</v>
      </c>
      <c r="P539" s="5" t="str">
        <f t="shared" si="91"/>
        <v>Tax-Signer-Basic</v>
      </c>
      <c r="Q539" s="6">
        <v>0.5</v>
      </c>
      <c r="R539" s="6">
        <v>0.1</v>
      </c>
      <c r="S539" s="6">
        <v>0.05</v>
      </c>
      <c r="T539" s="7">
        <f t="shared" si="98"/>
        <v>0.65</v>
      </c>
      <c r="U539" s="6" t="e">
        <f>SUMIFS([1]Sheet1!$L:$L,[1]Sheet1!$I:$I,AJ539,[1]Sheet1!$C:$C,A539)</f>
        <v>#VALUE!</v>
      </c>
      <c r="V539" s="6"/>
      <c r="W539" s="6"/>
      <c r="X539" s="7" t="e">
        <f t="shared" si="92"/>
        <v>#VALUE!</v>
      </c>
      <c r="Y539" s="6"/>
      <c r="AJ539" s="5" t="str">
        <f t="shared" si="93"/>
        <v>NM Texas Franchise Tax Return</v>
      </c>
      <c r="AK539" s="5" t="str">
        <f t="shared" si="94"/>
        <v>NM-Tax Services-ANN-Texas Franchise Tax Return_Basic</v>
      </c>
      <c r="AL539" s="5" t="str">
        <f t="shared" si="95"/>
        <v>Paradigm_1120S_20-0828718_NM Texas Franchise Tax Return</v>
      </c>
      <c r="AM539" s="5" t="str">
        <f t="shared" si="96"/>
        <v>Paradigm_1120S_20-0828718_NM-Tax Services-ANN-Texas Franchise Tax Return_Basic</v>
      </c>
    </row>
    <row r="540" spans="1:39" x14ac:dyDescent="0.25">
      <c r="A540" s="2" t="s">
        <v>752</v>
      </c>
      <c r="B540" s="2" t="s">
        <v>753</v>
      </c>
      <c r="C540" s="2" t="s">
        <v>1196</v>
      </c>
      <c r="D540" s="8">
        <v>43831</v>
      </c>
      <c r="E540" s="5" t="str">
        <f t="shared" si="97"/>
        <v>Patron, Peter_01-01-20</v>
      </c>
      <c r="F540" s="2" t="s">
        <v>1203</v>
      </c>
      <c r="G540" s="2" t="s">
        <v>1241</v>
      </c>
      <c r="H540" s="2" t="s">
        <v>1220</v>
      </c>
      <c r="I540" s="2" t="s">
        <v>1221</v>
      </c>
      <c r="J540" s="2" t="s">
        <v>1234</v>
      </c>
      <c r="M540" s="5" t="str">
        <f t="shared" si="88"/>
        <v>Mid</v>
      </c>
      <c r="N540" s="5" t="str">
        <f t="shared" si="89"/>
        <v>Tax-Staff-Mid</v>
      </c>
      <c r="O540" s="5" t="str">
        <f t="shared" si="90"/>
        <v>Tax-Reviewer-Mid</v>
      </c>
      <c r="P540" s="5" t="str">
        <f t="shared" si="91"/>
        <v>Tax-Signer-Mid</v>
      </c>
      <c r="Q540" s="6">
        <v>2.7401969696969677</v>
      </c>
      <c r="R540" s="6">
        <v>0.5480393939393936</v>
      </c>
      <c r="S540" s="6">
        <v>0.2740196969696968</v>
      </c>
      <c r="T540" s="7">
        <f t="shared" si="98"/>
        <v>3.562256060606058</v>
      </c>
      <c r="U540" s="6" t="e">
        <f>SUMIFS([1]Sheet1!$L:$L,[1]Sheet1!$I:$I,AJ540,[1]Sheet1!$C:$C,A540)</f>
        <v>#VALUE!</v>
      </c>
      <c r="V540" s="6"/>
      <c r="W540" s="6"/>
      <c r="X540" s="7" t="e">
        <f t="shared" si="92"/>
        <v>#VALUE!</v>
      </c>
      <c r="Y540" s="6"/>
      <c r="AJ540" s="5" t="str">
        <f t="shared" si="93"/>
        <v>NM 1040 - Personal</v>
      </c>
      <c r="AK540" s="5" t="str">
        <f t="shared" si="94"/>
        <v>NM-Tax Services-ANN-1040 - Personal_Mid</v>
      </c>
      <c r="AL540" s="5" t="str">
        <f t="shared" si="95"/>
        <v>Patron_7905_NM 1040 - Personal</v>
      </c>
      <c r="AM540" s="5" t="str">
        <f t="shared" si="96"/>
        <v>Patron_7905_NM-Tax Services-ANN-1040 - Personal_Mid</v>
      </c>
    </row>
    <row r="541" spans="1:39" x14ac:dyDescent="0.25">
      <c r="A541" s="2" t="s">
        <v>179</v>
      </c>
      <c r="B541" s="2" t="s">
        <v>180</v>
      </c>
      <c r="C541" s="2" t="s">
        <v>1197</v>
      </c>
      <c r="D541" s="8">
        <v>43831</v>
      </c>
      <c r="E541" s="5" t="str">
        <f t="shared" si="97"/>
        <v>Patton Electrical Contractors, LLC_01-01-20</v>
      </c>
      <c r="F541" s="2" t="s">
        <v>1201</v>
      </c>
      <c r="G541" s="2" t="s">
        <v>1201</v>
      </c>
      <c r="H541" s="2" t="s">
        <v>1197</v>
      </c>
      <c r="I541" s="2" t="s">
        <v>1223</v>
      </c>
      <c r="J541" s="2" t="s">
        <v>1235</v>
      </c>
      <c r="M541" s="5" t="str">
        <f t="shared" si="88"/>
        <v>Basic</v>
      </c>
      <c r="N541" s="5" t="str">
        <f t="shared" si="89"/>
        <v>Accountant-Staff-Basic</v>
      </c>
      <c r="O541" s="5" t="str">
        <f t="shared" si="90"/>
        <v>Accountant-Reviewer-Basic</v>
      </c>
      <c r="P541" s="5" t="str">
        <f t="shared" si="91"/>
        <v>Accountant-Signer-Basic</v>
      </c>
      <c r="Q541" s="6">
        <v>1.47</v>
      </c>
      <c r="R541" s="6">
        <v>0.29399999999999998</v>
      </c>
      <c r="S541" s="6">
        <v>0.14699999999999999</v>
      </c>
      <c r="T541" s="7">
        <f t="shared" si="98"/>
        <v>1.911</v>
      </c>
      <c r="U541" s="6" t="e">
        <f>SUMIFS([1]Sheet1!$L:$L,[1]Sheet1!$I:$I,AJ541,[1]Sheet1!$C:$C,A541)</f>
        <v>#VALUE!</v>
      </c>
      <c r="V541" s="6"/>
      <c r="W541" s="6"/>
      <c r="X541" s="7" t="e">
        <f t="shared" si="92"/>
        <v>#VALUE!</v>
      </c>
      <c r="Y541" s="6"/>
      <c r="AJ541" s="5" t="str">
        <f t="shared" si="93"/>
        <v>MO Accounting Services</v>
      </c>
      <c r="AK541" s="5" t="str">
        <f t="shared" si="94"/>
        <v>MO-Accounting Services-MO-Accounting Services_Basic</v>
      </c>
      <c r="AL541" s="5" t="str">
        <f t="shared" si="95"/>
        <v>Patton E_1040_1_MO Accounting Services</v>
      </c>
      <c r="AM541" s="5" t="str">
        <f t="shared" si="96"/>
        <v>Patton E_1040_1_MO-Accounting Services-MO-Accounting Services_Basic</v>
      </c>
    </row>
    <row r="542" spans="1:39" x14ac:dyDescent="0.25">
      <c r="A542" s="2" t="s">
        <v>1226</v>
      </c>
      <c r="B542" s="2" t="s">
        <v>125</v>
      </c>
      <c r="C542" s="2" t="s">
        <v>1197</v>
      </c>
      <c r="D542" s="8">
        <v>43831</v>
      </c>
      <c r="E542" s="5" t="str">
        <f t="shared" si="97"/>
        <v>Patton Electrical Contractors_01-01-20</v>
      </c>
      <c r="F542" s="2" t="s">
        <v>1200</v>
      </c>
      <c r="G542" s="2" t="s">
        <v>1241</v>
      </c>
      <c r="H542" s="2" t="s">
        <v>1220</v>
      </c>
      <c r="I542" s="2" t="s">
        <v>1221</v>
      </c>
      <c r="J542" s="2" t="s">
        <v>1234</v>
      </c>
      <c r="M542" s="5" t="str">
        <f t="shared" si="88"/>
        <v>Mid</v>
      </c>
      <c r="N542" s="5" t="str">
        <f t="shared" si="89"/>
        <v>Tax-Staff-Mid</v>
      </c>
      <c r="O542" s="5" t="str">
        <f t="shared" si="90"/>
        <v>Tax-Reviewer-Mid</v>
      </c>
      <c r="P542" s="5" t="str">
        <f t="shared" si="91"/>
        <v>Tax-Signer-Mid</v>
      </c>
      <c r="Q542" s="6">
        <v>0.75</v>
      </c>
      <c r="R542" s="6">
        <v>0.15000000000000002</v>
      </c>
      <c r="S542" s="6">
        <v>7.5000000000000011E-2</v>
      </c>
      <c r="T542" s="7">
        <f t="shared" si="98"/>
        <v>0.97500000000000009</v>
      </c>
      <c r="U542" s="6" t="e">
        <f>SUMIFS([1]Sheet1!$L:$L,[1]Sheet1!$I:$I,AJ542,[1]Sheet1!$C:$C,A542)</f>
        <v>#VALUE!</v>
      </c>
      <c r="V542" s="6"/>
      <c r="W542" s="6"/>
      <c r="X542" s="7" t="e">
        <f t="shared" si="92"/>
        <v>#VALUE!</v>
      </c>
      <c r="Y542" s="6"/>
      <c r="AJ542" s="5" t="str">
        <f t="shared" si="93"/>
        <v>MO Texas Franchise Tax Return</v>
      </c>
      <c r="AK542" s="5" t="str">
        <f t="shared" si="94"/>
        <v>MO-Tax Services-ANN-Texas Franchise Tax Return_Mid</v>
      </c>
      <c r="AL542" s="5" t="str">
        <f t="shared" si="95"/>
        <v>Patton Electrical_1040_1_MO Texas Franchise Tax Return</v>
      </c>
      <c r="AM542" s="5" t="str">
        <f t="shared" si="96"/>
        <v>Patton Electrical_1040_1_MO-Tax Services-ANN-Texas Franchise Tax Return_Mid</v>
      </c>
    </row>
    <row r="543" spans="1:39" x14ac:dyDescent="0.25">
      <c r="A543" s="2" t="s">
        <v>754</v>
      </c>
      <c r="B543" s="2" t="s">
        <v>755</v>
      </c>
      <c r="C543" s="2" t="s">
        <v>1196</v>
      </c>
      <c r="D543" s="8">
        <v>43831</v>
      </c>
      <c r="E543" s="5" t="str">
        <f t="shared" si="97"/>
        <v>Patton, Gary W_01-01-20</v>
      </c>
      <c r="F543" s="2" t="s">
        <v>1203</v>
      </c>
      <c r="G543" s="2" t="s">
        <v>1241</v>
      </c>
      <c r="H543" s="2" t="s">
        <v>1220</v>
      </c>
      <c r="I543" s="2" t="s">
        <v>1223</v>
      </c>
      <c r="J543" s="2" t="s">
        <v>1234</v>
      </c>
      <c r="M543" s="5" t="str">
        <f t="shared" si="88"/>
        <v>Basic</v>
      </c>
      <c r="N543" s="5" t="str">
        <f t="shared" si="89"/>
        <v>Tax-Staff-Basic</v>
      </c>
      <c r="O543" s="5" t="str">
        <f t="shared" si="90"/>
        <v>Tax-Reviewer-Basic</v>
      </c>
      <c r="P543" s="5" t="str">
        <f t="shared" si="91"/>
        <v>Tax-Signer-Basic</v>
      </c>
      <c r="Q543" s="6">
        <v>1.4675000000000016</v>
      </c>
      <c r="R543" s="6">
        <v>0.29350000000000032</v>
      </c>
      <c r="S543" s="6">
        <v>0.14675000000000016</v>
      </c>
      <c r="T543" s="7">
        <f t="shared" si="98"/>
        <v>1.9077500000000021</v>
      </c>
      <c r="U543" s="6" t="e">
        <f>SUMIFS([1]Sheet1!$L:$L,[1]Sheet1!$I:$I,AJ543,[1]Sheet1!$C:$C,A543)</f>
        <v>#VALUE!</v>
      </c>
      <c r="V543" s="6"/>
      <c r="W543" s="6"/>
      <c r="X543" s="7" t="e">
        <f t="shared" si="92"/>
        <v>#VALUE!</v>
      </c>
      <c r="Y543" s="6"/>
      <c r="AJ543" s="5" t="str">
        <f t="shared" si="93"/>
        <v>NM 1040 - Personal</v>
      </c>
      <c r="AK543" s="5" t="str">
        <f t="shared" si="94"/>
        <v>NM-Tax Services-ANN-1040 - Personal_Basic</v>
      </c>
      <c r="AL543" s="5" t="str">
        <f t="shared" si="95"/>
        <v>Patton_0395_NM 1040 - Personal</v>
      </c>
      <c r="AM543" s="5" t="str">
        <f t="shared" si="96"/>
        <v>Patton_0395_NM-Tax Services-ANN-1040 - Personal_Basic</v>
      </c>
    </row>
    <row r="544" spans="1:39" x14ac:dyDescent="0.25">
      <c r="A544" s="2" t="s">
        <v>854</v>
      </c>
      <c r="B544" s="2" t="s">
        <v>855</v>
      </c>
      <c r="C544" s="2" t="s">
        <v>1197</v>
      </c>
      <c r="D544" s="8">
        <v>43831</v>
      </c>
      <c r="E544" s="5" t="str">
        <f t="shared" si="97"/>
        <v>Patton, Charles &amp; Julie_01-01-20</v>
      </c>
      <c r="F544" s="2" t="s">
        <v>1203</v>
      </c>
      <c r="G544" s="2" t="s">
        <v>1241</v>
      </c>
      <c r="H544" s="2" t="s">
        <v>1220</v>
      </c>
      <c r="I544" s="2" t="s">
        <v>1223</v>
      </c>
      <c r="J544" s="2" t="s">
        <v>1234</v>
      </c>
      <c r="M544" s="5" t="str">
        <f t="shared" si="88"/>
        <v>Basic</v>
      </c>
      <c r="N544" s="5" t="str">
        <f t="shared" si="89"/>
        <v>Tax-Staff-Basic</v>
      </c>
      <c r="O544" s="5" t="str">
        <f t="shared" si="90"/>
        <v>Tax-Reviewer-Basic</v>
      </c>
      <c r="P544" s="5" t="str">
        <f t="shared" si="91"/>
        <v>Tax-Signer-Basic</v>
      </c>
      <c r="Q544" s="6">
        <v>1.4675000000000016</v>
      </c>
      <c r="R544" s="6">
        <v>0.29350000000000032</v>
      </c>
      <c r="S544" s="6">
        <v>0.14675000000000016</v>
      </c>
      <c r="T544" s="7">
        <f t="shared" si="98"/>
        <v>1.9077500000000021</v>
      </c>
      <c r="U544" s="6" t="e">
        <f>SUMIFS([1]Sheet1!$L:$L,[1]Sheet1!$I:$I,AJ544,[1]Sheet1!$C:$C,A544)</f>
        <v>#VALUE!</v>
      </c>
      <c r="V544" s="6"/>
      <c r="W544" s="6"/>
      <c r="X544" s="7" t="e">
        <f t="shared" si="92"/>
        <v>#VALUE!</v>
      </c>
      <c r="Y544" s="6"/>
      <c r="AJ544" s="5" t="str">
        <f t="shared" si="93"/>
        <v>MO 1040 - Personal</v>
      </c>
      <c r="AK544" s="5" t="str">
        <f t="shared" si="94"/>
        <v>MO-Tax Services-ANN-1040 - Personal_Basic</v>
      </c>
      <c r="AL544" s="5" t="str">
        <f t="shared" si="95"/>
        <v>Patton_9282_MO 1040 - Personal</v>
      </c>
      <c r="AM544" s="5" t="str">
        <f t="shared" si="96"/>
        <v>Patton_9282_MO-Tax Services-ANN-1040 - Personal_Basic</v>
      </c>
    </row>
    <row r="545" spans="1:39" x14ac:dyDescent="0.25">
      <c r="A545" s="2" t="s">
        <v>126</v>
      </c>
      <c r="B545" s="2" t="s">
        <v>127</v>
      </c>
      <c r="C545" s="2" t="s">
        <v>1197</v>
      </c>
      <c r="D545" s="8">
        <v>43831</v>
      </c>
      <c r="E545" s="5" t="str">
        <f t="shared" si="97"/>
        <v>Peak Strength and Condiitioning,_01-01-20</v>
      </c>
      <c r="F545" s="2" t="s">
        <v>1199</v>
      </c>
      <c r="G545" s="2" t="s">
        <v>1241</v>
      </c>
      <c r="H545" s="2" t="s">
        <v>1220</v>
      </c>
      <c r="I545" s="2" t="s">
        <v>1221</v>
      </c>
      <c r="J545" s="2" t="s">
        <v>1234</v>
      </c>
      <c r="M545" s="5" t="str">
        <f t="shared" si="88"/>
        <v>Mid</v>
      </c>
      <c r="N545" s="5" t="str">
        <f t="shared" si="89"/>
        <v>Tax-Staff-Mid</v>
      </c>
      <c r="O545" s="5" t="str">
        <f t="shared" si="90"/>
        <v>Tax-Reviewer-Mid</v>
      </c>
      <c r="P545" s="5" t="str">
        <f t="shared" si="91"/>
        <v>Tax-Signer-Mid</v>
      </c>
      <c r="Q545" s="6">
        <v>2.7401969696969677</v>
      </c>
      <c r="R545" s="6">
        <v>0.5480393939393936</v>
      </c>
      <c r="S545" s="6">
        <v>0.2740196969696968</v>
      </c>
      <c r="T545" s="7">
        <f t="shared" si="98"/>
        <v>3.562256060606058</v>
      </c>
      <c r="U545" s="6" t="e">
        <f>SUMIFS([1]Sheet1!$L:$L,[1]Sheet1!$I:$I,AJ545,[1]Sheet1!$C:$C,A545)</f>
        <v>#VALUE!</v>
      </c>
      <c r="V545" s="6"/>
      <c r="W545" s="6"/>
      <c r="X545" s="7" t="e">
        <f t="shared" si="92"/>
        <v>#VALUE!</v>
      </c>
      <c r="Y545" s="6"/>
      <c r="AJ545" s="5" t="str">
        <f t="shared" si="93"/>
        <v>MO 1065 - Partnership</v>
      </c>
      <c r="AK545" s="5" t="str">
        <f t="shared" si="94"/>
        <v>MO-Tax Services-ANN-1065 - Partnership_Mid</v>
      </c>
      <c r="AL545" s="5" t="str">
        <f t="shared" si="95"/>
        <v>Peak Str_1120S_90-0783049_MO 1065 - Partnership</v>
      </c>
      <c r="AM545" s="5" t="str">
        <f t="shared" si="96"/>
        <v>Peak Str_1120S_90-0783049_MO-Tax Services-ANN-1065 - Partnership_Mid</v>
      </c>
    </row>
    <row r="546" spans="1:39" x14ac:dyDescent="0.25">
      <c r="A546" s="2" t="s">
        <v>126</v>
      </c>
      <c r="B546" s="2" t="s">
        <v>127</v>
      </c>
      <c r="C546" s="2" t="s">
        <v>1197</v>
      </c>
      <c r="D546" s="8">
        <v>43831</v>
      </c>
      <c r="E546" s="5" t="str">
        <f t="shared" si="97"/>
        <v>Peak Strength and Condiitioning,_01-01-20</v>
      </c>
      <c r="F546" s="2" t="s">
        <v>1201</v>
      </c>
      <c r="G546" s="2" t="s">
        <v>1201</v>
      </c>
      <c r="H546" s="2" t="s">
        <v>1197</v>
      </c>
      <c r="I546" s="2" t="s">
        <v>1223</v>
      </c>
      <c r="J546" s="2" t="s">
        <v>1235</v>
      </c>
      <c r="M546" s="5" t="str">
        <f t="shared" si="88"/>
        <v>Basic</v>
      </c>
      <c r="N546" s="5" t="str">
        <f t="shared" si="89"/>
        <v>Accountant-Staff-Basic</v>
      </c>
      <c r="O546" s="5" t="str">
        <f t="shared" si="90"/>
        <v>Accountant-Reviewer-Basic</v>
      </c>
      <c r="P546" s="5" t="str">
        <f t="shared" si="91"/>
        <v>Accountant-Signer-Basic</v>
      </c>
      <c r="Q546" s="6">
        <v>1.47</v>
      </c>
      <c r="R546" s="6">
        <v>0.29399999999999998</v>
      </c>
      <c r="S546" s="6">
        <v>0.14699999999999999</v>
      </c>
      <c r="T546" s="7">
        <f t="shared" si="98"/>
        <v>1.911</v>
      </c>
      <c r="U546" s="6" t="e">
        <f>SUMIFS([1]Sheet1!$L:$L,[1]Sheet1!$I:$I,AJ546,[1]Sheet1!$C:$C,A546)</f>
        <v>#VALUE!</v>
      </c>
      <c r="V546" s="6"/>
      <c r="W546" s="6"/>
      <c r="X546" s="7" t="e">
        <f t="shared" si="92"/>
        <v>#VALUE!</v>
      </c>
      <c r="Y546" s="6"/>
      <c r="AJ546" s="5" t="str">
        <f t="shared" si="93"/>
        <v>MO Accounting Services</v>
      </c>
      <c r="AK546" s="5" t="str">
        <f t="shared" si="94"/>
        <v>MO-Accounting Services-MO-Accounting Services_Basic</v>
      </c>
      <c r="AL546" s="5" t="str">
        <f t="shared" si="95"/>
        <v>Peak Str_1120S_90-0783049_MO Accounting Services</v>
      </c>
      <c r="AM546" s="5" t="str">
        <f t="shared" si="96"/>
        <v>Peak Str_1120S_90-0783049_MO-Accounting Services-MO-Accounting Services_Basic</v>
      </c>
    </row>
    <row r="547" spans="1:39" x14ac:dyDescent="0.25">
      <c r="A547" s="2" t="s">
        <v>126</v>
      </c>
      <c r="B547" s="2" t="s">
        <v>127</v>
      </c>
      <c r="C547" s="2" t="s">
        <v>1197</v>
      </c>
      <c r="D547" s="8">
        <v>43831</v>
      </c>
      <c r="E547" s="5" t="str">
        <f t="shared" si="97"/>
        <v>Peak Strength and Condiitioning,_01-01-20</v>
      </c>
      <c r="F547" s="2" t="s">
        <v>1204</v>
      </c>
      <c r="G547" s="2" t="s">
        <v>1241</v>
      </c>
      <c r="H547" s="2" t="s">
        <v>1220</v>
      </c>
      <c r="I547" s="2" t="s">
        <v>1221</v>
      </c>
      <c r="J547" s="2" t="s">
        <v>1234</v>
      </c>
      <c r="M547" s="5" t="str">
        <f t="shared" si="88"/>
        <v>Mid</v>
      </c>
      <c r="N547" s="5" t="str">
        <f t="shared" si="89"/>
        <v>Tax-Staff-Mid</v>
      </c>
      <c r="O547" s="5" t="str">
        <f t="shared" si="90"/>
        <v>Tax-Reviewer-Mid</v>
      </c>
      <c r="P547" s="5" t="str">
        <f t="shared" si="91"/>
        <v>Tax-Signer-Mid</v>
      </c>
      <c r="Q547" s="6">
        <v>2.7401969696969677</v>
      </c>
      <c r="R547" s="6">
        <v>0.5480393939393936</v>
      </c>
      <c r="S547" s="6">
        <v>0.2740196969696968</v>
      </c>
      <c r="T547" s="7">
        <f t="shared" si="98"/>
        <v>3.562256060606058</v>
      </c>
      <c r="U547" s="6" t="e">
        <f>SUMIFS([1]Sheet1!$L:$L,[1]Sheet1!$I:$I,AJ547,[1]Sheet1!$C:$C,A547)</f>
        <v>#VALUE!</v>
      </c>
      <c r="V547" s="6"/>
      <c r="W547" s="6"/>
      <c r="X547" s="7" t="e">
        <f t="shared" si="92"/>
        <v>#VALUE!</v>
      </c>
      <c r="Y547" s="6"/>
      <c r="AJ547" s="5" t="str">
        <f t="shared" si="93"/>
        <v>MO 1120S - S Corporation</v>
      </c>
      <c r="AK547" s="5" t="str">
        <f t="shared" si="94"/>
        <v>MO-Tax Services-ANN-1120S - S Corporation_Mid</v>
      </c>
      <c r="AL547" s="5" t="str">
        <f t="shared" si="95"/>
        <v>Peak Str_1120S_90-0783049_MO 1120S - S Corporation</v>
      </c>
      <c r="AM547" s="5" t="str">
        <f t="shared" si="96"/>
        <v>Peak Str_1120S_90-0783049_MO-Tax Services-ANN-1120S - S Corporation_Mid</v>
      </c>
    </row>
    <row r="548" spans="1:39" x14ac:dyDescent="0.25">
      <c r="A548" s="2" t="s">
        <v>126</v>
      </c>
      <c r="B548" s="2" t="s">
        <v>127</v>
      </c>
      <c r="C548" s="2" t="s">
        <v>1197</v>
      </c>
      <c r="D548" s="8">
        <v>43831</v>
      </c>
      <c r="E548" s="5" t="str">
        <f t="shared" si="97"/>
        <v>Peak Strength and Condiitioning,_01-01-20</v>
      </c>
      <c r="F548" s="2" t="s">
        <v>1202</v>
      </c>
      <c r="G548" s="2" t="s">
        <v>1201</v>
      </c>
      <c r="H548" s="2" t="s">
        <v>1197</v>
      </c>
      <c r="I548" s="2" t="s">
        <v>1223</v>
      </c>
      <c r="J548" s="2" t="s">
        <v>1235</v>
      </c>
      <c r="M548" s="5" t="str">
        <f t="shared" si="88"/>
        <v>Basic</v>
      </c>
      <c r="N548" s="5" t="str">
        <f t="shared" si="89"/>
        <v>Accountant-Staff-Basic</v>
      </c>
      <c r="O548" s="5" t="str">
        <f t="shared" si="90"/>
        <v>Accountant-Reviewer-Basic</v>
      </c>
      <c r="P548" s="5" t="str">
        <f t="shared" si="91"/>
        <v>Accountant-Signer-Basic</v>
      </c>
      <c r="Q548" s="6">
        <v>0.5</v>
      </c>
      <c r="R548" s="6">
        <v>0.1</v>
      </c>
      <c r="S548" s="6">
        <v>0.05</v>
      </c>
      <c r="T548" s="7">
        <f t="shared" si="98"/>
        <v>0.65</v>
      </c>
      <c r="U548" s="6" t="e">
        <f>SUMIFS([1]Sheet1!$L:$L,[1]Sheet1!$I:$I,AJ548,[1]Sheet1!$C:$C,A548)</f>
        <v>#VALUE!</v>
      </c>
      <c r="V548" s="6"/>
      <c r="W548" s="6"/>
      <c r="X548" s="7" t="e">
        <f t="shared" si="92"/>
        <v>#VALUE!</v>
      </c>
      <c r="Y548" s="6"/>
      <c r="AJ548" s="5" t="str">
        <f t="shared" si="93"/>
        <v>MO Sales Tax Services</v>
      </c>
      <c r="AK548" s="5" t="str">
        <f t="shared" si="94"/>
        <v>MO-Accounting Services-MO-Sales Tax Services_Basic</v>
      </c>
      <c r="AL548" s="5" t="str">
        <f t="shared" si="95"/>
        <v>Peak Str_1120S_90-0783049_MO Sales Tax Services</v>
      </c>
      <c r="AM548" s="5" t="str">
        <f t="shared" si="96"/>
        <v>Peak Str_1120S_90-0783049_MO-Accounting Services-MO-Sales Tax Services_Basic</v>
      </c>
    </row>
    <row r="549" spans="1:39" x14ac:dyDescent="0.25">
      <c r="A549" s="2" t="s">
        <v>756</v>
      </c>
      <c r="B549" s="2" t="s">
        <v>757</v>
      </c>
      <c r="C549" s="2" t="s">
        <v>1196</v>
      </c>
      <c r="D549" s="8">
        <v>43831</v>
      </c>
      <c r="E549" s="5" t="str">
        <f t="shared" si="97"/>
        <v>Pearson, Christian F &amp; Alexand_01-01-20</v>
      </c>
      <c r="F549" s="2" t="s">
        <v>1203</v>
      </c>
      <c r="G549" s="2" t="s">
        <v>1241</v>
      </c>
      <c r="H549" s="2" t="s">
        <v>1220</v>
      </c>
      <c r="I549" s="2" t="s">
        <v>1223</v>
      </c>
      <c r="J549" s="2" t="s">
        <v>1234</v>
      </c>
      <c r="M549" s="5" t="str">
        <f t="shared" si="88"/>
        <v>Basic</v>
      </c>
      <c r="N549" s="5" t="str">
        <f t="shared" si="89"/>
        <v>Tax-Staff-Basic</v>
      </c>
      <c r="O549" s="5" t="str">
        <f t="shared" si="90"/>
        <v>Tax-Reviewer-Basic</v>
      </c>
      <c r="P549" s="5" t="str">
        <f t="shared" si="91"/>
        <v>Tax-Signer-Basic</v>
      </c>
      <c r="Q549" s="6">
        <v>1.4675000000000016</v>
      </c>
      <c r="R549" s="6">
        <v>0.29350000000000032</v>
      </c>
      <c r="S549" s="6">
        <v>0.14675000000000016</v>
      </c>
      <c r="T549" s="7">
        <f t="shared" si="98"/>
        <v>1.9077500000000021</v>
      </c>
      <c r="U549" s="6" t="e">
        <f>SUMIFS([1]Sheet1!$L:$L,[1]Sheet1!$I:$I,AJ549,[1]Sheet1!$C:$C,A549)</f>
        <v>#VALUE!</v>
      </c>
      <c r="V549" s="6"/>
      <c r="W549" s="6"/>
      <c r="X549" s="7" t="e">
        <f t="shared" si="92"/>
        <v>#VALUE!</v>
      </c>
      <c r="Y549" s="6"/>
      <c r="AJ549" s="5" t="str">
        <f t="shared" si="93"/>
        <v>NM 1040 - Personal</v>
      </c>
      <c r="AK549" s="5" t="str">
        <f t="shared" si="94"/>
        <v>NM-Tax Services-ANN-1040 - Personal_Basic</v>
      </c>
      <c r="AL549" s="5" t="str">
        <f t="shared" si="95"/>
        <v>Pearso_9780_NM 1040 - Personal</v>
      </c>
      <c r="AM549" s="5" t="str">
        <f t="shared" si="96"/>
        <v>Pearso_9780_NM-Tax Services-ANN-1040 - Personal_Basic</v>
      </c>
    </row>
    <row r="550" spans="1:39" x14ac:dyDescent="0.25">
      <c r="A550" s="2" t="s">
        <v>758</v>
      </c>
      <c r="B550" s="2" t="s">
        <v>759</v>
      </c>
      <c r="C550" s="2" t="s">
        <v>1196</v>
      </c>
      <c r="D550" s="8">
        <v>43831</v>
      </c>
      <c r="E550" s="5" t="str">
        <f t="shared" si="97"/>
        <v>Pelham, Dono &amp; Angelia_01-01-20</v>
      </c>
      <c r="F550" s="2" t="s">
        <v>1203</v>
      </c>
      <c r="G550" s="2" t="s">
        <v>1241</v>
      </c>
      <c r="H550" s="2" t="s">
        <v>1220</v>
      </c>
      <c r="I550" s="2" t="s">
        <v>1221</v>
      </c>
      <c r="J550" s="2" t="s">
        <v>1234</v>
      </c>
      <c r="M550" s="5" t="str">
        <f t="shared" si="88"/>
        <v>Mid</v>
      </c>
      <c r="N550" s="5" t="str">
        <f t="shared" si="89"/>
        <v>Tax-Staff-Mid</v>
      </c>
      <c r="O550" s="5" t="str">
        <f t="shared" si="90"/>
        <v>Tax-Reviewer-Mid</v>
      </c>
      <c r="P550" s="5" t="str">
        <f t="shared" si="91"/>
        <v>Tax-Signer-Mid</v>
      </c>
      <c r="Q550" s="6">
        <v>2.7401969696969677</v>
      </c>
      <c r="R550" s="6">
        <v>0.5480393939393936</v>
      </c>
      <c r="S550" s="6">
        <v>0.2740196969696968</v>
      </c>
      <c r="T550" s="7">
        <f t="shared" si="98"/>
        <v>3.562256060606058</v>
      </c>
      <c r="U550" s="6" t="e">
        <f>SUMIFS([1]Sheet1!$L:$L,[1]Sheet1!$I:$I,AJ550,[1]Sheet1!$C:$C,A550)</f>
        <v>#VALUE!</v>
      </c>
      <c r="V550" s="6"/>
      <c r="W550" s="6"/>
      <c r="X550" s="7" t="e">
        <f t="shared" si="92"/>
        <v>#VALUE!</v>
      </c>
      <c r="Y550" s="6"/>
      <c r="AJ550" s="5" t="str">
        <f t="shared" si="93"/>
        <v>NM 1040 - Personal</v>
      </c>
      <c r="AK550" s="5" t="str">
        <f t="shared" si="94"/>
        <v>NM-Tax Services-ANN-1040 - Personal_Mid</v>
      </c>
      <c r="AL550" s="5" t="str">
        <f t="shared" si="95"/>
        <v>Pelham_9710_NM 1040 - Personal</v>
      </c>
      <c r="AM550" s="5" t="str">
        <f t="shared" si="96"/>
        <v>Pelham_9710_NM-Tax Services-ANN-1040 - Personal_Mid</v>
      </c>
    </row>
    <row r="551" spans="1:39" x14ac:dyDescent="0.25">
      <c r="A551" s="2" t="s">
        <v>760</v>
      </c>
      <c r="B551" s="2" t="s">
        <v>761</v>
      </c>
      <c r="C551" s="2" t="s">
        <v>1196</v>
      </c>
      <c r="D551" s="8">
        <v>43831</v>
      </c>
      <c r="E551" s="5" t="str">
        <f t="shared" si="97"/>
        <v>Pena, Anthony D &amp; Katie J_01-01-20</v>
      </c>
      <c r="F551" s="2" t="s">
        <v>1203</v>
      </c>
      <c r="G551" s="2" t="s">
        <v>1241</v>
      </c>
      <c r="H551" s="2" t="s">
        <v>1220</v>
      </c>
      <c r="I551" s="2" t="s">
        <v>1223</v>
      </c>
      <c r="J551" s="2" t="s">
        <v>1234</v>
      </c>
      <c r="M551" s="5" t="str">
        <f t="shared" si="88"/>
        <v>Basic</v>
      </c>
      <c r="N551" s="5" t="str">
        <f t="shared" si="89"/>
        <v>Tax-Staff-Basic</v>
      </c>
      <c r="O551" s="5" t="str">
        <f t="shared" si="90"/>
        <v>Tax-Reviewer-Basic</v>
      </c>
      <c r="P551" s="5" t="str">
        <f t="shared" si="91"/>
        <v>Tax-Signer-Basic</v>
      </c>
      <c r="Q551" s="6">
        <v>1.4675000000000016</v>
      </c>
      <c r="R551" s="6">
        <v>0.29350000000000032</v>
      </c>
      <c r="S551" s="6">
        <v>0.14675000000000016</v>
      </c>
      <c r="T551" s="7">
        <f t="shared" si="98"/>
        <v>1.9077500000000021</v>
      </c>
      <c r="U551" s="6" t="e">
        <f>SUMIFS([1]Sheet1!$L:$L,[1]Sheet1!$I:$I,AJ551,[1]Sheet1!$C:$C,A551)</f>
        <v>#VALUE!</v>
      </c>
      <c r="V551" s="6"/>
      <c r="W551" s="6"/>
      <c r="X551" s="7" t="e">
        <f t="shared" si="92"/>
        <v>#VALUE!</v>
      </c>
      <c r="Y551" s="6"/>
      <c r="AJ551" s="5" t="str">
        <f t="shared" si="93"/>
        <v>NM 1040 - Personal</v>
      </c>
      <c r="AK551" s="5" t="str">
        <f t="shared" si="94"/>
        <v>NM-Tax Services-ANN-1040 - Personal_Basic</v>
      </c>
      <c r="AL551" s="5" t="str">
        <f t="shared" si="95"/>
        <v>Pena, _9834_NM 1040 - Personal</v>
      </c>
      <c r="AM551" s="5" t="str">
        <f t="shared" si="96"/>
        <v>Pena, _9834_NM-Tax Services-ANN-1040 - Personal_Basic</v>
      </c>
    </row>
    <row r="552" spans="1:39" x14ac:dyDescent="0.25">
      <c r="A552" s="2" t="s">
        <v>762</v>
      </c>
      <c r="B552" s="2" t="s">
        <v>763</v>
      </c>
      <c r="C552" s="2" t="s">
        <v>1196</v>
      </c>
      <c r="D552" s="8">
        <v>43831</v>
      </c>
      <c r="E552" s="5" t="str">
        <f t="shared" si="97"/>
        <v>Perez, Claudia Andira_01-01-20</v>
      </c>
      <c r="F552" s="2" t="s">
        <v>1203</v>
      </c>
      <c r="G552" s="2" t="s">
        <v>1241</v>
      </c>
      <c r="H552" s="2" t="s">
        <v>1220</v>
      </c>
      <c r="I552" s="2" t="s">
        <v>1221</v>
      </c>
      <c r="J552" s="2" t="s">
        <v>1234</v>
      </c>
      <c r="M552" s="5" t="str">
        <f t="shared" si="88"/>
        <v>Mid</v>
      </c>
      <c r="N552" s="5" t="str">
        <f t="shared" si="89"/>
        <v>Tax-Staff-Mid</v>
      </c>
      <c r="O552" s="5" t="str">
        <f t="shared" si="90"/>
        <v>Tax-Reviewer-Mid</v>
      </c>
      <c r="P552" s="5" t="str">
        <f t="shared" si="91"/>
        <v>Tax-Signer-Mid</v>
      </c>
      <c r="Q552" s="6">
        <v>2.7401969696969677</v>
      </c>
      <c r="R552" s="6">
        <v>0.5480393939393936</v>
      </c>
      <c r="S552" s="6">
        <v>0.2740196969696968</v>
      </c>
      <c r="T552" s="7">
        <f t="shared" si="98"/>
        <v>3.562256060606058</v>
      </c>
      <c r="U552" s="6" t="e">
        <f>SUMIFS([1]Sheet1!$L:$L,[1]Sheet1!$I:$I,AJ552,[1]Sheet1!$C:$C,A552)</f>
        <v>#VALUE!</v>
      </c>
      <c r="V552" s="6"/>
      <c r="W552" s="6"/>
      <c r="X552" s="7" t="e">
        <f t="shared" si="92"/>
        <v>#VALUE!</v>
      </c>
      <c r="Y552" s="6"/>
      <c r="AJ552" s="5" t="str">
        <f t="shared" si="93"/>
        <v>NM 1040 - Personal</v>
      </c>
      <c r="AK552" s="5" t="str">
        <f t="shared" si="94"/>
        <v>NM-Tax Services-ANN-1040 - Personal_Mid</v>
      </c>
      <c r="AL552" s="5" t="str">
        <f t="shared" si="95"/>
        <v>Perez,_6846_NM 1040 - Personal</v>
      </c>
      <c r="AM552" s="5" t="str">
        <f t="shared" si="96"/>
        <v>Perez,_6846_NM-Tax Services-ANN-1040 - Personal_Mid</v>
      </c>
    </row>
    <row r="553" spans="1:39" x14ac:dyDescent="0.25">
      <c r="A553" s="2" t="s">
        <v>764</v>
      </c>
      <c r="B553" s="2" t="s">
        <v>765</v>
      </c>
      <c r="C553" s="2" t="s">
        <v>1196</v>
      </c>
      <c r="D553" s="8">
        <v>43831</v>
      </c>
      <c r="E553" s="5" t="str">
        <f t="shared" si="97"/>
        <v>Perez, Eduardo J._01-01-20</v>
      </c>
      <c r="F553" s="2" t="s">
        <v>1203</v>
      </c>
      <c r="G553" s="2" t="s">
        <v>1241</v>
      </c>
      <c r="H553" s="2" t="s">
        <v>1220</v>
      </c>
      <c r="I553" s="2" t="s">
        <v>1223</v>
      </c>
      <c r="J553" s="2" t="s">
        <v>1234</v>
      </c>
      <c r="M553" s="5" t="str">
        <f t="shared" si="88"/>
        <v>Basic</v>
      </c>
      <c r="N553" s="5" t="str">
        <f t="shared" si="89"/>
        <v>Tax-Staff-Basic</v>
      </c>
      <c r="O553" s="5" t="str">
        <f t="shared" si="90"/>
        <v>Tax-Reviewer-Basic</v>
      </c>
      <c r="P553" s="5" t="str">
        <f t="shared" si="91"/>
        <v>Tax-Signer-Basic</v>
      </c>
      <c r="Q553" s="6">
        <v>1.4675000000000016</v>
      </c>
      <c r="R553" s="6">
        <v>0.29350000000000032</v>
      </c>
      <c r="S553" s="6">
        <v>0.14675000000000016</v>
      </c>
      <c r="T553" s="7">
        <f t="shared" si="98"/>
        <v>1.9077500000000021</v>
      </c>
      <c r="U553" s="6" t="e">
        <f>SUMIFS([1]Sheet1!$L:$L,[1]Sheet1!$I:$I,AJ553,[1]Sheet1!$C:$C,A553)</f>
        <v>#VALUE!</v>
      </c>
      <c r="V553" s="6"/>
      <c r="W553" s="6"/>
      <c r="X553" s="7" t="e">
        <f t="shared" si="92"/>
        <v>#VALUE!</v>
      </c>
      <c r="Y553" s="6"/>
      <c r="AJ553" s="5" t="str">
        <f t="shared" si="93"/>
        <v>NM 1040 - Personal</v>
      </c>
      <c r="AK553" s="5" t="str">
        <f t="shared" si="94"/>
        <v>NM-Tax Services-ANN-1040 - Personal_Basic</v>
      </c>
      <c r="AL553" s="5" t="str">
        <f t="shared" si="95"/>
        <v>Perez,_6922_NM 1040 - Personal</v>
      </c>
      <c r="AM553" s="5" t="str">
        <f t="shared" si="96"/>
        <v>Perez,_6922_NM-Tax Services-ANN-1040 - Personal_Basic</v>
      </c>
    </row>
    <row r="554" spans="1:39" ht="14.25" customHeight="1" x14ac:dyDescent="0.25">
      <c r="A554" s="2" t="s">
        <v>1151</v>
      </c>
      <c r="B554" s="2" t="s">
        <v>1152</v>
      </c>
      <c r="C554" s="2" t="s">
        <v>1196</v>
      </c>
      <c r="D554" s="8">
        <v>43831</v>
      </c>
      <c r="E554" s="5" t="str">
        <f t="shared" si="97"/>
        <v>Perez, Paul M &amp; Andrea E_01-01-20</v>
      </c>
      <c r="F554" s="2" t="s">
        <v>1203</v>
      </c>
      <c r="G554" s="2" t="s">
        <v>1241</v>
      </c>
      <c r="H554" s="2" t="s">
        <v>1220</v>
      </c>
      <c r="I554" s="2" t="s">
        <v>1223</v>
      </c>
      <c r="J554" s="2" t="s">
        <v>1234</v>
      </c>
      <c r="M554" s="5" t="str">
        <f t="shared" si="88"/>
        <v>Basic</v>
      </c>
      <c r="N554" s="5" t="str">
        <f t="shared" si="89"/>
        <v>Tax-Staff-Basic</v>
      </c>
      <c r="O554" s="5" t="str">
        <f t="shared" si="90"/>
        <v>Tax-Reviewer-Basic</v>
      </c>
      <c r="P554" s="5" t="str">
        <f t="shared" si="91"/>
        <v>Tax-Signer-Basic</v>
      </c>
      <c r="Q554" s="6">
        <v>1.4675000000000016</v>
      </c>
      <c r="R554" s="6">
        <v>0.29350000000000032</v>
      </c>
      <c r="S554" s="6">
        <v>0.14675000000000016</v>
      </c>
      <c r="T554" s="7">
        <f t="shared" si="98"/>
        <v>1.9077500000000021</v>
      </c>
      <c r="U554" s="6" t="e">
        <f>SUMIFS([1]Sheet1!$L:$L,[1]Sheet1!$I:$I,AJ554,[1]Sheet1!$C:$C,A554)</f>
        <v>#VALUE!</v>
      </c>
      <c r="V554" s="6"/>
      <c r="W554" s="6"/>
      <c r="X554" s="7" t="e">
        <f t="shared" si="92"/>
        <v>#VALUE!</v>
      </c>
      <c r="Y554" s="6"/>
      <c r="AJ554" s="5" t="str">
        <f t="shared" si="93"/>
        <v>NM 1040 - Personal</v>
      </c>
      <c r="AK554" s="5" t="str">
        <f t="shared" si="94"/>
        <v>NM-Tax Services-ANN-1040 - Personal_Basic</v>
      </c>
      <c r="AL554" s="5" t="str">
        <f t="shared" si="95"/>
        <v>Perez,_9892_NM 1040 - Personal</v>
      </c>
      <c r="AM554" s="5" t="str">
        <f t="shared" si="96"/>
        <v>Perez,_9892_NM-Tax Services-ANN-1040 - Personal_Basic</v>
      </c>
    </row>
    <row r="555" spans="1:39" x14ac:dyDescent="0.25">
      <c r="A555" s="2" t="s">
        <v>128</v>
      </c>
      <c r="B555" s="2" t="s">
        <v>129</v>
      </c>
      <c r="C555" s="2" t="s">
        <v>1197</v>
      </c>
      <c r="D555" s="8">
        <v>43831</v>
      </c>
      <c r="E555" s="5" t="str">
        <f t="shared" si="97"/>
        <v>Personable Pet Care_01-01-20</v>
      </c>
      <c r="F555" s="2" t="s">
        <v>1201</v>
      </c>
      <c r="G555" s="2" t="s">
        <v>1201</v>
      </c>
      <c r="H555" s="2" t="s">
        <v>1197</v>
      </c>
      <c r="I555" s="2" t="s">
        <v>1223</v>
      </c>
      <c r="J555" s="2" t="s">
        <v>1235</v>
      </c>
      <c r="M555" s="5" t="str">
        <f t="shared" si="88"/>
        <v>Basic</v>
      </c>
      <c r="N555" s="5" t="str">
        <f t="shared" si="89"/>
        <v>Accountant-Staff-Basic</v>
      </c>
      <c r="O555" s="5" t="str">
        <f t="shared" si="90"/>
        <v>Accountant-Reviewer-Basic</v>
      </c>
      <c r="P555" s="5" t="str">
        <f t="shared" si="91"/>
        <v>Accountant-Signer-Basic</v>
      </c>
      <c r="Q555" s="6">
        <v>1.47</v>
      </c>
      <c r="R555" s="6">
        <v>0.29399999999999998</v>
      </c>
      <c r="S555" s="6">
        <v>0.14699999999999999</v>
      </c>
      <c r="T555" s="7">
        <f t="shared" si="98"/>
        <v>1.911</v>
      </c>
      <c r="U555" s="6" t="e">
        <f>SUMIFS([1]Sheet1!$L:$L,[1]Sheet1!$I:$I,AJ555,[1]Sheet1!$C:$C,A555)</f>
        <v>#VALUE!</v>
      </c>
      <c r="V555" s="6"/>
      <c r="W555" s="6"/>
      <c r="X555" s="7" t="e">
        <f t="shared" si="92"/>
        <v>#VALUE!</v>
      </c>
      <c r="Y555" s="6"/>
      <c r="AJ555" s="5" t="str">
        <f t="shared" si="93"/>
        <v>MO Accounting Services</v>
      </c>
      <c r="AK555" s="5" t="str">
        <f t="shared" si="94"/>
        <v>MO-Accounting Services-MO-Accounting Services_Basic</v>
      </c>
      <c r="AL555" s="5" t="str">
        <f t="shared" si="95"/>
        <v>Personab_1040_26-4054121_MO Accounting Services</v>
      </c>
      <c r="AM555" s="5" t="str">
        <f t="shared" si="96"/>
        <v>Personab_1040_26-4054121_MO-Accounting Services-MO-Accounting Services_Basic</v>
      </c>
    </row>
    <row r="556" spans="1:39" x14ac:dyDescent="0.25">
      <c r="A556" s="2" t="s">
        <v>128</v>
      </c>
      <c r="B556" s="2" t="s">
        <v>129</v>
      </c>
      <c r="C556" s="2" t="s">
        <v>1197</v>
      </c>
      <c r="D556" s="8">
        <v>43831</v>
      </c>
      <c r="E556" s="5" t="str">
        <f t="shared" si="97"/>
        <v>Personable Pet Care_01-01-20</v>
      </c>
      <c r="F556" s="2" t="s">
        <v>1200</v>
      </c>
      <c r="G556" s="2" t="s">
        <v>1241</v>
      </c>
      <c r="H556" s="2" t="s">
        <v>1220</v>
      </c>
      <c r="I556" s="2" t="s">
        <v>1221</v>
      </c>
      <c r="J556" s="2" t="s">
        <v>1234</v>
      </c>
      <c r="M556" s="5" t="str">
        <f t="shared" si="88"/>
        <v>Mid</v>
      </c>
      <c r="N556" s="5" t="str">
        <f t="shared" si="89"/>
        <v>Tax-Staff-Mid</v>
      </c>
      <c r="O556" s="5" t="str">
        <f t="shared" si="90"/>
        <v>Tax-Reviewer-Mid</v>
      </c>
      <c r="P556" s="5" t="str">
        <f t="shared" si="91"/>
        <v>Tax-Signer-Mid</v>
      </c>
      <c r="Q556" s="6">
        <v>0.75</v>
      </c>
      <c r="R556" s="6">
        <v>0.15000000000000002</v>
      </c>
      <c r="S556" s="6">
        <v>7.5000000000000011E-2</v>
      </c>
      <c r="T556" s="7">
        <f t="shared" si="98"/>
        <v>0.97500000000000009</v>
      </c>
      <c r="U556" s="6" t="e">
        <f>SUMIFS([1]Sheet1!$L:$L,[1]Sheet1!$I:$I,AJ556,[1]Sheet1!$C:$C,A556)</f>
        <v>#VALUE!</v>
      </c>
      <c r="V556" s="6"/>
      <c r="W556" s="6"/>
      <c r="X556" s="7" t="e">
        <f t="shared" si="92"/>
        <v>#VALUE!</v>
      </c>
      <c r="Y556" s="6"/>
      <c r="AJ556" s="5" t="str">
        <f t="shared" si="93"/>
        <v>MO Texas Franchise Tax Return</v>
      </c>
      <c r="AK556" s="5" t="str">
        <f t="shared" si="94"/>
        <v>MO-Tax Services-ANN-Texas Franchise Tax Return_Mid</v>
      </c>
      <c r="AL556" s="5" t="str">
        <f t="shared" si="95"/>
        <v>Personab_1040_26-4054121_MO Texas Franchise Tax Return</v>
      </c>
      <c r="AM556" s="5" t="str">
        <f t="shared" si="96"/>
        <v>Personab_1040_26-4054121_MO-Tax Services-ANN-Texas Franchise Tax Return_Mid</v>
      </c>
    </row>
    <row r="557" spans="1:39" x14ac:dyDescent="0.25">
      <c r="A557" s="2" t="s">
        <v>766</v>
      </c>
      <c r="B557" s="2" t="s">
        <v>767</v>
      </c>
      <c r="C557" s="2" t="s">
        <v>1196</v>
      </c>
      <c r="D557" s="8">
        <v>43831</v>
      </c>
      <c r="E557" s="5" t="str">
        <f t="shared" si="97"/>
        <v>Peterson, Yumei &amp; Ives_01-01-20</v>
      </c>
      <c r="F557" s="2" t="s">
        <v>1203</v>
      </c>
      <c r="G557" s="2" t="s">
        <v>1241</v>
      </c>
      <c r="H557" s="2" t="s">
        <v>1220</v>
      </c>
      <c r="I557" s="2" t="s">
        <v>1223</v>
      </c>
      <c r="J557" s="2" t="s">
        <v>1234</v>
      </c>
      <c r="M557" s="5" t="str">
        <f t="shared" si="88"/>
        <v>Basic</v>
      </c>
      <c r="N557" s="5" t="str">
        <f t="shared" si="89"/>
        <v>Tax-Staff-Basic</v>
      </c>
      <c r="O557" s="5" t="str">
        <f t="shared" si="90"/>
        <v>Tax-Reviewer-Basic</v>
      </c>
      <c r="P557" s="5" t="str">
        <f t="shared" si="91"/>
        <v>Tax-Signer-Basic</v>
      </c>
      <c r="Q557" s="6">
        <v>1.4675000000000016</v>
      </c>
      <c r="R557" s="6">
        <v>0.29350000000000032</v>
      </c>
      <c r="S557" s="6">
        <v>0.14675000000000016</v>
      </c>
      <c r="T557" s="7">
        <f t="shared" si="98"/>
        <v>1.9077500000000021</v>
      </c>
      <c r="U557" s="6" t="e">
        <f>SUMIFS([1]Sheet1!$L:$L,[1]Sheet1!$I:$I,AJ557,[1]Sheet1!$C:$C,A557)</f>
        <v>#VALUE!</v>
      </c>
      <c r="V557" s="6"/>
      <c r="W557" s="6"/>
      <c r="X557" s="7" t="e">
        <f t="shared" si="92"/>
        <v>#VALUE!</v>
      </c>
      <c r="Y557" s="6"/>
      <c r="AJ557" s="5" t="str">
        <f t="shared" si="93"/>
        <v>NM 1040 - Personal</v>
      </c>
      <c r="AK557" s="5" t="str">
        <f t="shared" si="94"/>
        <v>NM-Tax Services-ANN-1040 - Personal_Basic</v>
      </c>
      <c r="AL557" s="5" t="str">
        <f t="shared" si="95"/>
        <v>Peters_5272_NM 1040 - Personal</v>
      </c>
      <c r="AM557" s="5" t="str">
        <f t="shared" si="96"/>
        <v>Peters_5272_NM-Tax Services-ANN-1040 - Personal_Basic</v>
      </c>
    </row>
    <row r="558" spans="1:39" x14ac:dyDescent="0.25">
      <c r="A558" s="2" t="s">
        <v>768</v>
      </c>
      <c r="B558" s="2" t="s">
        <v>769</v>
      </c>
      <c r="C558" s="2" t="s">
        <v>1196</v>
      </c>
      <c r="D558" s="8">
        <v>43831</v>
      </c>
      <c r="E558" s="5" t="str">
        <f t="shared" si="97"/>
        <v>Petty, Roy_01-01-20</v>
      </c>
      <c r="F558" s="2" t="s">
        <v>1203</v>
      </c>
      <c r="G558" s="2" t="s">
        <v>1241</v>
      </c>
      <c r="H558" s="2" t="s">
        <v>1220</v>
      </c>
      <c r="I558" s="2" t="s">
        <v>1223</v>
      </c>
      <c r="J558" s="2" t="s">
        <v>1234</v>
      </c>
      <c r="M558" s="5" t="str">
        <f t="shared" si="88"/>
        <v>Basic</v>
      </c>
      <c r="N558" s="5" t="str">
        <f t="shared" si="89"/>
        <v>Tax-Staff-Basic</v>
      </c>
      <c r="O558" s="5" t="str">
        <f t="shared" si="90"/>
        <v>Tax-Reviewer-Basic</v>
      </c>
      <c r="P558" s="5" t="str">
        <f t="shared" si="91"/>
        <v>Tax-Signer-Basic</v>
      </c>
      <c r="Q558" s="6">
        <v>1.4675000000000016</v>
      </c>
      <c r="R558" s="6">
        <v>0.29350000000000032</v>
      </c>
      <c r="S558" s="6">
        <v>0.14675000000000016</v>
      </c>
      <c r="T558" s="7">
        <f t="shared" si="98"/>
        <v>1.9077500000000021</v>
      </c>
      <c r="U558" s="6" t="e">
        <f>SUMIFS([1]Sheet1!$L:$L,[1]Sheet1!$I:$I,AJ558,[1]Sheet1!$C:$C,A558)</f>
        <v>#VALUE!</v>
      </c>
      <c r="V558" s="6"/>
      <c r="W558" s="6"/>
      <c r="X558" s="7" t="e">
        <f t="shared" si="92"/>
        <v>#VALUE!</v>
      </c>
      <c r="Y558" s="6"/>
      <c r="AJ558" s="5" t="str">
        <f t="shared" si="93"/>
        <v>NM 1040 - Personal</v>
      </c>
      <c r="AK558" s="5" t="str">
        <f t="shared" si="94"/>
        <v>NM-Tax Services-ANN-1040 - Personal_Basic</v>
      </c>
      <c r="AL558" s="5" t="str">
        <f t="shared" si="95"/>
        <v>Petty,_4540_NM 1040 - Personal</v>
      </c>
      <c r="AM558" s="5" t="str">
        <f t="shared" si="96"/>
        <v>Petty,_4540_NM-Tax Services-ANN-1040 - Personal_Basic</v>
      </c>
    </row>
    <row r="559" spans="1:39" x14ac:dyDescent="0.25">
      <c r="A559" s="2" t="s">
        <v>770</v>
      </c>
      <c r="B559" s="2" t="s">
        <v>771</v>
      </c>
      <c r="C559" s="2" t="s">
        <v>1196</v>
      </c>
      <c r="D559" s="8">
        <v>43831</v>
      </c>
      <c r="E559" s="5" t="str">
        <f t="shared" si="97"/>
        <v>Pfeil, Thomas C._01-01-20</v>
      </c>
      <c r="F559" s="2" t="s">
        <v>1203</v>
      </c>
      <c r="G559" s="2" t="s">
        <v>1241</v>
      </c>
      <c r="H559" s="2" t="s">
        <v>1220</v>
      </c>
      <c r="I559" s="2" t="s">
        <v>1221</v>
      </c>
      <c r="J559" s="2" t="s">
        <v>1234</v>
      </c>
      <c r="M559" s="5" t="str">
        <f t="shared" si="88"/>
        <v>Mid</v>
      </c>
      <c r="N559" s="5" t="str">
        <f t="shared" si="89"/>
        <v>Tax-Staff-Mid</v>
      </c>
      <c r="O559" s="5" t="str">
        <f t="shared" si="90"/>
        <v>Tax-Reviewer-Mid</v>
      </c>
      <c r="P559" s="5" t="str">
        <f t="shared" si="91"/>
        <v>Tax-Signer-Mid</v>
      </c>
      <c r="Q559" s="6">
        <v>2.7401969696969677</v>
      </c>
      <c r="R559" s="6">
        <v>0.5480393939393936</v>
      </c>
      <c r="S559" s="6">
        <v>0.2740196969696968</v>
      </c>
      <c r="T559" s="7">
        <f t="shared" si="98"/>
        <v>3.562256060606058</v>
      </c>
      <c r="U559" s="6" t="e">
        <f>SUMIFS([1]Sheet1!$L:$L,[1]Sheet1!$I:$I,AJ559,[1]Sheet1!$C:$C,A559)</f>
        <v>#VALUE!</v>
      </c>
      <c r="V559" s="6"/>
      <c r="W559" s="6"/>
      <c r="X559" s="7" t="e">
        <f t="shared" si="92"/>
        <v>#VALUE!</v>
      </c>
      <c r="Y559" s="6"/>
      <c r="AJ559" s="5" t="str">
        <f t="shared" si="93"/>
        <v>NM 1040 - Personal</v>
      </c>
      <c r="AK559" s="5" t="str">
        <f t="shared" si="94"/>
        <v>NM-Tax Services-ANN-1040 - Personal_Mid</v>
      </c>
      <c r="AL559" s="5" t="str">
        <f t="shared" si="95"/>
        <v>Pfeil,_9232_NM 1040 - Personal</v>
      </c>
      <c r="AM559" s="5" t="str">
        <f t="shared" si="96"/>
        <v>Pfeil,_9232_NM-Tax Services-ANN-1040 - Personal_Mid</v>
      </c>
    </row>
    <row r="560" spans="1:39" x14ac:dyDescent="0.25">
      <c r="A560" s="2" t="s">
        <v>772</v>
      </c>
      <c r="B560" s="2" t="s">
        <v>773</v>
      </c>
      <c r="C560" s="2" t="s">
        <v>1196</v>
      </c>
      <c r="D560" s="8">
        <v>43831</v>
      </c>
      <c r="E560" s="5" t="str">
        <f t="shared" si="97"/>
        <v>Phan, Gai Ly_01-01-20</v>
      </c>
      <c r="F560" s="2" t="s">
        <v>1203</v>
      </c>
      <c r="G560" s="2" t="s">
        <v>1241</v>
      </c>
      <c r="H560" s="2" t="s">
        <v>1220</v>
      </c>
      <c r="I560" s="2" t="s">
        <v>1223</v>
      </c>
      <c r="J560" s="2" t="s">
        <v>1234</v>
      </c>
      <c r="M560" s="5" t="str">
        <f t="shared" si="88"/>
        <v>Basic</v>
      </c>
      <c r="N560" s="5" t="str">
        <f t="shared" si="89"/>
        <v>Tax-Staff-Basic</v>
      </c>
      <c r="O560" s="5" t="str">
        <f t="shared" si="90"/>
        <v>Tax-Reviewer-Basic</v>
      </c>
      <c r="P560" s="5" t="str">
        <f t="shared" si="91"/>
        <v>Tax-Signer-Basic</v>
      </c>
      <c r="Q560" s="6">
        <v>1.4675000000000016</v>
      </c>
      <c r="R560" s="6">
        <v>0.29350000000000032</v>
      </c>
      <c r="S560" s="6">
        <v>0.14675000000000016</v>
      </c>
      <c r="T560" s="7">
        <f t="shared" si="98"/>
        <v>1.9077500000000021</v>
      </c>
      <c r="U560" s="6" t="e">
        <f>SUMIFS([1]Sheet1!$L:$L,[1]Sheet1!$I:$I,AJ560,[1]Sheet1!$C:$C,A560)</f>
        <v>#VALUE!</v>
      </c>
      <c r="V560" s="6"/>
      <c r="W560" s="6"/>
      <c r="X560" s="7" t="e">
        <f t="shared" si="92"/>
        <v>#VALUE!</v>
      </c>
      <c r="Y560" s="6"/>
      <c r="AJ560" s="5" t="str">
        <f t="shared" si="93"/>
        <v>NM 1040 - Personal</v>
      </c>
      <c r="AK560" s="5" t="str">
        <f t="shared" si="94"/>
        <v>NM-Tax Services-ANN-1040 - Personal_Basic</v>
      </c>
      <c r="AL560" s="5" t="str">
        <f t="shared" si="95"/>
        <v>Phan, _3115_NM 1040 - Personal</v>
      </c>
      <c r="AM560" s="5" t="str">
        <f t="shared" si="96"/>
        <v>Phan, _3115_NM-Tax Services-ANN-1040 - Personal_Basic</v>
      </c>
    </row>
    <row r="561" spans="1:39" x14ac:dyDescent="0.25">
      <c r="A561" s="2" t="s">
        <v>1135</v>
      </c>
      <c r="B561" s="2" t="s">
        <v>1136</v>
      </c>
      <c r="C561" s="2" t="s">
        <v>1196</v>
      </c>
      <c r="D561" s="8">
        <v>43831</v>
      </c>
      <c r="E561" s="5" t="str">
        <f t="shared" si="97"/>
        <v>Phelps Pharm, LLC_01-01-20</v>
      </c>
      <c r="F561" s="2" t="s">
        <v>1200</v>
      </c>
      <c r="G561" s="2" t="s">
        <v>1241</v>
      </c>
      <c r="H561" s="2" t="s">
        <v>1220</v>
      </c>
      <c r="I561" s="2" t="s">
        <v>1223</v>
      </c>
      <c r="J561" s="2" t="s">
        <v>1234</v>
      </c>
      <c r="M561" s="5" t="str">
        <f t="shared" si="88"/>
        <v>Basic</v>
      </c>
      <c r="N561" s="5" t="str">
        <f t="shared" si="89"/>
        <v>Tax-Staff-Basic</v>
      </c>
      <c r="O561" s="5" t="str">
        <f t="shared" si="90"/>
        <v>Tax-Reviewer-Basic</v>
      </c>
      <c r="P561" s="5" t="str">
        <f t="shared" si="91"/>
        <v>Tax-Signer-Basic</v>
      </c>
      <c r="Q561" s="6">
        <v>0.5</v>
      </c>
      <c r="R561" s="6">
        <v>0.1</v>
      </c>
      <c r="S561" s="6">
        <v>0.05</v>
      </c>
      <c r="T561" s="7">
        <f t="shared" si="98"/>
        <v>0.65</v>
      </c>
      <c r="U561" s="6" t="e">
        <f>SUMIFS([1]Sheet1!$L:$L,[1]Sheet1!$I:$I,AJ561,[1]Sheet1!$C:$C,A561)</f>
        <v>#VALUE!</v>
      </c>
      <c r="V561" s="6"/>
      <c r="W561" s="6"/>
      <c r="X561" s="7" t="e">
        <f t="shared" si="92"/>
        <v>#VALUE!</v>
      </c>
      <c r="Y561" s="6"/>
      <c r="AJ561" s="5" t="str">
        <f t="shared" si="93"/>
        <v>NM Texas Franchise Tax Return</v>
      </c>
      <c r="AK561" s="5" t="str">
        <f t="shared" si="94"/>
        <v>NM-Tax Services-ANN-Texas Franchise Tax Return_Basic</v>
      </c>
      <c r="AL561" s="5" t="str">
        <f t="shared" si="95"/>
        <v>Phelps P_TX-FTR_1_NM Texas Franchise Tax Return</v>
      </c>
      <c r="AM561" s="5" t="str">
        <f t="shared" si="96"/>
        <v>Phelps P_TX-FTR_1_NM-Tax Services-ANN-Texas Franchise Tax Return_Basic</v>
      </c>
    </row>
    <row r="562" spans="1:39" x14ac:dyDescent="0.25">
      <c r="A562" s="2" t="s">
        <v>774</v>
      </c>
      <c r="B562" s="2" t="s">
        <v>775</v>
      </c>
      <c r="C562" s="2" t="s">
        <v>1196</v>
      </c>
      <c r="D562" s="8">
        <v>43831</v>
      </c>
      <c r="E562" s="5" t="str">
        <f t="shared" si="97"/>
        <v>Phelps, David J. &amp; Kacie L._01-01-20</v>
      </c>
      <c r="F562" s="2" t="s">
        <v>1203</v>
      </c>
      <c r="G562" s="2" t="s">
        <v>1241</v>
      </c>
      <c r="H562" s="2" t="s">
        <v>1220</v>
      </c>
      <c r="I562" s="2" t="s">
        <v>1221</v>
      </c>
      <c r="J562" s="2" t="s">
        <v>1234</v>
      </c>
      <c r="M562" s="5" t="str">
        <f t="shared" si="88"/>
        <v>Mid</v>
      </c>
      <c r="N562" s="5" t="str">
        <f t="shared" si="89"/>
        <v>Tax-Staff-Mid</v>
      </c>
      <c r="O562" s="5" t="str">
        <f t="shared" si="90"/>
        <v>Tax-Reviewer-Mid</v>
      </c>
      <c r="P562" s="5" t="str">
        <f t="shared" si="91"/>
        <v>Tax-Signer-Mid</v>
      </c>
      <c r="Q562" s="6">
        <v>2.7401969696969677</v>
      </c>
      <c r="R562" s="6">
        <v>0.5480393939393936</v>
      </c>
      <c r="S562" s="6">
        <v>0.2740196969696968</v>
      </c>
      <c r="T562" s="7">
        <f t="shared" si="98"/>
        <v>3.562256060606058</v>
      </c>
      <c r="U562" s="6" t="e">
        <f>SUMIFS([1]Sheet1!$L:$L,[1]Sheet1!$I:$I,AJ562,[1]Sheet1!$C:$C,A562)</f>
        <v>#VALUE!</v>
      </c>
      <c r="V562" s="6"/>
      <c r="W562" s="6"/>
      <c r="X562" s="7" t="e">
        <f t="shared" si="92"/>
        <v>#VALUE!</v>
      </c>
      <c r="Y562" s="6"/>
      <c r="AJ562" s="5" t="str">
        <f t="shared" si="93"/>
        <v>NM 1040 - Personal</v>
      </c>
      <c r="AK562" s="5" t="str">
        <f t="shared" si="94"/>
        <v>NM-Tax Services-ANN-1040 - Personal_Mid</v>
      </c>
      <c r="AL562" s="5" t="str">
        <f t="shared" si="95"/>
        <v>Phelps_9929_NM 1040 - Personal</v>
      </c>
      <c r="AM562" s="5" t="str">
        <f t="shared" si="96"/>
        <v>Phelps_9929_NM-Tax Services-ANN-1040 - Personal_Mid</v>
      </c>
    </row>
    <row r="563" spans="1:39" x14ac:dyDescent="0.25">
      <c r="A563" s="2" t="s">
        <v>776</v>
      </c>
      <c r="B563" s="2" t="s">
        <v>777</v>
      </c>
      <c r="C563" s="2" t="s">
        <v>1196</v>
      </c>
      <c r="D563" s="8">
        <v>43831</v>
      </c>
      <c r="E563" s="5" t="str">
        <f t="shared" si="97"/>
        <v>Picon Delgado, Manuel E._01-01-20</v>
      </c>
      <c r="F563" s="2" t="s">
        <v>1203</v>
      </c>
      <c r="G563" s="2" t="s">
        <v>1241</v>
      </c>
      <c r="H563" s="2" t="s">
        <v>1220</v>
      </c>
      <c r="I563" s="2" t="s">
        <v>1223</v>
      </c>
      <c r="J563" s="2" t="s">
        <v>1234</v>
      </c>
      <c r="M563" s="5" t="str">
        <f t="shared" si="88"/>
        <v>Basic</v>
      </c>
      <c r="N563" s="5" t="str">
        <f t="shared" si="89"/>
        <v>Tax-Staff-Basic</v>
      </c>
      <c r="O563" s="5" t="str">
        <f t="shared" si="90"/>
        <v>Tax-Reviewer-Basic</v>
      </c>
      <c r="P563" s="5" t="str">
        <f t="shared" si="91"/>
        <v>Tax-Signer-Basic</v>
      </c>
      <c r="Q563" s="6">
        <v>1.4675000000000016</v>
      </c>
      <c r="R563" s="6">
        <v>0.29350000000000032</v>
      </c>
      <c r="S563" s="6">
        <v>0.14675000000000016</v>
      </c>
      <c r="T563" s="7">
        <f t="shared" si="98"/>
        <v>1.9077500000000021</v>
      </c>
      <c r="U563" s="6" t="e">
        <f>SUMIFS([1]Sheet1!$L:$L,[1]Sheet1!$I:$I,AJ563,[1]Sheet1!$C:$C,A563)</f>
        <v>#VALUE!</v>
      </c>
      <c r="V563" s="6"/>
      <c r="W563" s="6"/>
      <c r="X563" s="7" t="e">
        <f t="shared" si="92"/>
        <v>#VALUE!</v>
      </c>
      <c r="Y563" s="6"/>
      <c r="AJ563" s="5" t="str">
        <f t="shared" si="93"/>
        <v>NM 1040 - Personal</v>
      </c>
      <c r="AK563" s="5" t="str">
        <f t="shared" si="94"/>
        <v>NM-Tax Services-ANN-1040 - Personal_Basic</v>
      </c>
      <c r="AL563" s="5" t="str">
        <f t="shared" si="95"/>
        <v>Picon _3067_NM 1040 - Personal</v>
      </c>
      <c r="AM563" s="5" t="str">
        <f t="shared" si="96"/>
        <v>Picon _3067_NM-Tax Services-ANN-1040 - Personal_Basic</v>
      </c>
    </row>
    <row r="564" spans="1:39" x14ac:dyDescent="0.25">
      <c r="A564" s="2" t="s">
        <v>315</v>
      </c>
      <c r="B564" s="2" t="s">
        <v>316</v>
      </c>
      <c r="C564" s="2" t="s">
        <v>1197</v>
      </c>
      <c r="D564" s="8">
        <v>43831</v>
      </c>
      <c r="E564" s="5" t="str">
        <f t="shared" si="97"/>
        <v>Pilot Processing DBA Next Level_01-01-20</v>
      </c>
      <c r="F564" s="2" t="s">
        <v>1204</v>
      </c>
      <c r="G564" s="2" t="s">
        <v>1241</v>
      </c>
      <c r="H564" s="2" t="s">
        <v>1220</v>
      </c>
      <c r="I564" s="2" t="s">
        <v>1221</v>
      </c>
      <c r="J564" s="2" t="s">
        <v>1234</v>
      </c>
      <c r="M564" s="5" t="str">
        <f t="shared" si="88"/>
        <v>Mid</v>
      </c>
      <c r="N564" s="5" t="str">
        <f t="shared" si="89"/>
        <v>Tax-Staff-Mid</v>
      </c>
      <c r="O564" s="5" t="str">
        <f t="shared" si="90"/>
        <v>Tax-Reviewer-Mid</v>
      </c>
      <c r="P564" s="5" t="str">
        <f t="shared" si="91"/>
        <v>Tax-Signer-Mid</v>
      </c>
      <c r="Q564" s="6">
        <v>2.7401969696969677</v>
      </c>
      <c r="R564" s="6">
        <v>0.5480393939393936</v>
      </c>
      <c r="S564" s="6">
        <v>0.2740196969696968</v>
      </c>
      <c r="T564" s="7">
        <f t="shared" si="98"/>
        <v>3.562256060606058</v>
      </c>
      <c r="U564" s="6" t="e">
        <f>SUMIFS([1]Sheet1!$L:$L,[1]Sheet1!$I:$I,AJ564,[1]Sheet1!$C:$C,A564)</f>
        <v>#VALUE!</v>
      </c>
      <c r="V564" s="6"/>
      <c r="W564" s="6"/>
      <c r="X564" s="7" t="e">
        <f t="shared" si="92"/>
        <v>#VALUE!</v>
      </c>
      <c r="Y564" s="6"/>
      <c r="AJ564" s="5" t="str">
        <f t="shared" si="93"/>
        <v>MO 1120S - S Corporation</v>
      </c>
      <c r="AK564" s="5" t="str">
        <f t="shared" si="94"/>
        <v>MO-Tax Services-ANN-1120S - S Corporation_Mid</v>
      </c>
      <c r="AL564" s="5" t="str">
        <f t="shared" si="95"/>
        <v>Pilot Pr_1120S_45-4420471_MO 1120S - S Corporation</v>
      </c>
      <c r="AM564" s="5" t="str">
        <f t="shared" si="96"/>
        <v>Pilot Pr_1120S_45-4420471_MO-Tax Services-ANN-1120S - S Corporation_Mid</v>
      </c>
    </row>
    <row r="565" spans="1:39" x14ac:dyDescent="0.25">
      <c r="A565" s="2" t="s">
        <v>980</v>
      </c>
      <c r="B565" s="2" t="s">
        <v>981</v>
      </c>
      <c r="C565" s="2" t="s">
        <v>1196</v>
      </c>
      <c r="D565" s="8">
        <v>43831</v>
      </c>
      <c r="E565" s="5" t="str">
        <f t="shared" si="97"/>
        <v>Pipeline Consulting, LLC_01-01-20</v>
      </c>
      <c r="F565" s="2" t="s">
        <v>1204</v>
      </c>
      <c r="G565" s="2" t="s">
        <v>1241</v>
      </c>
      <c r="H565" s="2" t="s">
        <v>1220</v>
      </c>
      <c r="I565" s="2" t="s">
        <v>1223</v>
      </c>
      <c r="J565" s="2" t="s">
        <v>1234</v>
      </c>
      <c r="M565" s="5" t="str">
        <f t="shared" si="88"/>
        <v>Basic</v>
      </c>
      <c r="N565" s="5" t="str">
        <f t="shared" si="89"/>
        <v>Tax-Staff-Basic</v>
      </c>
      <c r="O565" s="5" t="str">
        <f t="shared" si="90"/>
        <v>Tax-Reviewer-Basic</v>
      </c>
      <c r="P565" s="5" t="str">
        <f t="shared" si="91"/>
        <v>Tax-Signer-Basic</v>
      </c>
      <c r="Q565" s="6">
        <v>1.4675000000000016</v>
      </c>
      <c r="R565" s="6">
        <v>0.29350000000000032</v>
      </c>
      <c r="S565" s="6">
        <v>0.14675000000000016</v>
      </c>
      <c r="T565" s="7">
        <f t="shared" si="98"/>
        <v>1.9077500000000021</v>
      </c>
      <c r="U565" s="6" t="e">
        <f>SUMIFS([1]Sheet1!$L:$L,[1]Sheet1!$I:$I,AJ565,[1]Sheet1!$C:$C,A565)</f>
        <v>#VALUE!</v>
      </c>
      <c r="V565" s="6"/>
      <c r="W565" s="6"/>
      <c r="X565" s="7" t="e">
        <f t="shared" si="92"/>
        <v>#VALUE!</v>
      </c>
      <c r="Y565" s="6"/>
      <c r="AJ565" s="5" t="str">
        <f t="shared" si="93"/>
        <v>NM 1120S - S Corporation</v>
      </c>
      <c r="AK565" s="5" t="str">
        <f t="shared" si="94"/>
        <v>NM-Tax Services-ANN-1120S - S Corporation_Basic</v>
      </c>
      <c r="AL565" s="5" t="str">
        <f t="shared" si="95"/>
        <v>Pipeline_1120S_84-1912359_NM 1120S - S Corporation</v>
      </c>
      <c r="AM565" s="5" t="str">
        <f t="shared" si="96"/>
        <v>Pipeline_1120S_84-1912359_NM-Tax Services-ANN-1120S - S Corporation_Basic</v>
      </c>
    </row>
    <row r="566" spans="1:39" x14ac:dyDescent="0.25">
      <c r="A566" s="2" t="s">
        <v>980</v>
      </c>
      <c r="B566" s="2" t="s">
        <v>981</v>
      </c>
      <c r="C566" s="2" t="s">
        <v>1196</v>
      </c>
      <c r="D566" s="8">
        <v>43831</v>
      </c>
      <c r="E566" s="5" t="str">
        <f t="shared" si="97"/>
        <v>Pipeline Consulting, LLC_01-01-20</v>
      </c>
      <c r="F566" s="2" t="s">
        <v>1200</v>
      </c>
      <c r="G566" s="2" t="s">
        <v>1241</v>
      </c>
      <c r="H566" s="2" t="s">
        <v>1220</v>
      </c>
      <c r="I566" s="2" t="s">
        <v>1223</v>
      </c>
      <c r="J566" s="2" t="s">
        <v>1234</v>
      </c>
      <c r="M566" s="5" t="str">
        <f t="shared" si="88"/>
        <v>Basic</v>
      </c>
      <c r="N566" s="5" t="str">
        <f t="shared" si="89"/>
        <v>Tax-Staff-Basic</v>
      </c>
      <c r="O566" s="5" t="str">
        <f t="shared" si="90"/>
        <v>Tax-Reviewer-Basic</v>
      </c>
      <c r="P566" s="5" t="str">
        <f t="shared" si="91"/>
        <v>Tax-Signer-Basic</v>
      </c>
      <c r="Q566" s="6">
        <v>0.5</v>
      </c>
      <c r="R566" s="6">
        <v>0.1</v>
      </c>
      <c r="S566" s="6">
        <v>0.05</v>
      </c>
      <c r="T566" s="7">
        <f t="shared" si="98"/>
        <v>0.65</v>
      </c>
      <c r="U566" s="6" t="e">
        <f>SUMIFS([1]Sheet1!$L:$L,[1]Sheet1!$I:$I,AJ566,[1]Sheet1!$C:$C,A566)</f>
        <v>#VALUE!</v>
      </c>
      <c r="V566" s="6"/>
      <c r="W566" s="6"/>
      <c r="X566" s="7" t="e">
        <f t="shared" si="92"/>
        <v>#VALUE!</v>
      </c>
      <c r="Y566" s="6"/>
      <c r="AJ566" s="5" t="str">
        <f t="shared" si="93"/>
        <v>NM Texas Franchise Tax Return</v>
      </c>
      <c r="AK566" s="5" t="str">
        <f t="shared" si="94"/>
        <v>NM-Tax Services-ANN-Texas Franchise Tax Return_Basic</v>
      </c>
      <c r="AL566" s="5" t="str">
        <f t="shared" si="95"/>
        <v>Pipeline_1120S_84-1912359_NM Texas Franchise Tax Return</v>
      </c>
      <c r="AM566" s="5" t="str">
        <f t="shared" si="96"/>
        <v>Pipeline_1120S_84-1912359_NM-Tax Services-ANN-Texas Franchise Tax Return_Basic</v>
      </c>
    </row>
    <row r="567" spans="1:39" x14ac:dyDescent="0.25">
      <c r="A567" s="2" t="s">
        <v>1010</v>
      </c>
      <c r="B567" s="2" t="s">
        <v>1011</v>
      </c>
      <c r="C567" s="2" t="s">
        <v>1196</v>
      </c>
      <c r="D567" s="8">
        <v>43831</v>
      </c>
      <c r="E567" s="5" t="str">
        <f t="shared" si="97"/>
        <v>Pittman, Robert_01-01-20</v>
      </c>
      <c r="F567" s="2" t="s">
        <v>1203</v>
      </c>
      <c r="G567" s="2" t="s">
        <v>1241</v>
      </c>
      <c r="H567" s="2" t="s">
        <v>1220</v>
      </c>
      <c r="I567" s="2" t="s">
        <v>1223</v>
      </c>
      <c r="J567" s="2" t="s">
        <v>1234</v>
      </c>
      <c r="M567" s="5" t="str">
        <f t="shared" si="88"/>
        <v>Basic</v>
      </c>
      <c r="N567" s="5" t="str">
        <f t="shared" si="89"/>
        <v>Tax-Staff-Basic</v>
      </c>
      <c r="O567" s="5" t="str">
        <f t="shared" si="90"/>
        <v>Tax-Reviewer-Basic</v>
      </c>
      <c r="P567" s="5" t="str">
        <f t="shared" si="91"/>
        <v>Tax-Signer-Basic</v>
      </c>
      <c r="Q567" s="6">
        <v>1.4675000000000016</v>
      </c>
      <c r="R567" s="6">
        <v>0.29350000000000032</v>
      </c>
      <c r="S567" s="6">
        <v>0.14675000000000016</v>
      </c>
      <c r="T567" s="7">
        <f t="shared" si="98"/>
        <v>1.9077500000000021</v>
      </c>
      <c r="U567" s="6" t="e">
        <f>SUMIFS([1]Sheet1!$L:$L,[1]Sheet1!$I:$I,AJ567,[1]Sheet1!$C:$C,A567)</f>
        <v>#VALUE!</v>
      </c>
      <c r="V567" s="6"/>
      <c r="W567" s="6"/>
      <c r="X567" s="7" t="e">
        <f t="shared" si="92"/>
        <v>#VALUE!</v>
      </c>
      <c r="Y567" s="6"/>
      <c r="AJ567" s="5" t="str">
        <f t="shared" si="93"/>
        <v>NM 1040 - Personal</v>
      </c>
      <c r="AK567" s="5" t="str">
        <f t="shared" si="94"/>
        <v>NM-Tax Services-ANN-1040 - Personal_Basic</v>
      </c>
      <c r="AL567" s="5" t="str">
        <f t="shared" si="95"/>
        <v>Pittma_2910_NM 1040 - Personal</v>
      </c>
      <c r="AM567" s="5" t="str">
        <f t="shared" si="96"/>
        <v>Pittma_2910_NM-Tax Services-ANN-1040 - Personal_Basic</v>
      </c>
    </row>
    <row r="568" spans="1:39" x14ac:dyDescent="0.25">
      <c r="A568" s="2" t="s">
        <v>1131</v>
      </c>
      <c r="B568" s="2" t="s">
        <v>1132</v>
      </c>
      <c r="C568" s="2" t="s">
        <v>1196</v>
      </c>
      <c r="D568" s="8">
        <v>43831</v>
      </c>
      <c r="E568" s="5" t="str">
        <f t="shared" si="97"/>
        <v>Pizza Americana LLC_01-01-20</v>
      </c>
      <c r="F568" s="2" t="s">
        <v>1199</v>
      </c>
      <c r="G568" s="2" t="s">
        <v>1241</v>
      </c>
      <c r="H568" s="2" t="s">
        <v>1220</v>
      </c>
      <c r="I568" s="2" t="s">
        <v>1223</v>
      </c>
      <c r="J568" s="2" t="s">
        <v>1234</v>
      </c>
      <c r="M568" s="5" t="str">
        <f t="shared" si="88"/>
        <v>Basic</v>
      </c>
      <c r="N568" s="5" t="str">
        <f t="shared" si="89"/>
        <v>Tax-Staff-Basic</v>
      </c>
      <c r="O568" s="5" t="str">
        <f t="shared" si="90"/>
        <v>Tax-Reviewer-Basic</v>
      </c>
      <c r="P568" s="5" t="str">
        <f t="shared" si="91"/>
        <v>Tax-Signer-Basic</v>
      </c>
      <c r="Q568" s="6">
        <v>1.4675000000000016</v>
      </c>
      <c r="R568" s="6">
        <v>0.29350000000000032</v>
      </c>
      <c r="S568" s="6">
        <v>0.14675000000000016</v>
      </c>
      <c r="T568" s="7">
        <f t="shared" si="98"/>
        <v>1.9077500000000021</v>
      </c>
      <c r="U568" s="6" t="e">
        <f>SUMIFS([1]Sheet1!$L:$L,[1]Sheet1!$I:$I,AJ568,[1]Sheet1!$C:$C,A568)</f>
        <v>#VALUE!</v>
      </c>
      <c r="V568" s="6"/>
      <c r="W568" s="6"/>
      <c r="X568" s="7" t="e">
        <f t="shared" si="92"/>
        <v>#VALUE!</v>
      </c>
      <c r="Y568" s="6"/>
      <c r="AJ568" s="5" t="str">
        <f t="shared" si="93"/>
        <v>NM 1065 - Partnership</v>
      </c>
      <c r="AK568" s="5" t="str">
        <f t="shared" si="94"/>
        <v>NM-Tax Services-ANN-1065 - Partnership_Basic</v>
      </c>
      <c r="AL568" s="5" t="str">
        <f t="shared" si="95"/>
        <v>Pizza Am_1065_823222718_NM 1065 - Partnership</v>
      </c>
      <c r="AM568" s="5" t="str">
        <f t="shared" si="96"/>
        <v>Pizza Am_1065_823222718_NM-Tax Services-ANN-1065 - Partnership_Basic</v>
      </c>
    </row>
    <row r="569" spans="1:39" x14ac:dyDescent="0.25">
      <c r="A569" s="2" t="s">
        <v>1131</v>
      </c>
      <c r="B569" s="2" t="s">
        <v>1132</v>
      </c>
      <c r="C569" s="2" t="s">
        <v>1196</v>
      </c>
      <c r="D569" s="8">
        <v>43831</v>
      </c>
      <c r="E569" s="5" t="str">
        <f t="shared" si="97"/>
        <v>Pizza Americana LLC_01-01-20</v>
      </c>
      <c r="F569" s="2" t="s">
        <v>1200</v>
      </c>
      <c r="G569" s="2" t="s">
        <v>1241</v>
      </c>
      <c r="H569" s="2" t="s">
        <v>1220</v>
      </c>
      <c r="I569" s="2" t="s">
        <v>1223</v>
      </c>
      <c r="J569" s="2" t="s">
        <v>1234</v>
      </c>
      <c r="M569" s="5" t="str">
        <f t="shared" si="88"/>
        <v>Basic</v>
      </c>
      <c r="N569" s="5" t="str">
        <f t="shared" si="89"/>
        <v>Tax-Staff-Basic</v>
      </c>
      <c r="O569" s="5" t="str">
        <f t="shared" si="90"/>
        <v>Tax-Reviewer-Basic</v>
      </c>
      <c r="P569" s="5" t="str">
        <f t="shared" si="91"/>
        <v>Tax-Signer-Basic</v>
      </c>
      <c r="Q569" s="6">
        <v>0.5</v>
      </c>
      <c r="R569" s="6">
        <v>0.1</v>
      </c>
      <c r="S569" s="6">
        <v>0.05</v>
      </c>
      <c r="T569" s="7">
        <f t="shared" si="98"/>
        <v>0.65</v>
      </c>
      <c r="U569" s="6" t="e">
        <f>SUMIFS([1]Sheet1!$L:$L,[1]Sheet1!$I:$I,AJ569,[1]Sheet1!$C:$C,A569)</f>
        <v>#VALUE!</v>
      </c>
      <c r="V569" s="6"/>
      <c r="W569" s="6"/>
      <c r="X569" s="7" t="e">
        <f t="shared" si="92"/>
        <v>#VALUE!</v>
      </c>
      <c r="Y569" s="6"/>
      <c r="AJ569" s="5" t="str">
        <f t="shared" si="93"/>
        <v>NM Texas Franchise Tax Return</v>
      </c>
      <c r="AK569" s="5" t="str">
        <f t="shared" si="94"/>
        <v>NM-Tax Services-ANN-Texas Franchise Tax Return_Basic</v>
      </c>
      <c r="AL569" s="5" t="str">
        <f t="shared" si="95"/>
        <v>Pizza Am_1065_823222718_NM Texas Franchise Tax Return</v>
      </c>
      <c r="AM569" s="5" t="str">
        <f t="shared" si="96"/>
        <v>Pizza Am_1065_823222718_NM-Tax Services-ANN-Texas Franchise Tax Return_Basic</v>
      </c>
    </row>
    <row r="570" spans="1:39" x14ac:dyDescent="0.25">
      <c r="A570" s="2" t="s">
        <v>381</v>
      </c>
      <c r="B570" s="2" t="s">
        <v>382</v>
      </c>
      <c r="C570" s="2" t="s">
        <v>1196</v>
      </c>
      <c r="D570" s="8">
        <v>43831</v>
      </c>
      <c r="E570" s="5" t="str">
        <f t="shared" si="97"/>
        <v>Plano All Star Auto Clinic_01-01-20</v>
      </c>
      <c r="F570" s="2" t="s">
        <v>1199</v>
      </c>
      <c r="G570" s="2" t="s">
        <v>1241</v>
      </c>
      <c r="H570" s="2" t="s">
        <v>1220</v>
      </c>
      <c r="I570" s="2" t="s">
        <v>1223</v>
      </c>
      <c r="J570" s="2" t="s">
        <v>1234</v>
      </c>
      <c r="M570" s="5" t="str">
        <f t="shared" si="88"/>
        <v>Basic</v>
      </c>
      <c r="N570" s="5" t="str">
        <f t="shared" si="89"/>
        <v>Tax-Staff-Basic</v>
      </c>
      <c r="O570" s="5" t="str">
        <f t="shared" si="90"/>
        <v>Tax-Reviewer-Basic</v>
      </c>
      <c r="P570" s="5" t="str">
        <f t="shared" si="91"/>
        <v>Tax-Signer-Basic</v>
      </c>
      <c r="Q570" s="6">
        <v>1.4675000000000016</v>
      </c>
      <c r="R570" s="6">
        <v>0.29350000000000032</v>
      </c>
      <c r="S570" s="6">
        <v>0.14675000000000016</v>
      </c>
      <c r="T570" s="7">
        <f t="shared" si="98"/>
        <v>1.9077500000000021</v>
      </c>
      <c r="U570" s="6" t="e">
        <f>SUMIFS([1]Sheet1!$L:$L,[1]Sheet1!$I:$I,AJ570,[1]Sheet1!$C:$C,A570)</f>
        <v>#VALUE!</v>
      </c>
      <c r="V570" s="6"/>
      <c r="W570" s="6"/>
      <c r="X570" s="7" t="e">
        <f t="shared" si="92"/>
        <v>#VALUE!</v>
      </c>
      <c r="Y570" s="6"/>
      <c r="AJ570" s="5" t="str">
        <f t="shared" si="93"/>
        <v>NM 1065 - Partnership</v>
      </c>
      <c r="AK570" s="5" t="str">
        <f t="shared" si="94"/>
        <v>NM-Tax Services-ANN-1065 - Partnership_Basic</v>
      </c>
      <c r="AL570" s="5" t="str">
        <f t="shared" si="95"/>
        <v>Plano Al_1065_47-1633874_NM 1065 - Partnership</v>
      </c>
      <c r="AM570" s="5" t="str">
        <f t="shared" si="96"/>
        <v>Plano Al_1065_47-1633874_NM-Tax Services-ANN-1065 - Partnership_Basic</v>
      </c>
    </row>
    <row r="571" spans="1:39" x14ac:dyDescent="0.25">
      <c r="A571" s="2" t="s">
        <v>778</v>
      </c>
      <c r="B571" s="2" t="s">
        <v>779</v>
      </c>
      <c r="C571" s="2" t="s">
        <v>1196</v>
      </c>
      <c r="D571" s="8">
        <v>43831</v>
      </c>
      <c r="E571" s="5" t="str">
        <f t="shared" si="97"/>
        <v>Platukas, Justin &amp; Wendy_01-01-20</v>
      </c>
      <c r="F571" s="2" t="s">
        <v>1203</v>
      </c>
      <c r="G571" s="2" t="s">
        <v>1241</v>
      </c>
      <c r="H571" s="2" t="s">
        <v>1220</v>
      </c>
      <c r="I571" s="2" t="s">
        <v>1221</v>
      </c>
      <c r="J571" s="2" t="s">
        <v>1234</v>
      </c>
      <c r="M571" s="5" t="str">
        <f t="shared" si="88"/>
        <v>Mid</v>
      </c>
      <c r="N571" s="5" t="str">
        <f t="shared" si="89"/>
        <v>Tax-Staff-Mid</v>
      </c>
      <c r="O571" s="5" t="str">
        <f t="shared" si="90"/>
        <v>Tax-Reviewer-Mid</v>
      </c>
      <c r="P571" s="5" t="str">
        <f t="shared" si="91"/>
        <v>Tax-Signer-Mid</v>
      </c>
      <c r="Q571" s="6">
        <v>2.7401969696969677</v>
      </c>
      <c r="R571" s="6">
        <v>0.5480393939393936</v>
      </c>
      <c r="S571" s="6">
        <v>0.2740196969696968</v>
      </c>
      <c r="T571" s="7">
        <f t="shared" si="98"/>
        <v>3.562256060606058</v>
      </c>
      <c r="U571" s="6" t="e">
        <f>SUMIFS([1]Sheet1!$L:$L,[1]Sheet1!$I:$I,AJ571,[1]Sheet1!$C:$C,A571)</f>
        <v>#VALUE!</v>
      </c>
      <c r="V571" s="6"/>
      <c r="W571" s="6"/>
      <c r="X571" s="7" t="e">
        <f t="shared" si="92"/>
        <v>#VALUE!</v>
      </c>
      <c r="Y571" s="6"/>
      <c r="AJ571" s="5" t="str">
        <f t="shared" si="93"/>
        <v>NM 1040 - Personal</v>
      </c>
      <c r="AK571" s="5" t="str">
        <f t="shared" si="94"/>
        <v>NM-Tax Services-ANN-1040 - Personal_Mid</v>
      </c>
      <c r="AL571" s="5" t="str">
        <f t="shared" si="95"/>
        <v>Platuk_6726_NM 1040 - Personal</v>
      </c>
      <c r="AM571" s="5" t="str">
        <f t="shared" si="96"/>
        <v>Platuk_6726_NM-Tax Services-ANN-1040 - Personal_Mid</v>
      </c>
    </row>
    <row r="572" spans="1:39" x14ac:dyDescent="0.25">
      <c r="A572" s="2" t="s">
        <v>317</v>
      </c>
      <c r="B572" s="2" t="s">
        <v>318</v>
      </c>
      <c r="C572" s="2" t="s">
        <v>1197</v>
      </c>
      <c r="D572" s="8">
        <v>43831</v>
      </c>
      <c r="E572" s="5" t="str">
        <f t="shared" si="97"/>
        <v>PMP Moving Corp._01-01-20</v>
      </c>
      <c r="F572" s="2" t="s">
        <v>1206</v>
      </c>
      <c r="G572" s="2" t="s">
        <v>1241</v>
      </c>
      <c r="H572" s="2" t="s">
        <v>1220</v>
      </c>
      <c r="I572" s="2" t="s">
        <v>1223</v>
      </c>
      <c r="J572" s="2" t="s">
        <v>1234</v>
      </c>
      <c r="M572" s="5" t="str">
        <f t="shared" si="88"/>
        <v>Basic</v>
      </c>
      <c r="N572" s="5" t="str">
        <f t="shared" si="89"/>
        <v>Tax-Staff-Basic</v>
      </c>
      <c r="O572" s="5" t="str">
        <f t="shared" si="90"/>
        <v>Tax-Reviewer-Basic</v>
      </c>
      <c r="P572" s="5" t="str">
        <f t="shared" si="91"/>
        <v>Tax-Signer-Basic</v>
      </c>
      <c r="Q572" s="6">
        <v>1.4675000000000016</v>
      </c>
      <c r="R572" s="6">
        <v>0.29350000000000032</v>
      </c>
      <c r="S572" s="6">
        <v>0.14675000000000016</v>
      </c>
      <c r="T572" s="7">
        <f t="shared" si="98"/>
        <v>1.9077500000000021</v>
      </c>
      <c r="U572" s="6" t="e">
        <f>SUMIFS([1]Sheet1!$L:$L,[1]Sheet1!$I:$I,AJ572,[1]Sheet1!$C:$C,A572)</f>
        <v>#VALUE!</v>
      </c>
      <c r="V572" s="6"/>
      <c r="W572" s="6"/>
      <c r="X572" s="7" t="e">
        <f t="shared" si="92"/>
        <v>#VALUE!</v>
      </c>
      <c r="Y572" s="6"/>
      <c r="AJ572" s="5" t="str">
        <f t="shared" si="93"/>
        <v>MO 1120 - C Corporation</v>
      </c>
      <c r="AK572" s="5" t="str">
        <f t="shared" si="94"/>
        <v>MO-Tax Services-ANN-1120 - C Corporation_Basic</v>
      </c>
      <c r="AL572" s="5" t="str">
        <f t="shared" si="95"/>
        <v>PMP Movi_1120S_82-2872894_MO 1120 - C Corporation</v>
      </c>
      <c r="AM572" s="5" t="str">
        <f t="shared" si="96"/>
        <v>PMP Movi_1120S_82-2872894_MO-Tax Services-ANN-1120 - C Corporation_Basic</v>
      </c>
    </row>
    <row r="573" spans="1:39" x14ac:dyDescent="0.25">
      <c r="A573" s="2" t="s">
        <v>964</v>
      </c>
      <c r="B573" s="2" t="s">
        <v>965</v>
      </c>
      <c r="C573" s="2" t="s">
        <v>1197</v>
      </c>
      <c r="D573" s="8">
        <v>43831</v>
      </c>
      <c r="E573" s="5" t="str">
        <f t="shared" si="97"/>
        <v>Pollard (Allen), Angel_01-01-20</v>
      </c>
      <c r="F573" s="2" t="s">
        <v>1203</v>
      </c>
      <c r="G573" s="2" t="s">
        <v>1241</v>
      </c>
      <c r="H573" s="2" t="s">
        <v>1220</v>
      </c>
      <c r="I573" s="2" t="s">
        <v>1221</v>
      </c>
      <c r="J573" s="2" t="s">
        <v>1234</v>
      </c>
      <c r="M573" s="5" t="str">
        <f t="shared" si="88"/>
        <v>Mid</v>
      </c>
      <c r="N573" s="5" t="str">
        <f t="shared" si="89"/>
        <v>Tax-Staff-Mid</v>
      </c>
      <c r="O573" s="5" t="str">
        <f t="shared" si="90"/>
        <v>Tax-Reviewer-Mid</v>
      </c>
      <c r="P573" s="5" t="str">
        <f t="shared" si="91"/>
        <v>Tax-Signer-Mid</v>
      </c>
      <c r="Q573" s="6">
        <v>2.7401969696969677</v>
      </c>
      <c r="R573" s="6">
        <v>0.5480393939393936</v>
      </c>
      <c r="S573" s="6">
        <v>0.2740196969696968</v>
      </c>
      <c r="T573" s="7">
        <f t="shared" si="98"/>
        <v>3.562256060606058</v>
      </c>
      <c r="U573" s="6" t="e">
        <f>SUMIFS([1]Sheet1!$L:$L,[1]Sheet1!$I:$I,AJ573,[1]Sheet1!$C:$C,A573)</f>
        <v>#VALUE!</v>
      </c>
      <c r="V573" s="6"/>
      <c r="W573" s="6"/>
      <c r="X573" s="7" t="e">
        <f t="shared" si="92"/>
        <v>#VALUE!</v>
      </c>
      <c r="Y573" s="6"/>
      <c r="AJ573" s="5" t="str">
        <f t="shared" si="93"/>
        <v>MO 1040 - Personal</v>
      </c>
      <c r="AK573" s="5" t="str">
        <f t="shared" si="94"/>
        <v>MO-Tax Services-ANN-1040 - Personal_Mid</v>
      </c>
      <c r="AL573" s="5" t="str">
        <f t="shared" si="95"/>
        <v>Pollar_2178_MO 1040 - Personal</v>
      </c>
      <c r="AM573" s="5" t="str">
        <f t="shared" si="96"/>
        <v>Pollar_2178_MO-Tax Services-ANN-1040 - Personal_Mid</v>
      </c>
    </row>
    <row r="574" spans="1:39" x14ac:dyDescent="0.25">
      <c r="A574" s="2" t="s">
        <v>974</v>
      </c>
      <c r="B574" s="2" t="s">
        <v>975</v>
      </c>
      <c r="C574" s="2" t="s">
        <v>1196</v>
      </c>
      <c r="D574" s="8">
        <v>43831</v>
      </c>
      <c r="E574" s="5" t="str">
        <f t="shared" si="97"/>
        <v>Polny, Ryan_01-01-20</v>
      </c>
      <c r="F574" s="2" t="s">
        <v>1203</v>
      </c>
      <c r="G574" s="2" t="s">
        <v>1241</v>
      </c>
      <c r="H574" s="2" t="s">
        <v>1220</v>
      </c>
      <c r="I574" s="2" t="s">
        <v>1223</v>
      </c>
      <c r="J574" s="2" t="s">
        <v>1234</v>
      </c>
      <c r="M574" s="5" t="str">
        <f t="shared" si="88"/>
        <v>Basic</v>
      </c>
      <c r="N574" s="5" t="str">
        <f t="shared" si="89"/>
        <v>Tax-Staff-Basic</v>
      </c>
      <c r="O574" s="5" t="str">
        <f t="shared" si="90"/>
        <v>Tax-Reviewer-Basic</v>
      </c>
      <c r="P574" s="5" t="str">
        <f t="shared" si="91"/>
        <v>Tax-Signer-Basic</v>
      </c>
      <c r="Q574" s="6">
        <v>1.4675000000000016</v>
      </c>
      <c r="R574" s="6">
        <v>0.29350000000000032</v>
      </c>
      <c r="S574" s="6">
        <v>0.14675000000000016</v>
      </c>
      <c r="T574" s="7">
        <f t="shared" si="98"/>
        <v>1.9077500000000021</v>
      </c>
      <c r="U574" s="6" t="e">
        <f>SUMIFS([1]Sheet1!$L:$L,[1]Sheet1!$I:$I,AJ574,[1]Sheet1!$C:$C,A574)</f>
        <v>#VALUE!</v>
      </c>
      <c r="V574" s="6"/>
      <c r="W574" s="6"/>
      <c r="X574" s="7" t="e">
        <f t="shared" si="92"/>
        <v>#VALUE!</v>
      </c>
      <c r="Y574" s="6"/>
      <c r="AJ574" s="5" t="str">
        <f t="shared" si="93"/>
        <v>NM 1040 - Personal</v>
      </c>
      <c r="AK574" s="5" t="str">
        <f t="shared" si="94"/>
        <v>NM-Tax Services-ANN-1040 - Personal_Basic</v>
      </c>
      <c r="AL574" s="5" t="str">
        <f t="shared" si="95"/>
        <v>Polny,_1_NM 1040 - Personal</v>
      </c>
      <c r="AM574" s="5" t="str">
        <f t="shared" si="96"/>
        <v>Polny,_1_NM-Tax Services-ANN-1040 - Personal_Basic</v>
      </c>
    </row>
    <row r="575" spans="1:39" x14ac:dyDescent="0.25">
      <c r="A575" s="2" t="s">
        <v>780</v>
      </c>
      <c r="B575" s="2" t="s">
        <v>781</v>
      </c>
      <c r="C575" s="2" t="s">
        <v>1196</v>
      </c>
      <c r="D575" s="8">
        <v>43831</v>
      </c>
      <c r="E575" s="5" t="str">
        <f t="shared" si="97"/>
        <v>Polster, Matt_01-01-20</v>
      </c>
      <c r="F575" s="2" t="s">
        <v>1203</v>
      </c>
      <c r="G575" s="2" t="s">
        <v>1241</v>
      </c>
      <c r="H575" s="2" t="s">
        <v>1220</v>
      </c>
      <c r="I575" s="2" t="s">
        <v>1221</v>
      </c>
      <c r="J575" s="2" t="s">
        <v>1234</v>
      </c>
      <c r="M575" s="5" t="str">
        <f t="shared" si="88"/>
        <v>Mid</v>
      </c>
      <c r="N575" s="5" t="str">
        <f t="shared" si="89"/>
        <v>Tax-Staff-Mid</v>
      </c>
      <c r="O575" s="5" t="str">
        <f t="shared" si="90"/>
        <v>Tax-Reviewer-Mid</v>
      </c>
      <c r="P575" s="5" t="str">
        <f t="shared" si="91"/>
        <v>Tax-Signer-Mid</v>
      </c>
      <c r="Q575" s="6">
        <v>2.7401969696969677</v>
      </c>
      <c r="R575" s="6">
        <v>0.5480393939393936</v>
      </c>
      <c r="S575" s="6">
        <v>0.2740196969696968</v>
      </c>
      <c r="T575" s="7">
        <f t="shared" si="98"/>
        <v>3.562256060606058</v>
      </c>
      <c r="U575" s="6" t="e">
        <f>SUMIFS([1]Sheet1!$L:$L,[1]Sheet1!$I:$I,AJ575,[1]Sheet1!$C:$C,A575)</f>
        <v>#VALUE!</v>
      </c>
      <c r="V575" s="6"/>
      <c r="W575" s="6"/>
      <c r="X575" s="7" t="e">
        <f t="shared" si="92"/>
        <v>#VALUE!</v>
      </c>
      <c r="Y575" s="6"/>
      <c r="AJ575" s="5" t="str">
        <f t="shared" si="93"/>
        <v>NM 1040 - Personal</v>
      </c>
      <c r="AK575" s="5" t="str">
        <f t="shared" si="94"/>
        <v>NM-Tax Services-ANN-1040 - Personal_Mid</v>
      </c>
      <c r="AL575" s="5" t="str">
        <f t="shared" si="95"/>
        <v>Polste_8315_NM 1040 - Personal</v>
      </c>
      <c r="AM575" s="5" t="str">
        <f t="shared" si="96"/>
        <v>Polste_8315_NM-Tax Services-ANN-1040 - Personal_Mid</v>
      </c>
    </row>
    <row r="576" spans="1:39" x14ac:dyDescent="0.25">
      <c r="A576" s="2" t="s">
        <v>856</v>
      </c>
      <c r="B576" s="2" t="s">
        <v>857</v>
      </c>
      <c r="C576" s="2" t="s">
        <v>1196</v>
      </c>
      <c r="D576" s="8">
        <v>43831</v>
      </c>
      <c r="E576" s="5" t="str">
        <f t="shared" si="97"/>
        <v>Porter, Edward A &amp; Dianna_01-01-20</v>
      </c>
      <c r="F576" s="2" t="s">
        <v>1203</v>
      </c>
      <c r="G576" s="2" t="s">
        <v>1241</v>
      </c>
      <c r="H576" s="2" t="s">
        <v>1220</v>
      </c>
      <c r="I576" s="2" t="s">
        <v>1222</v>
      </c>
      <c r="J576" s="2" t="s">
        <v>1234</v>
      </c>
      <c r="M576" s="5" t="str">
        <f t="shared" si="88"/>
        <v>Adv</v>
      </c>
      <c r="N576" s="5" t="str">
        <f t="shared" si="89"/>
        <v>Tax-Staff-Adv</v>
      </c>
      <c r="O576" s="5" t="str">
        <f t="shared" si="90"/>
        <v>Tax-Reviewer-Adv</v>
      </c>
      <c r="P576" s="5" t="str">
        <f t="shared" si="91"/>
        <v>Tax-Signer-Adv</v>
      </c>
      <c r="Q576" s="6">
        <v>4.5832500000000005</v>
      </c>
      <c r="R576" s="6">
        <v>0.91665000000000019</v>
      </c>
      <c r="S576" s="6">
        <v>0.45832500000000009</v>
      </c>
      <c r="T576" s="7">
        <f t="shared" si="98"/>
        <v>5.9582250000000005</v>
      </c>
      <c r="U576" s="6" t="e">
        <f>SUMIFS([1]Sheet1!$L:$L,[1]Sheet1!$I:$I,AJ576,[1]Sheet1!$C:$C,A576)</f>
        <v>#VALUE!</v>
      </c>
      <c r="V576" s="6"/>
      <c r="W576" s="6"/>
      <c r="X576" s="7" t="e">
        <f t="shared" si="92"/>
        <v>#VALUE!</v>
      </c>
      <c r="Y576" s="6"/>
      <c r="AJ576" s="5" t="str">
        <f t="shared" si="93"/>
        <v>NM 1040 - Personal</v>
      </c>
      <c r="AK576" s="5" t="str">
        <f t="shared" si="94"/>
        <v>NM-Tax Services-ANN-1040 - Personal_Adv</v>
      </c>
      <c r="AL576" s="5" t="str">
        <f t="shared" si="95"/>
        <v>Porter_3364_NM 1040 - Personal</v>
      </c>
      <c r="AM576" s="5" t="str">
        <f t="shared" si="96"/>
        <v>Porter_3364_NM-Tax Services-ANN-1040 - Personal_Adv</v>
      </c>
    </row>
    <row r="577" spans="1:39" x14ac:dyDescent="0.25">
      <c r="A577" s="2" t="s">
        <v>1051</v>
      </c>
      <c r="B577" s="2" t="s">
        <v>1052</v>
      </c>
      <c r="C577" s="2" t="s">
        <v>1196</v>
      </c>
      <c r="D577" s="8">
        <v>43831</v>
      </c>
      <c r="E577" s="5" t="str">
        <f t="shared" si="97"/>
        <v>PQPLUS, LLC_01-01-20</v>
      </c>
      <c r="F577" s="2" t="s">
        <v>1199</v>
      </c>
      <c r="G577" s="2" t="s">
        <v>1241</v>
      </c>
      <c r="H577" s="2" t="s">
        <v>1220</v>
      </c>
      <c r="I577" s="2" t="s">
        <v>1221</v>
      </c>
      <c r="J577" s="2" t="s">
        <v>1234</v>
      </c>
      <c r="M577" s="5" t="str">
        <f t="shared" si="88"/>
        <v>Mid</v>
      </c>
      <c r="N577" s="5" t="str">
        <f t="shared" si="89"/>
        <v>Tax-Staff-Mid</v>
      </c>
      <c r="O577" s="5" t="str">
        <f t="shared" si="90"/>
        <v>Tax-Reviewer-Mid</v>
      </c>
      <c r="P577" s="5" t="str">
        <f t="shared" si="91"/>
        <v>Tax-Signer-Mid</v>
      </c>
      <c r="Q577" s="6">
        <v>2.7401969696969677</v>
      </c>
      <c r="R577" s="6">
        <v>0.5480393939393936</v>
      </c>
      <c r="S577" s="6">
        <v>0.2740196969696968</v>
      </c>
      <c r="T577" s="7">
        <f t="shared" si="98"/>
        <v>3.562256060606058</v>
      </c>
      <c r="U577" s="6" t="e">
        <f>SUMIFS([1]Sheet1!$L:$L,[1]Sheet1!$I:$I,AJ577,[1]Sheet1!$C:$C,A577)</f>
        <v>#VALUE!</v>
      </c>
      <c r="V577" s="6"/>
      <c r="W577" s="6"/>
      <c r="X577" s="7" t="e">
        <f t="shared" si="92"/>
        <v>#VALUE!</v>
      </c>
      <c r="Y577" s="6"/>
      <c r="AJ577" s="5" t="str">
        <f t="shared" si="93"/>
        <v>NM 1065 - Partnership</v>
      </c>
      <c r="AK577" s="5" t="str">
        <f t="shared" si="94"/>
        <v>NM-Tax Services-ANN-1065 - Partnership_Mid</v>
      </c>
      <c r="AL577" s="5" t="str">
        <f t="shared" si="95"/>
        <v>PQPLUS, _1065_81-2736075_NM 1065 - Partnership</v>
      </c>
      <c r="AM577" s="5" t="str">
        <f t="shared" si="96"/>
        <v>PQPLUS, _1065_81-2736075_NM-Tax Services-ANN-1065 - Partnership_Mid</v>
      </c>
    </row>
    <row r="578" spans="1:39" x14ac:dyDescent="0.25">
      <c r="A578" s="2" t="s">
        <v>1051</v>
      </c>
      <c r="B578" s="2" t="s">
        <v>1052</v>
      </c>
      <c r="C578" s="2" t="s">
        <v>1196</v>
      </c>
      <c r="D578" s="8">
        <v>43831</v>
      </c>
      <c r="E578" s="5" t="str">
        <f t="shared" si="97"/>
        <v>PQPLUS, LLC_01-01-20</v>
      </c>
      <c r="F578" s="2" t="s">
        <v>1200</v>
      </c>
      <c r="G578" s="2" t="s">
        <v>1241</v>
      </c>
      <c r="H578" s="2" t="s">
        <v>1220</v>
      </c>
      <c r="I578" s="2" t="s">
        <v>1223</v>
      </c>
      <c r="J578" s="2" t="s">
        <v>1234</v>
      </c>
      <c r="M578" s="5" t="str">
        <f t="shared" ref="M578:M641" si="99">I578</f>
        <v>Basic</v>
      </c>
      <c r="N578" s="5" t="str">
        <f t="shared" ref="N578:N641" si="100">$J578&amp;"-"&amp;"Staff"&amp;"-"&amp;$M578</f>
        <v>Tax-Staff-Basic</v>
      </c>
      <c r="O578" s="5" t="str">
        <f t="shared" ref="O578:O641" si="101">$J578&amp;"-"&amp;"Reviewer"&amp;"-"&amp;$M578</f>
        <v>Tax-Reviewer-Basic</v>
      </c>
      <c r="P578" s="5" t="str">
        <f t="shared" ref="P578:P641" si="102">$J578&amp;"-"&amp;"Signer"&amp;"-"&amp;$M578</f>
        <v>Tax-Signer-Basic</v>
      </c>
      <c r="Q578" s="6">
        <v>0.5</v>
      </c>
      <c r="R578" s="6">
        <v>0.1</v>
      </c>
      <c r="S578" s="6">
        <v>0.05</v>
      </c>
      <c r="T578" s="7">
        <f t="shared" si="98"/>
        <v>0.65</v>
      </c>
      <c r="U578" s="6" t="e">
        <f>SUMIFS([1]Sheet1!$L:$L,[1]Sheet1!$I:$I,AJ578,[1]Sheet1!$C:$C,A578)</f>
        <v>#VALUE!</v>
      </c>
      <c r="V578" s="6"/>
      <c r="W578" s="6"/>
      <c r="X578" s="7" t="e">
        <f t="shared" ref="X578:X641" si="103">SUM(U578:W578)</f>
        <v>#VALUE!</v>
      </c>
      <c r="Y578" s="6"/>
      <c r="AJ578" s="5" t="str">
        <f t="shared" ref="AJ578:AJ602" si="104">C578&amp;" "&amp;F578</f>
        <v>NM Texas Franchise Tax Return</v>
      </c>
      <c r="AK578" s="5" t="str">
        <f t="shared" ref="AK578:AK641" si="105">C578&amp;"-"&amp;G578&amp;"-"&amp;H578&amp;"-"&amp;F578&amp;"_"&amp;I578</f>
        <v>NM-Tax Services-ANN-Texas Franchise Tax Return_Basic</v>
      </c>
      <c r="AL578" s="5" t="str">
        <f t="shared" ref="AL578:AL641" si="106">A578&amp;"_"&amp;AJ578</f>
        <v>PQPLUS, _1065_81-2736075_NM Texas Franchise Tax Return</v>
      </c>
      <c r="AM578" s="5" t="str">
        <f t="shared" ref="AM578:AM641" si="107">A578&amp;"_"&amp;AK578</f>
        <v>PQPLUS, _1065_81-2736075_NM-Tax Services-ANN-Texas Franchise Tax Return_Basic</v>
      </c>
    </row>
    <row r="579" spans="1:39" x14ac:dyDescent="0.25">
      <c r="A579" s="2" t="s">
        <v>209</v>
      </c>
      <c r="B579" s="2" t="s">
        <v>210</v>
      </c>
      <c r="C579" s="2" t="s">
        <v>1196</v>
      </c>
      <c r="D579" s="8">
        <v>43831</v>
      </c>
      <c r="E579" s="5" t="str">
        <f t="shared" ref="E579:E642" si="108">B579&amp;"_"&amp;TEXT(D579,"DD-MM-YY")</f>
        <v>Press Parts Minnesota, Inc._01-01-20</v>
      </c>
      <c r="F579" s="2" t="s">
        <v>1206</v>
      </c>
      <c r="G579" s="2" t="s">
        <v>1241</v>
      </c>
      <c r="H579" s="2" t="s">
        <v>1220</v>
      </c>
      <c r="I579" s="2" t="s">
        <v>1223</v>
      </c>
      <c r="J579" s="2" t="s">
        <v>1234</v>
      </c>
      <c r="M579" s="5" t="str">
        <f t="shared" si="99"/>
        <v>Basic</v>
      </c>
      <c r="N579" s="5" t="str">
        <f t="shared" si="100"/>
        <v>Tax-Staff-Basic</v>
      </c>
      <c r="O579" s="5" t="str">
        <f t="shared" si="101"/>
        <v>Tax-Reviewer-Basic</v>
      </c>
      <c r="P579" s="5" t="str">
        <f t="shared" si="102"/>
        <v>Tax-Signer-Basic</v>
      </c>
      <c r="Q579" s="6">
        <v>1.4675000000000016</v>
      </c>
      <c r="R579" s="6">
        <v>0.29350000000000032</v>
      </c>
      <c r="S579" s="6">
        <v>0.14675000000000016</v>
      </c>
      <c r="T579" s="7">
        <f t="shared" ref="T579:T642" si="109">SUM(Q579:S579)</f>
        <v>1.9077500000000021</v>
      </c>
      <c r="U579" s="6" t="e">
        <f>SUMIFS([1]Sheet1!$L:$L,[1]Sheet1!$I:$I,AJ579,[1]Sheet1!$C:$C,A579)</f>
        <v>#VALUE!</v>
      </c>
      <c r="V579" s="6"/>
      <c r="W579" s="6"/>
      <c r="X579" s="7" t="e">
        <f t="shared" si="103"/>
        <v>#VALUE!</v>
      </c>
      <c r="Y579" s="6"/>
      <c r="AJ579" s="5" t="str">
        <f t="shared" si="104"/>
        <v>NM 1120 - C Corporation</v>
      </c>
      <c r="AK579" s="5" t="str">
        <f t="shared" si="105"/>
        <v>NM-Tax Services-ANN-1120 - C Corporation_Basic</v>
      </c>
      <c r="AL579" s="5" t="str">
        <f t="shared" si="106"/>
        <v>Press Pa_1120C_47-4375901_NM 1120 - C Corporation</v>
      </c>
      <c r="AM579" s="5" t="str">
        <f t="shared" si="107"/>
        <v>Press Pa_1120C_47-4375901_NM-Tax Services-ANN-1120 - C Corporation_Basic</v>
      </c>
    </row>
    <row r="580" spans="1:39" x14ac:dyDescent="0.25">
      <c r="A580" s="2" t="s">
        <v>940</v>
      </c>
      <c r="B580" s="2" t="s">
        <v>941</v>
      </c>
      <c r="C580" s="2" t="s">
        <v>1196</v>
      </c>
      <c r="D580" s="8">
        <v>43831</v>
      </c>
      <c r="E580" s="5" t="str">
        <f t="shared" si="108"/>
        <v>Prevest, Brian_01-01-20</v>
      </c>
      <c r="F580" s="2" t="s">
        <v>1203</v>
      </c>
      <c r="G580" s="2" t="s">
        <v>1241</v>
      </c>
      <c r="H580" s="2" t="s">
        <v>1220</v>
      </c>
      <c r="I580" s="2" t="s">
        <v>1222</v>
      </c>
      <c r="J580" s="2" t="s">
        <v>1234</v>
      </c>
      <c r="M580" s="5" t="str">
        <f t="shared" si="99"/>
        <v>Adv</v>
      </c>
      <c r="N580" s="5" t="str">
        <f t="shared" si="100"/>
        <v>Tax-Staff-Adv</v>
      </c>
      <c r="O580" s="5" t="str">
        <f t="shared" si="101"/>
        <v>Tax-Reviewer-Adv</v>
      </c>
      <c r="P580" s="5" t="str">
        <f t="shared" si="102"/>
        <v>Tax-Signer-Adv</v>
      </c>
      <c r="Q580" s="6">
        <v>4.5832500000000005</v>
      </c>
      <c r="R580" s="6">
        <v>0.91665000000000019</v>
      </c>
      <c r="S580" s="6">
        <v>0.45832500000000009</v>
      </c>
      <c r="T580" s="7">
        <f t="shared" si="109"/>
        <v>5.9582250000000005</v>
      </c>
      <c r="U580" s="6" t="e">
        <f>SUMIFS([1]Sheet1!$L:$L,[1]Sheet1!$I:$I,AJ580,[1]Sheet1!$C:$C,A580)</f>
        <v>#VALUE!</v>
      </c>
      <c r="V580" s="6"/>
      <c r="W580" s="6"/>
      <c r="X580" s="7" t="e">
        <f t="shared" si="103"/>
        <v>#VALUE!</v>
      </c>
      <c r="Y580" s="6"/>
      <c r="AJ580" s="5" t="str">
        <f t="shared" si="104"/>
        <v>NM 1040 - Personal</v>
      </c>
      <c r="AK580" s="5" t="str">
        <f t="shared" si="105"/>
        <v>NM-Tax Services-ANN-1040 - Personal_Adv</v>
      </c>
      <c r="AL580" s="5" t="str">
        <f t="shared" si="106"/>
        <v>Preves_7290_NM 1040 - Personal</v>
      </c>
      <c r="AM580" s="5" t="str">
        <f t="shared" si="107"/>
        <v>Preves_7290_NM-Tax Services-ANN-1040 - Personal_Adv</v>
      </c>
    </row>
    <row r="581" spans="1:39" x14ac:dyDescent="0.25">
      <c r="A581" s="2" t="s">
        <v>211</v>
      </c>
      <c r="B581" s="2" t="s">
        <v>212</v>
      </c>
      <c r="C581" s="2" t="s">
        <v>1196</v>
      </c>
      <c r="D581" s="8">
        <v>43831</v>
      </c>
      <c r="E581" s="5" t="str">
        <f t="shared" si="108"/>
        <v>Pro Quality, LLC_01-01-20</v>
      </c>
      <c r="F581" s="2" t="s">
        <v>1206</v>
      </c>
      <c r="G581" s="2" t="s">
        <v>1241</v>
      </c>
      <c r="H581" s="2" t="s">
        <v>1220</v>
      </c>
      <c r="I581" s="2" t="s">
        <v>1223</v>
      </c>
      <c r="J581" s="2" t="s">
        <v>1234</v>
      </c>
      <c r="M581" s="5" t="str">
        <f t="shared" si="99"/>
        <v>Basic</v>
      </c>
      <c r="N581" s="5" t="str">
        <f t="shared" si="100"/>
        <v>Tax-Staff-Basic</v>
      </c>
      <c r="O581" s="5" t="str">
        <f t="shared" si="101"/>
        <v>Tax-Reviewer-Basic</v>
      </c>
      <c r="P581" s="5" t="str">
        <f t="shared" si="102"/>
        <v>Tax-Signer-Basic</v>
      </c>
      <c r="Q581" s="6">
        <v>1.4675000000000016</v>
      </c>
      <c r="R581" s="6">
        <v>0.29350000000000032</v>
      </c>
      <c r="S581" s="6">
        <v>0.14675000000000016</v>
      </c>
      <c r="T581" s="7">
        <f t="shared" si="109"/>
        <v>1.9077500000000021</v>
      </c>
      <c r="U581" s="6" t="e">
        <f>SUMIFS([1]Sheet1!$L:$L,[1]Sheet1!$I:$I,AJ581,[1]Sheet1!$C:$C,A581)</f>
        <v>#VALUE!</v>
      </c>
      <c r="V581" s="6"/>
      <c r="W581" s="6"/>
      <c r="X581" s="7" t="e">
        <f t="shared" si="103"/>
        <v>#VALUE!</v>
      </c>
      <c r="Y581" s="6"/>
      <c r="AJ581" s="5" t="str">
        <f t="shared" si="104"/>
        <v>NM 1120 - C Corporation</v>
      </c>
      <c r="AK581" s="5" t="str">
        <f t="shared" si="105"/>
        <v>NM-Tax Services-ANN-1120 - C Corporation_Basic</v>
      </c>
      <c r="AL581" s="5" t="str">
        <f t="shared" si="106"/>
        <v>Pro Qual_1120C_75-2675997_NM 1120 - C Corporation</v>
      </c>
      <c r="AM581" s="5" t="str">
        <f t="shared" si="107"/>
        <v>Pro Qual_1120C_75-2675997_NM-Tax Services-ANN-1120 - C Corporation_Basic</v>
      </c>
    </row>
    <row r="582" spans="1:39" x14ac:dyDescent="0.25">
      <c r="A582" s="2" t="s">
        <v>319</v>
      </c>
      <c r="B582" s="2" t="s">
        <v>320</v>
      </c>
      <c r="C582" s="2" t="s">
        <v>1197</v>
      </c>
      <c r="D582" s="8">
        <v>43831</v>
      </c>
      <c r="E582" s="5" t="str">
        <f t="shared" si="108"/>
        <v>Process Service Culture LLC_01-01-20</v>
      </c>
      <c r="F582" s="2" t="s">
        <v>1204</v>
      </c>
      <c r="G582" s="2" t="s">
        <v>1241</v>
      </c>
      <c r="H582" s="2" t="s">
        <v>1220</v>
      </c>
      <c r="I582" s="2" t="s">
        <v>1223</v>
      </c>
      <c r="J582" s="2" t="s">
        <v>1234</v>
      </c>
      <c r="M582" s="5" t="str">
        <f t="shared" si="99"/>
        <v>Basic</v>
      </c>
      <c r="N582" s="5" t="str">
        <f t="shared" si="100"/>
        <v>Tax-Staff-Basic</v>
      </c>
      <c r="O582" s="5" t="str">
        <f t="shared" si="101"/>
        <v>Tax-Reviewer-Basic</v>
      </c>
      <c r="P582" s="5" t="str">
        <f t="shared" si="102"/>
        <v>Tax-Signer-Basic</v>
      </c>
      <c r="Q582" s="6">
        <v>1.4675000000000016</v>
      </c>
      <c r="R582" s="6">
        <v>0.29350000000000032</v>
      </c>
      <c r="S582" s="6">
        <v>0.14675000000000016</v>
      </c>
      <c r="T582" s="7">
        <f t="shared" si="109"/>
        <v>1.9077500000000021</v>
      </c>
      <c r="U582" s="6" t="e">
        <f>SUMIFS([1]Sheet1!$L:$L,[1]Sheet1!$I:$I,AJ582,[1]Sheet1!$C:$C,A582)</f>
        <v>#VALUE!</v>
      </c>
      <c r="V582" s="6"/>
      <c r="W582" s="6"/>
      <c r="X582" s="7" t="e">
        <f t="shared" si="103"/>
        <v>#VALUE!</v>
      </c>
      <c r="Y582" s="6"/>
      <c r="AJ582" s="5" t="str">
        <f t="shared" si="104"/>
        <v>MO 1120S - S Corporation</v>
      </c>
      <c r="AK582" s="5" t="str">
        <f t="shared" si="105"/>
        <v>MO-Tax Services-ANN-1120S - S Corporation_Basic</v>
      </c>
      <c r="AL582" s="5" t="str">
        <f t="shared" si="106"/>
        <v>Process _1120S_47-4931647_MO 1120S - S Corporation</v>
      </c>
      <c r="AM582" s="5" t="str">
        <f t="shared" si="107"/>
        <v>Process _1120S_47-4931647_MO-Tax Services-ANN-1120S - S Corporation_Basic</v>
      </c>
    </row>
    <row r="583" spans="1:39" x14ac:dyDescent="0.25">
      <c r="A583" s="2" t="s">
        <v>1006</v>
      </c>
      <c r="B583" s="2" t="s">
        <v>1007</v>
      </c>
      <c r="C583" s="2" t="s">
        <v>1196</v>
      </c>
      <c r="D583" s="8">
        <v>43831</v>
      </c>
      <c r="E583" s="5" t="str">
        <f t="shared" si="108"/>
        <v>Project-X, LLC_01-01-20</v>
      </c>
      <c r="F583" s="2" t="s">
        <v>1204</v>
      </c>
      <c r="G583" s="2" t="s">
        <v>1241</v>
      </c>
      <c r="H583" s="2" t="s">
        <v>1220</v>
      </c>
      <c r="I583" s="2" t="s">
        <v>1223</v>
      </c>
      <c r="J583" s="2" t="s">
        <v>1234</v>
      </c>
      <c r="M583" s="5" t="str">
        <f t="shared" si="99"/>
        <v>Basic</v>
      </c>
      <c r="N583" s="5" t="str">
        <f t="shared" si="100"/>
        <v>Tax-Staff-Basic</v>
      </c>
      <c r="O583" s="5" t="str">
        <f t="shared" si="101"/>
        <v>Tax-Reviewer-Basic</v>
      </c>
      <c r="P583" s="5" t="str">
        <f t="shared" si="102"/>
        <v>Tax-Signer-Basic</v>
      </c>
      <c r="Q583" s="6">
        <v>1.4675000000000016</v>
      </c>
      <c r="R583" s="6">
        <v>0.29350000000000032</v>
      </c>
      <c r="S583" s="6">
        <v>0.14675000000000016</v>
      </c>
      <c r="T583" s="7">
        <f t="shared" si="109"/>
        <v>1.9077500000000021</v>
      </c>
      <c r="U583" s="6" t="e">
        <f>SUMIFS([1]Sheet1!$L:$L,[1]Sheet1!$I:$I,AJ583,[1]Sheet1!$C:$C,A583)</f>
        <v>#VALUE!</v>
      </c>
      <c r="V583" s="6"/>
      <c r="W583" s="6"/>
      <c r="X583" s="7" t="e">
        <f t="shared" si="103"/>
        <v>#VALUE!</v>
      </c>
      <c r="Y583" s="6"/>
      <c r="AJ583" s="5" t="str">
        <f t="shared" si="104"/>
        <v>NM 1120S - S Corporation</v>
      </c>
      <c r="AK583" s="5" t="str">
        <f t="shared" si="105"/>
        <v>NM-Tax Services-ANN-1120S - S Corporation_Basic</v>
      </c>
      <c r="AL583" s="5" t="str">
        <f t="shared" si="106"/>
        <v>Project-_1120S_83-3618760_NM 1120S - S Corporation</v>
      </c>
      <c r="AM583" s="5" t="str">
        <f t="shared" si="107"/>
        <v>Project-_1120S_83-3618760_NM-Tax Services-ANN-1120S - S Corporation_Basic</v>
      </c>
    </row>
    <row r="584" spans="1:39" x14ac:dyDescent="0.25">
      <c r="A584" s="2" t="s">
        <v>1006</v>
      </c>
      <c r="B584" s="2" t="s">
        <v>1007</v>
      </c>
      <c r="C584" s="2" t="s">
        <v>1196</v>
      </c>
      <c r="D584" s="8">
        <v>43831</v>
      </c>
      <c r="E584" s="5" t="str">
        <f t="shared" si="108"/>
        <v>Project-X, LLC_01-01-20</v>
      </c>
      <c r="F584" s="2" t="s">
        <v>1200</v>
      </c>
      <c r="G584" s="2" t="s">
        <v>1241</v>
      </c>
      <c r="H584" s="2" t="s">
        <v>1220</v>
      </c>
      <c r="I584" s="2" t="s">
        <v>1223</v>
      </c>
      <c r="J584" s="2" t="s">
        <v>1234</v>
      </c>
      <c r="M584" s="5" t="str">
        <f t="shared" si="99"/>
        <v>Basic</v>
      </c>
      <c r="N584" s="5" t="str">
        <f t="shared" si="100"/>
        <v>Tax-Staff-Basic</v>
      </c>
      <c r="O584" s="5" t="str">
        <f t="shared" si="101"/>
        <v>Tax-Reviewer-Basic</v>
      </c>
      <c r="P584" s="5" t="str">
        <f t="shared" si="102"/>
        <v>Tax-Signer-Basic</v>
      </c>
      <c r="Q584" s="6">
        <v>0.5</v>
      </c>
      <c r="R584" s="6">
        <v>0.1</v>
      </c>
      <c r="S584" s="6">
        <v>0.05</v>
      </c>
      <c r="T584" s="7">
        <f t="shared" si="109"/>
        <v>0.65</v>
      </c>
      <c r="U584" s="6" t="e">
        <f>SUMIFS([1]Sheet1!$L:$L,[1]Sheet1!$I:$I,AJ584,[1]Sheet1!$C:$C,A584)</f>
        <v>#VALUE!</v>
      </c>
      <c r="V584" s="6"/>
      <c r="W584" s="6"/>
      <c r="X584" s="7" t="e">
        <f t="shared" si="103"/>
        <v>#VALUE!</v>
      </c>
      <c r="Y584" s="6"/>
      <c r="AJ584" s="5" t="str">
        <f t="shared" si="104"/>
        <v>NM Texas Franchise Tax Return</v>
      </c>
      <c r="AK584" s="5" t="str">
        <f t="shared" si="105"/>
        <v>NM-Tax Services-ANN-Texas Franchise Tax Return_Basic</v>
      </c>
      <c r="AL584" s="5" t="str">
        <f t="shared" si="106"/>
        <v>Project-_1120S_83-3618760_NM Texas Franchise Tax Return</v>
      </c>
      <c r="AM584" s="5" t="str">
        <f t="shared" si="107"/>
        <v>Project-_1120S_83-3618760_NM-Tax Services-ANN-Texas Franchise Tax Return_Basic</v>
      </c>
    </row>
    <row r="585" spans="1:39" x14ac:dyDescent="0.25">
      <c r="A585" s="2" t="s">
        <v>782</v>
      </c>
      <c r="B585" s="2" t="s">
        <v>783</v>
      </c>
      <c r="C585" s="2" t="s">
        <v>1196</v>
      </c>
      <c r="D585" s="8">
        <v>43831</v>
      </c>
      <c r="E585" s="5" t="str">
        <f t="shared" si="108"/>
        <v>Prosser, Nikalus_01-01-20</v>
      </c>
      <c r="F585" s="2" t="s">
        <v>1203</v>
      </c>
      <c r="G585" s="2" t="s">
        <v>1241</v>
      </c>
      <c r="H585" s="2" t="s">
        <v>1220</v>
      </c>
      <c r="I585" s="2" t="s">
        <v>1221</v>
      </c>
      <c r="J585" s="2" t="s">
        <v>1234</v>
      </c>
      <c r="M585" s="5" t="str">
        <f t="shared" si="99"/>
        <v>Mid</v>
      </c>
      <c r="N585" s="5" t="str">
        <f t="shared" si="100"/>
        <v>Tax-Staff-Mid</v>
      </c>
      <c r="O585" s="5" t="str">
        <f t="shared" si="101"/>
        <v>Tax-Reviewer-Mid</v>
      </c>
      <c r="P585" s="5" t="str">
        <f t="shared" si="102"/>
        <v>Tax-Signer-Mid</v>
      </c>
      <c r="Q585" s="6">
        <v>2.7401969696969677</v>
      </c>
      <c r="R585" s="6">
        <v>0.5480393939393936</v>
      </c>
      <c r="S585" s="6">
        <v>0.2740196969696968</v>
      </c>
      <c r="T585" s="7">
        <f t="shared" si="109"/>
        <v>3.562256060606058</v>
      </c>
      <c r="U585" s="6" t="e">
        <f>SUMIFS([1]Sheet1!$L:$L,[1]Sheet1!$I:$I,AJ585,[1]Sheet1!$C:$C,A585)</f>
        <v>#VALUE!</v>
      </c>
      <c r="V585" s="6"/>
      <c r="W585" s="6"/>
      <c r="X585" s="7" t="e">
        <f t="shared" si="103"/>
        <v>#VALUE!</v>
      </c>
      <c r="Y585" s="6"/>
      <c r="AJ585" s="5" t="str">
        <f t="shared" si="104"/>
        <v>NM 1040 - Personal</v>
      </c>
      <c r="AK585" s="5" t="str">
        <f t="shared" si="105"/>
        <v>NM-Tax Services-ANN-1040 - Personal_Mid</v>
      </c>
      <c r="AL585" s="5" t="str">
        <f t="shared" si="106"/>
        <v>Prosse_1876_NM 1040 - Personal</v>
      </c>
      <c r="AM585" s="5" t="str">
        <f t="shared" si="107"/>
        <v>Prosse_1876_NM-Tax Services-ANN-1040 - Personal_Mid</v>
      </c>
    </row>
    <row r="586" spans="1:39" x14ac:dyDescent="0.25">
      <c r="A586" s="2" t="s">
        <v>383</v>
      </c>
      <c r="B586" s="2" t="s">
        <v>384</v>
      </c>
      <c r="C586" s="2" t="s">
        <v>1196</v>
      </c>
      <c r="D586" s="8">
        <v>43831</v>
      </c>
      <c r="E586" s="5" t="str">
        <f t="shared" si="108"/>
        <v>Prosser Service &amp; Technology, LLC_01-01-20</v>
      </c>
      <c r="F586" s="2" t="s">
        <v>1199</v>
      </c>
      <c r="G586" s="2" t="s">
        <v>1241</v>
      </c>
      <c r="H586" s="2" t="s">
        <v>1220</v>
      </c>
      <c r="I586" s="2" t="s">
        <v>1221</v>
      </c>
      <c r="J586" s="2" t="s">
        <v>1234</v>
      </c>
      <c r="M586" s="5" t="str">
        <f t="shared" si="99"/>
        <v>Mid</v>
      </c>
      <c r="N586" s="5" t="str">
        <f t="shared" si="100"/>
        <v>Tax-Staff-Mid</v>
      </c>
      <c r="O586" s="5" t="str">
        <f t="shared" si="101"/>
        <v>Tax-Reviewer-Mid</v>
      </c>
      <c r="P586" s="5" t="str">
        <f t="shared" si="102"/>
        <v>Tax-Signer-Mid</v>
      </c>
      <c r="Q586" s="6">
        <v>2.7401969696969677</v>
      </c>
      <c r="R586" s="6">
        <v>0.5480393939393936</v>
      </c>
      <c r="S586" s="6">
        <v>0.2740196969696968</v>
      </c>
      <c r="T586" s="7">
        <f t="shared" si="109"/>
        <v>3.562256060606058</v>
      </c>
      <c r="U586" s="6" t="e">
        <f>SUMIFS([1]Sheet1!$L:$L,[1]Sheet1!$I:$I,AJ586,[1]Sheet1!$C:$C,A586)</f>
        <v>#VALUE!</v>
      </c>
      <c r="V586" s="6"/>
      <c r="W586" s="6"/>
      <c r="X586" s="7" t="e">
        <f t="shared" si="103"/>
        <v>#VALUE!</v>
      </c>
      <c r="Y586" s="6"/>
      <c r="AJ586" s="5" t="str">
        <f t="shared" si="104"/>
        <v>NM 1065 - Partnership</v>
      </c>
      <c r="AK586" s="5" t="str">
        <f t="shared" si="105"/>
        <v>NM-Tax Services-ANN-1065 - Partnership_Mid</v>
      </c>
      <c r="AL586" s="5" t="str">
        <f t="shared" si="106"/>
        <v>Prosser _1065_46-3196579_NM 1065 - Partnership</v>
      </c>
      <c r="AM586" s="5" t="str">
        <f t="shared" si="107"/>
        <v>Prosser _1065_46-3196579_NM-Tax Services-ANN-1065 - Partnership_Mid</v>
      </c>
    </row>
    <row r="587" spans="1:39" x14ac:dyDescent="0.25">
      <c r="A587" s="2" t="s">
        <v>403</v>
      </c>
      <c r="B587" s="2" t="s">
        <v>404</v>
      </c>
      <c r="C587" s="2" t="s">
        <v>1196</v>
      </c>
      <c r="D587" s="8">
        <v>43831</v>
      </c>
      <c r="E587" s="5" t="str">
        <f t="shared" si="108"/>
        <v>Providence Hillcrest, LLC_01-01-20</v>
      </c>
      <c r="F587" s="2" t="s">
        <v>1199</v>
      </c>
      <c r="G587" s="2" t="s">
        <v>1241</v>
      </c>
      <c r="H587" s="2" t="s">
        <v>1220</v>
      </c>
      <c r="I587" s="2" t="s">
        <v>1221</v>
      </c>
      <c r="J587" s="2" t="s">
        <v>1234</v>
      </c>
      <c r="M587" s="5" t="str">
        <f t="shared" si="99"/>
        <v>Mid</v>
      </c>
      <c r="N587" s="5" t="str">
        <f t="shared" si="100"/>
        <v>Tax-Staff-Mid</v>
      </c>
      <c r="O587" s="5" t="str">
        <f t="shared" si="101"/>
        <v>Tax-Reviewer-Mid</v>
      </c>
      <c r="P587" s="5" t="str">
        <f t="shared" si="102"/>
        <v>Tax-Signer-Mid</v>
      </c>
      <c r="Q587" s="6">
        <v>2.7401969696969677</v>
      </c>
      <c r="R587" s="6">
        <v>0.5480393939393936</v>
      </c>
      <c r="S587" s="6">
        <v>0.2740196969696968</v>
      </c>
      <c r="T587" s="7">
        <f t="shared" si="109"/>
        <v>3.562256060606058</v>
      </c>
      <c r="U587" s="6" t="e">
        <f>SUMIFS([1]Sheet1!$L:$L,[1]Sheet1!$I:$I,AJ587,[1]Sheet1!$C:$C,A587)</f>
        <v>#VALUE!</v>
      </c>
      <c r="V587" s="6"/>
      <c r="W587" s="6"/>
      <c r="X587" s="7" t="e">
        <f t="shared" si="103"/>
        <v>#VALUE!</v>
      </c>
      <c r="Y587" s="6"/>
      <c r="AJ587" s="5" t="str">
        <f t="shared" si="104"/>
        <v>NM 1065 - Partnership</v>
      </c>
      <c r="AK587" s="5" t="str">
        <f t="shared" si="105"/>
        <v>NM-Tax Services-ANN-1065 - Partnership_Mid</v>
      </c>
      <c r="AL587" s="5" t="str">
        <f t="shared" si="106"/>
        <v>Providen_1065_81-3417178_NM 1065 - Partnership</v>
      </c>
      <c r="AM587" s="5" t="str">
        <f t="shared" si="107"/>
        <v>Providen_1065_81-3417178_NM-Tax Services-ANN-1065 - Partnership_Mid</v>
      </c>
    </row>
    <row r="588" spans="1:39" x14ac:dyDescent="0.25">
      <c r="A588" s="2" t="s">
        <v>860</v>
      </c>
      <c r="B588" s="2" t="s">
        <v>861</v>
      </c>
      <c r="C588" s="2" t="s">
        <v>1197</v>
      </c>
      <c r="D588" s="8">
        <v>43831</v>
      </c>
      <c r="E588" s="5" t="str">
        <f t="shared" si="108"/>
        <v>Prows, Joseph H_01-01-20</v>
      </c>
      <c r="F588" s="2" t="s">
        <v>1203</v>
      </c>
      <c r="G588" s="2" t="s">
        <v>1241</v>
      </c>
      <c r="H588" s="2" t="s">
        <v>1220</v>
      </c>
      <c r="I588" s="2" t="s">
        <v>1221</v>
      </c>
      <c r="J588" s="2" t="s">
        <v>1234</v>
      </c>
      <c r="M588" s="5" t="str">
        <f t="shared" si="99"/>
        <v>Mid</v>
      </c>
      <c r="N588" s="5" t="str">
        <f t="shared" si="100"/>
        <v>Tax-Staff-Mid</v>
      </c>
      <c r="O588" s="5" t="str">
        <f t="shared" si="101"/>
        <v>Tax-Reviewer-Mid</v>
      </c>
      <c r="P588" s="5" t="str">
        <f t="shared" si="102"/>
        <v>Tax-Signer-Mid</v>
      </c>
      <c r="Q588" s="6">
        <v>2.7401969696969677</v>
      </c>
      <c r="R588" s="6">
        <v>0.5480393939393936</v>
      </c>
      <c r="S588" s="6">
        <v>0.2740196969696968</v>
      </c>
      <c r="T588" s="7">
        <f t="shared" si="109"/>
        <v>3.562256060606058</v>
      </c>
      <c r="U588" s="6" t="e">
        <f>SUMIFS([1]Sheet1!$L:$L,[1]Sheet1!$I:$I,AJ588,[1]Sheet1!$C:$C,A588)</f>
        <v>#VALUE!</v>
      </c>
      <c r="V588" s="6"/>
      <c r="W588" s="6"/>
      <c r="X588" s="7" t="e">
        <f t="shared" si="103"/>
        <v>#VALUE!</v>
      </c>
      <c r="Y588" s="6"/>
      <c r="AJ588" s="5" t="str">
        <f t="shared" si="104"/>
        <v>MO 1040 - Personal</v>
      </c>
      <c r="AK588" s="5" t="str">
        <f t="shared" si="105"/>
        <v>MO-Tax Services-ANN-1040 - Personal_Mid</v>
      </c>
      <c r="AL588" s="5" t="str">
        <f t="shared" si="106"/>
        <v>Prows,_5083_MO 1040 - Personal</v>
      </c>
      <c r="AM588" s="5" t="str">
        <f t="shared" si="107"/>
        <v>Prows,_5083_MO-Tax Services-ANN-1040 - Personal_Mid</v>
      </c>
    </row>
    <row r="589" spans="1:39" x14ac:dyDescent="0.25">
      <c r="A589" s="2" t="s">
        <v>858</v>
      </c>
      <c r="B589" s="2" t="s">
        <v>859</v>
      </c>
      <c r="C589" s="2" t="s">
        <v>1197</v>
      </c>
      <c r="D589" s="8">
        <v>43831</v>
      </c>
      <c r="E589" s="5" t="str">
        <f t="shared" si="108"/>
        <v>Prows, Chris_01-01-20</v>
      </c>
      <c r="F589" s="2" t="s">
        <v>1203</v>
      </c>
      <c r="G589" s="2" t="s">
        <v>1241</v>
      </c>
      <c r="H589" s="2" t="s">
        <v>1220</v>
      </c>
      <c r="I589" s="2" t="s">
        <v>1223</v>
      </c>
      <c r="J589" s="2" t="s">
        <v>1234</v>
      </c>
      <c r="M589" s="5" t="str">
        <f t="shared" si="99"/>
        <v>Basic</v>
      </c>
      <c r="N589" s="5" t="str">
        <f t="shared" si="100"/>
        <v>Tax-Staff-Basic</v>
      </c>
      <c r="O589" s="5" t="str">
        <f t="shared" si="101"/>
        <v>Tax-Reviewer-Basic</v>
      </c>
      <c r="P589" s="5" t="str">
        <f t="shared" si="102"/>
        <v>Tax-Signer-Basic</v>
      </c>
      <c r="Q589" s="6">
        <v>1.4675000000000016</v>
      </c>
      <c r="R589" s="6">
        <v>0.29350000000000032</v>
      </c>
      <c r="S589" s="6">
        <v>0.14675000000000016</v>
      </c>
      <c r="T589" s="7">
        <f t="shared" si="109"/>
        <v>1.9077500000000021</v>
      </c>
      <c r="U589" s="6" t="e">
        <f>SUMIFS([1]Sheet1!$L:$L,[1]Sheet1!$I:$I,AJ589,[1]Sheet1!$C:$C,A589)</f>
        <v>#VALUE!</v>
      </c>
      <c r="V589" s="6"/>
      <c r="W589" s="6"/>
      <c r="X589" s="7" t="e">
        <f t="shared" si="103"/>
        <v>#VALUE!</v>
      </c>
      <c r="Y589" s="6"/>
      <c r="AJ589" s="5" t="str">
        <f t="shared" si="104"/>
        <v>MO 1040 - Personal</v>
      </c>
      <c r="AK589" s="5" t="str">
        <f t="shared" si="105"/>
        <v>MO-Tax Services-ANN-1040 - Personal_Basic</v>
      </c>
      <c r="AL589" s="5" t="str">
        <f t="shared" si="106"/>
        <v>Prows,_7750_MO 1040 - Personal</v>
      </c>
      <c r="AM589" s="5" t="str">
        <f t="shared" si="107"/>
        <v>Prows,_7750_MO-Tax Services-ANN-1040 - Personal_Basic</v>
      </c>
    </row>
    <row r="590" spans="1:39" x14ac:dyDescent="0.25">
      <c r="A590" s="2" t="s">
        <v>784</v>
      </c>
      <c r="B590" s="2" t="s">
        <v>785</v>
      </c>
      <c r="C590" s="2" t="s">
        <v>1196</v>
      </c>
      <c r="D590" s="8">
        <v>43831</v>
      </c>
      <c r="E590" s="5" t="str">
        <f t="shared" si="108"/>
        <v>Pujazon, Paul M._01-01-20</v>
      </c>
      <c r="F590" s="2" t="s">
        <v>1203</v>
      </c>
      <c r="G590" s="2" t="s">
        <v>1241</v>
      </c>
      <c r="H590" s="2" t="s">
        <v>1220</v>
      </c>
      <c r="I590" s="2" t="s">
        <v>1221</v>
      </c>
      <c r="J590" s="2" t="s">
        <v>1234</v>
      </c>
      <c r="M590" s="5" t="str">
        <f t="shared" si="99"/>
        <v>Mid</v>
      </c>
      <c r="N590" s="5" t="str">
        <f t="shared" si="100"/>
        <v>Tax-Staff-Mid</v>
      </c>
      <c r="O590" s="5" t="str">
        <f t="shared" si="101"/>
        <v>Tax-Reviewer-Mid</v>
      </c>
      <c r="P590" s="5" t="str">
        <f t="shared" si="102"/>
        <v>Tax-Signer-Mid</v>
      </c>
      <c r="Q590" s="6">
        <v>2.7401969696969677</v>
      </c>
      <c r="R590" s="6">
        <v>0.5480393939393936</v>
      </c>
      <c r="S590" s="6">
        <v>0.2740196969696968</v>
      </c>
      <c r="T590" s="7">
        <f t="shared" si="109"/>
        <v>3.562256060606058</v>
      </c>
      <c r="U590" s="6" t="e">
        <f>SUMIFS([1]Sheet1!$L:$L,[1]Sheet1!$I:$I,AJ590,[1]Sheet1!$C:$C,A590)</f>
        <v>#VALUE!</v>
      </c>
      <c r="V590" s="6"/>
      <c r="W590" s="6"/>
      <c r="X590" s="7" t="e">
        <f t="shared" si="103"/>
        <v>#VALUE!</v>
      </c>
      <c r="Y590" s="6"/>
      <c r="AJ590" s="5" t="str">
        <f t="shared" si="104"/>
        <v>NM 1040 - Personal</v>
      </c>
      <c r="AK590" s="5" t="str">
        <f t="shared" si="105"/>
        <v>NM-Tax Services-ANN-1040 - Personal_Mid</v>
      </c>
      <c r="AL590" s="5" t="str">
        <f t="shared" si="106"/>
        <v>Pujazo_8100_NM 1040 - Personal</v>
      </c>
      <c r="AM590" s="5" t="str">
        <f t="shared" si="107"/>
        <v>Pujazo_8100_NM-Tax Services-ANN-1040 - Personal_Mid</v>
      </c>
    </row>
    <row r="591" spans="1:39" x14ac:dyDescent="0.25">
      <c r="A591" s="2" t="s">
        <v>862</v>
      </c>
      <c r="B591" s="2" t="s">
        <v>863</v>
      </c>
      <c r="C591" s="2" t="s">
        <v>1197</v>
      </c>
      <c r="D591" s="8">
        <v>43831</v>
      </c>
      <c r="E591" s="5" t="str">
        <f t="shared" si="108"/>
        <v>Ramsay, Jared_01-01-20</v>
      </c>
      <c r="F591" s="2" t="s">
        <v>1203</v>
      </c>
      <c r="G591" s="2" t="s">
        <v>1241</v>
      </c>
      <c r="H591" s="2" t="s">
        <v>1220</v>
      </c>
      <c r="I591" s="2" t="s">
        <v>1221</v>
      </c>
      <c r="J591" s="2" t="s">
        <v>1234</v>
      </c>
      <c r="M591" s="5" t="str">
        <f t="shared" si="99"/>
        <v>Mid</v>
      </c>
      <c r="N591" s="5" t="str">
        <f t="shared" si="100"/>
        <v>Tax-Staff-Mid</v>
      </c>
      <c r="O591" s="5" t="str">
        <f t="shared" si="101"/>
        <v>Tax-Reviewer-Mid</v>
      </c>
      <c r="P591" s="5" t="str">
        <f t="shared" si="102"/>
        <v>Tax-Signer-Mid</v>
      </c>
      <c r="Q591" s="6">
        <v>2.7401969696969677</v>
      </c>
      <c r="R591" s="6">
        <v>0.5480393939393936</v>
      </c>
      <c r="S591" s="6">
        <v>0.2740196969696968</v>
      </c>
      <c r="T591" s="7">
        <f t="shared" si="109"/>
        <v>3.562256060606058</v>
      </c>
      <c r="U591" s="6" t="e">
        <f>SUMIFS([1]Sheet1!$L:$L,[1]Sheet1!$I:$I,AJ591,[1]Sheet1!$C:$C,A591)</f>
        <v>#VALUE!</v>
      </c>
      <c r="V591" s="6"/>
      <c r="W591" s="6"/>
      <c r="X591" s="7" t="e">
        <f t="shared" si="103"/>
        <v>#VALUE!</v>
      </c>
      <c r="Y591" s="6"/>
      <c r="AJ591" s="5" t="str">
        <f t="shared" si="104"/>
        <v>MO 1040 - Personal</v>
      </c>
      <c r="AK591" s="5" t="str">
        <f t="shared" si="105"/>
        <v>MO-Tax Services-ANN-1040 - Personal_Mid</v>
      </c>
      <c r="AL591" s="5" t="str">
        <f t="shared" si="106"/>
        <v>Ramsay_9674_MO 1040 - Personal</v>
      </c>
      <c r="AM591" s="5" t="str">
        <f t="shared" si="107"/>
        <v>Ramsay_9674_MO-Tax Services-ANN-1040 - Personal_Mid</v>
      </c>
    </row>
    <row r="592" spans="1:39" x14ac:dyDescent="0.25">
      <c r="A592" s="2" t="s">
        <v>786</v>
      </c>
      <c r="B592" s="2" t="s">
        <v>787</v>
      </c>
      <c r="C592" s="2" t="s">
        <v>1196</v>
      </c>
      <c r="D592" s="8">
        <v>43831</v>
      </c>
      <c r="E592" s="5" t="str">
        <f t="shared" si="108"/>
        <v>Randol, Jeff_01-01-20</v>
      </c>
      <c r="F592" s="2" t="s">
        <v>1203</v>
      </c>
      <c r="G592" s="2" t="s">
        <v>1241</v>
      </c>
      <c r="H592" s="2" t="s">
        <v>1220</v>
      </c>
      <c r="I592" s="2" t="s">
        <v>1221</v>
      </c>
      <c r="J592" s="2" t="s">
        <v>1234</v>
      </c>
      <c r="M592" s="5" t="str">
        <f t="shared" si="99"/>
        <v>Mid</v>
      </c>
      <c r="N592" s="5" t="str">
        <f t="shared" si="100"/>
        <v>Tax-Staff-Mid</v>
      </c>
      <c r="O592" s="5" t="str">
        <f t="shared" si="101"/>
        <v>Tax-Reviewer-Mid</v>
      </c>
      <c r="P592" s="5" t="str">
        <f t="shared" si="102"/>
        <v>Tax-Signer-Mid</v>
      </c>
      <c r="Q592" s="6">
        <v>2.7401969696969677</v>
      </c>
      <c r="R592" s="6">
        <v>0.5480393939393936</v>
      </c>
      <c r="S592" s="6">
        <v>0.2740196969696968</v>
      </c>
      <c r="T592" s="7">
        <f t="shared" si="109"/>
        <v>3.562256060606058</v>
      </c>
      <c r="U592" s="6" t="e">
        <f>SUMIFS([1]Sheet1!$L:$L,[1]Sheet1!$I:$I,AJ592,[1]Sheet1!$C:$C,A592)</f>
        <v>#VALUE!</v>
      </c>
      <c r="V592" s="6"/>
      <c r="W592" s="6"/>
      <c r="X592" s="7" t="e">
        <f t="shared" si="103"/>
        <v>#VALUE!</v>
      </c>
      <c r="Y592" s="6"/>
      <c r="AJ592" s="5" t="str">
        <f t="shared" si="104"/>
        <v>NM 1040 - Personal</v>
      </c>
      <c r="AK592" s="5" t="str">
        <f t="shared" si="105"/>
        <v>NM-Tax Services-ANN-1040 - Personal_Mid</v>
      </c>
      <c r="AL592" s="5" t="str">
        <f t="shared" si="106"/>
        <v>Randol_4142_NM 1040 - Personal</v>
      </c>
      <c r="AM592" s="5" t="str">
        <f t="shared" si="107"/>
        <v>Randol_4142_NM-Tax Services-ANN-1040 - Personal_Mid</v>
      </c>
    </row>
    <row r="593" spans="1:39" x14ac:dyDescent="0.25">
      <c r="A593" s="2" t="s">
        <v>788</v>
      </c>
      <c r="B593" s="2" t="s">
        <v>789</v>
      </c>
      <c r="C593" s="2" t="s">
        <v>1196</v>
      </c>
      <c r="D593" s="8">
        <v>43831</v>
      </c>
      <c r="E593" s="5" t="str">
        <f t="shared" si="108"/>
        <v>Rawlins, Brian_01-01-20</v>
      </c>
      <c r="F593" s="2" t="s">
        <v>1203</v>
      </c>
      <c r="G593" s="2" t="s">
        <v>1241</v>
      </c>
      <c r="H593" s="2" t="s">
        <v>1220</v>
      </c>
      <c r="I593" s="2" t="s">
        <v>1221</v>
      </c>
      <c r="J593" s="2" t="s">
        <v>1234</v>
      </c>
      <c r="M593" s="5" t="str">
        <f t="shared" si="99"/>
        <v>Mid</v>
      </c>
      <c r="N593" s="5" t="str">
        <f t="shared" si="100"/>
        <v>Tax-Staff-Mid</v>
      </c>
      <c r="O593" s="5" t="str">
        <f t="shared" si="101"/>
        <v>Tax-Reviewer-Mid</v>
      </c>
      <c r="P593" s="5" t="str">
        <f t="shared" si="102"/>
        <v>Tax-Signer-Mid</v>
      </c>
      <c r="Q593" s="6">
        <v>2.7401969696969677</v>
      </c>
      <c r="R593" s="6">
        <v>0.5480393939393936</v>
      </c>
      <c r="S593" s="6">
        <v>0.2740196969696968</v>
      </c>
      <c r="T593" s="7">
        <f t="shared" si="109"/>
        <v>3.562256060606058</v>
      </c>
      <c r="U593" s="6" t="e">
        <f>SUMIFS([1]Sheet1!$L:$L,[1]Sheet1!$I:$I,AJ593,[1]Sheet1!$C:$C,A593)</f>
        <v>#VALUE!</v>
      </c>
      <c r="V593" s="6"/>
      <c r="W593" s="6"/>
      <c r="X593" s="7" t="e">
        <f t="shared" si="103"/>
        <v>#VALUE!</v>
      </c>
      <c r="Y593" s="6"/>
      <c r="AJ593" s="5" t="str">
        <f t="shared" si="104"/>
        <v>NM 1040 - Personal</v>
      </c>
      <c r="AK593" s="5" t="str">
        <f t="shared" si="105"/>
        <v>NM-Tax Services-ANN-1040 - Personal_Mid</v>
      </c>
      <c r="AL593" s="5" t="str">
        <f t="shared" si="106"/>
        <v>Rawlin_9437_NM 1040 - Personal</v>
      </c>
      <c r="AM593" s="5" t="str">
        <f t="shared" si="107"/>
        <v>Rawlin_9437_NM-Tax Services-ANN-1040 - Personal_Mid</v>
      </c>
    </row>
    <row r="594" spans="1:39" x14ac:dyDescent="0.25">
      <c r="A594" s="2" t="s">
        <v>790</v>
      </c>
      <c r="B594" s="2" t="s">
        <v>791</v>
      </c>
      <c r="C594" s="2" t="s">
        <v>1196</v>
      </c>
      <c r="D594" s="8">
        <v>43831</v>
      </c>
      <c r="E594" s="5" t="str">
        <f t="shared" si="108"/>
        <v>Ray, Chad_01-01-20</v>
      </c>
      <c r="F594" s="2" t="s">
        <v>1203</v>
      </c>
      <c r="G594" s="2" t="s">
        <v>1241</v>
      </c>
      <c r="H594" s="2" t="s">
        <v>1220</v>
      </c>
      <c r="I594" s="2" t="s">
        <v>1221</v>
      </c>
      <c r="J594" s="2" t="s">
        <v>1234</v>
      </c>
      <c r="M594" s="5" t="str">
        <f t="shared" si="99"/>
        <v>Mid</v>
      </c>
      <c r="N594" s="5" t="str">
        <f t="shared" si="100"/>
        <v>Tax-Staff-Mid</v>
      </c>
      <c r="O594" s="5" t="str">
        <f t="shared" si="101"/>
        <v>Tax-Reviewer-Mid</v>
      </c>
      <c r="P594" s="5" t="str">
        <f t="shared" si="102"/>
        <v>Tax-Signer-Mid</v>
      </c>
      <c r="Q594" s="6">
        <v>2.7401969696969677</v>
      </c>
      <c r="R594" s="6">
        <v>0.5480393939393936</v>
      </c>
      <c r="S594" s="6">
        <v>0.2740196969696968</v>
      </c>
      <c r="T594" s="7">
        <f t="shared" si="109"/>
        <v>3.562256060606058</v>
      </c>
      <c r="U594" s="6" t="e">
        <f>SUMIFS([1]Sheet1!$L:$L,[1]Sheet1!$I:$I,AJ594,[1]Sheet1!$C:$C,A594)</f>
        <v>#VALUE!</v>
      </c>
      <c r="V594" s="6"/>
      <c r="W594" s="6"/>
      <c r="X594" s="7" t="e">
        <f t="shared" si="103"/>
        <v>#VALUE!</v>
      </c>
      <c r="Y594" s="6"/>
      <c r="AJ594" s="5" t="str">
        <f t="shared" si="104"/>
        <v>NM 1040 - Personal</v>
      </c>
      <c r="AK594" s="5" t="str">
        <f t="shared" si="105"/>
        <v>NM-Tax Services-ANN-1040 - Personal_Mid</v>
      </c>
      <c r="AL594" s="5" t="str">
        <f t="shared" si="106"/>
        <v>Ray, C_0646_NM 1040 - Personal</v>
      </c>
      <c r="AM594" s="5" t="str">
        <f t="shared" si="107"/>
        <v>Ray, C_0646_NM-Tax Services-ANN-1040 - Personal_Mid</v>
      </c>
    </row>
    <row r="595" spans="1:39" x14ac:dyDescent="0.25">
      <c r="A595" s="2" t="s">
        <v>1095</v>
      </c>
      <c r="B595" s="2" t="s">
        <v>1096</v>
      </c>
      <c r="C595" s="2" t="s">
        <v>1196</v>
      </c>
      <c r="D595" s="8">
        <v>43831</v>
      </c>
      <c r="E595" s="5" t="str">
        <f t="shared" si="108"/>
        <v>Razor Land Clearing and Maintenace, LLC_01-01-20</v>
      </c>
      <c r="F595" s="2" t="s">
        <v>1199</v>
      </c>
      <c r="G595" s="2" t="s">
        <v>1241</v>
      </c>
      <c r="H595" s="2" t="s">
        <v>1220</v>
      </c>
      <c r="I595" s="2" t="s">
        <v>1223</v>
      </c>
      <c r="J595" s="2" t="s">
        <v>1234</v>
      </c>
      <c r="M595" s="5" t="str">
        <f t="shared" si="99"/>
        <v>Basic</v>
      </c>
      <c r="N595" s="5" t="str">
        <f t="shared" si="100"/>
        <v>Tax-Staff-Basic</v>
      </c>
      <c r="O595" s="5" t="str">
        <f t="shared" si="101"/>
        <v>Tax-Reviewer-Basic</v>
      </c>
      <c r="P595" s="5" t="str">
        <f t="shared" si="102"/>
        <v>Tax-Signer-Basic</v>
      </c>
      <c r="Q595" s="6">
        <v>1.4675000000000016</v>
      </c>
      <c r="R595" s="6">
        <v>0.29350000000000032</v>
      </c>
      <c r="S595" s="6">
        <v>0.14675000000000016</v>
      </c>
      <c r="T595" s="7">
        <f t="shared" si="109"/>
        <v>1.9077500000000021</v>
      </c>
      <c r="U595" s="6" t="e">
        <f>SUMIFS([1]Sheet1!$L:$L,[1]Sheet1!$I:$I,AJ595,[1]Sheet1!$C:$C,A595)</f>
        <v>#VALUE!</v>
      </c>
      <c r="V595" s="6"/>
      <c r="W595" s="6"/>
      <c r="X595" s="7" t="e">
        <f t="shared" si="103"/>
        <v>#VALUE!</v>
      </c>
      <c r="Y595" s="6"/>
      <c r="AJ595" s="5" t="str">
        <f t="shared" si="104"/>
        <v>NM 1065 - Partnership</v>
      </c>
      <c r="AK595" s="5" t="str">
        <f t="shared" si="105"/>
        <v>NM-Tax Services-ANN-1065 - Partnership_Basic</v>
      </c>
      <c r="AL595" s="5" t="str">
        <f t="shared" si="106"/>
        <v>Razor La_1065_1_NM 1065 - Partnership</v>
      </c>
      <c r="AM595" s="5" t="str">
        <f t="shared" si="107"/>
        <v>Razor La_1065_1_NM-Tax Services-ANN-1065 - Partnership_Basic</v>
      </c>
    </row>
    <row r="596" spans="1:39" x14ac:dyDescent="0.25">
      <c r="A596" s="2" t="s">
        <v>1095</v>
      </c>
      <c r="B596" s="2" t="s">
        <v>1096</v>
      </c>
      <c r="C596" s="2" t="s">
        <v>1196</v>
      </c>
      <c r="D596" s="8">
        <v>43831</v>
      </c>
      <c r="E596" s="5" t="str">
        <f t="shared" si="108"/>
        <v>Razor Land Clearing and Maintenace, LLC_01-01-20</v>
      </c>
      <c r="F596" s="2" t="s">
        <v>1200</v>
      </c>
      <c r="G596" s="2" t="s">
        <v>1241</v>
      </c>
      <c r="H596" s="2" t="s">
        <v>1220</v>
      </c>
      <c r="I596" s="2" t="s">
        <v>1223</v>
      </c>
      <c r="J596" s="2" t="s">
        <v>1234</v>
      </c>
      <c r="M596" s="5" t="str">
        <f t="shared" si="99"/>
        <v>Basic</v>
      </c>
      <c r="N596" s="5" t="str">
        <f t="shared" si="100"/>
        <v>Tax-Staff-Basic</v>
      </c>
      <c r="O596" s="5" t="str">
        <f t="shared" si="101"/>
        <v>Tax-Reviewer-Basic</v>
      </c>
      <c r="P596" s="5" t="str">
        <f t="shared" si="102"/>
        <v>Tax-Signer-Basic</v>
      </c>
      <c r="Q596" s="6">
        <v>0.5</v>
      </c>
      <c r="R596" s="6">
        <v>0.1</v>
      </c>
      <c r="S596" s="6">
        <v>0.05</v>
      </c>
      <c r="T596" s="7">
        <f t="shared" si="109"/>
        <v>0.65</v>
      </c>
      <c r="U596" s="6" t="e">
        <f>SUMIFS([1]Sheet1!$L:$L,[1]Sheet1!$I:$I,AJ596,[1]Sheet1!$C:$C,A596)</f>
        <v>#VALUE!</v>
      </c>
      <c r="V596" s="6"/>
      <c r="W596" s="6"/>
      <c r="X596" s="7" t="e">
        <f t="shared" si="103"/>
        <v>#VALUE!</v>
      </c>
      <c r="Y596" s="6"/>
      <c r="AJ596" s="5" t="str">
        <f t="shared" si="104"/>
        <v>NM Texas Franchise Tax Return</v>
      </c>
      <c r="AK596" s="5" t="str">
        <f t="shared" si="105"/>
        <v>NM-Tax Services-ANN-Texas Franchise Tax Return_Basic</v>
      </c>
      <c r="AL596" s="5" t="str">
        <f t="shared" si="106"/>
        <v>Razor La_1065_1_NM Texas Franchise Tax Return</v>
      </c>
      <c r="AM596" s="5" t="str">
        <f t="shared" si="107"/>
        <v>Razor La_1065_1_NM-Tax Services-ANN-Texas Franchise Tax Return_Basic</v>
      </c>
    </row>
    <row r="597" spans="1:39" x14ac:dyDescent="0.25">
      <c r="A597" s="2" t="s">
        <v>864</v>
      </c>
      <c r="B597" s="2" t="s">
        <v>865</v>
      </c>
      <c r="C597" s="2" t="s">
        <v>1197</v>
      </c>
      <c r="D597" s="8">
        <v>43831</v>
      </c>
      <c r="E597" s="5" t="str">
        <f t="shared" si="108"/>
        <v>Redmon, Mandi_01-01-20</v>
      </c>
      <c r="F597" s="2" t="s">
        <v>1203</v>
      </c>
      <c r="G597" s="2" t="s">
        <v>1241</v>
      </c>
      <c r="H597" s="2" t="s">
        <v>1220</v>
      </c>
      <c r="I597" s="2" t="s">
        <v>1221</v>
      </c>
      <c r="J597" s="2" t="s">
        <v>1234</v>
      </c>
      <c r="M597" s="5" t="str">
        <f t="shared" si="99"/>
        <v>Mid</v>
      </c>
      <c r="N597" s="5" t="str">
        <f t="shared" si="100"/>
        <v>Tax-Staff-Mid</v>
      </c>
      <c r="O597" s="5" t="str">
        <f t="shared" si="101"/>
        <v>Tax-Reviewer-Mid</v>
      </c>
      <c r="P597" s="5" t="str">
        <f t="shared" si="102"/>
        <v>Tax-Signer-Mid</v>
      </c>
      <c r="Q597" s="6">
        <v>2.7401969696969677</v>
      </c>
      <c r="R597" s="6">
        <v>0.5480393939393936</v>
      </c>
      <c r="S597" s="6">
        <v>0.2740196969696968</v>
      </c>
      <c r="T597" s="7">
        <f t="shared" si="109"/>
        <v>3.562256060606058</v>
      </c>
      <c r="U597" s="6" t="e">
        <f>SUMIFS([1]Sheet1!$L:$L,[1]Sheet1!$I:$I,AJ597,[1]Sheet1!$C:$C,A597)</f>
        <v>#VALUE!</v>
      </c>
      <c r="V597" s="6"/>
      <c r="W597" s="6"/>
      <c r="X597" s="7" t="e">
        <f t="shared" si="103"/>
        <v>#VALUE!</v>
      </c>
      <c r="Y597" s="6"/>
      <c r="AJ597" s="5" t="str">
        <f t="shared" si="104"/>
        <v>MO 1040 - Personal</v>
      </c>
      <c r="AK597" s="5" t="str">
        <f t="shared" si="105"/>
        <v>MO-Tax Services-ANN-1040 - Personal_Mid</v>
      </c>
      <c r="AL597" s="5" t="str">
        <f t="shared" si="106"/>
        <v>Redmon_0864_MO 1040 - Personal</v>
      </c>
      <c r="AM597" s="5" t="str">
        <f t="shared" si="107"/>
        <v>Redmon_0864_MO-Tax Services-ANN-1040 - Personal_Mid</v>
      </c>
    </row>
    <row r="598" spans="1:39" x14ac:dyDescent="0.25">
      <c r="A598" s="2" t="s">
        <v>130</v>
      </c>
      <c r="B598" s="2" t="s">
        <v>131</v>
      </c>
      <c r="C598" s="2" t="s">
        <v>1197</v>
      </c>
      <c r="D598" s="8">
        <v>43831</v>
      </c>
      <c r="E598" s="5" t="str">
        <f t="shared" si="108"/>
        <v>Redtail Rods LLC_01-01-20</v>
      </c>
      <c r="F598" s="2" t="s">
        <v>1201</v>
      </c>
      <c r="G598" s="2" t="s">
        <v>1201</v>
      </c>
      <c r="H598" s="2" t="s">
        <v>1197</v>
      </c>
      <c r="I598" s="2" t="s">
        <v>1222</v>
      </c>
      <c r="J598" s="2" t="s">
        <v>1235</v>
      </c>
      <c r="M598" s="5" t="str">
        <f t="shared" si="99"/>
        <v>Adv</v>
      </c>
      <c r="N598" s="5" t="str">
        <f t="shared" si="100"/>
        <v>Accountant-Staff-Adv</v>
      </c>
      <c r="O598" s="5" t="str">
        <f t="shared" si="101"/>
        <v>Accountant-Reviewer-Adv</v>
      </c>
      <c r="P598" s="5" t="str">
        <f t="shared" si="102"/>
        <v>Accountant-Signer-Adv</v>
      </c>
      <c r="Q598" s="6">
        <v>1.47</v>
      </c>
      <c r="R598" s="6">
        <v>0.29399999999999998</v>
      </c>
      <c r="S598" s="6">
        <v>0.14699999999999999</v>
      </c>
      <c r="T598" s="7">
        <f t="shared" si="109"/>
        <v>1.911</v>
      </c>
      <c r="U598" s="6" t="e">
        <f>SUMIFS([1]Sheet1!$L:$L,[1]Sheet1!$I:$I,AJ598,[1]Sheet1!$C:$C,A598)</f>
        <v>#VALUE!</v>
      </c>
      <c r="V598" s="6"/>
      <c r="W598" s="6"/>
      <c r="X598" s="7" t="e">
        <f t="shared" si="103"/>
        <v>#VALUE!</v>
      </c>
      <c r="Y598" s="6"/>
      <c r="AJ598" s="5" t="str">
        <f t="shared" si="104"/>
        <v>MO Accounting Services</v>
      </c>
      <c r="AK598" s="5" t="str">
        <f t="shared" si="105"/>
        <v>MO-Accounting Services-MO-Accounting Services_Adv</v>
      </c>
      <c r="AL598" s="5" t="str">
        <f t="shared" si="106"/>
        <v>Redtail _1065_46-3992935_MO Accounting Services</v>
      </c>
      <c r="AM598" s="5" t="str">
        <f t="shared" si="107"/>
        <v>Redtail _1065_46-3992935_MO-Accounting Services-MO-Accounting Services_Adv</v>
      </c>
    </row>
    <row r="599" spans="1:39" x14ac:dyDescent="0.25">
      <c r="A599" s="2" t="s">
        <v>130</v>
      </c>
      <c r="B599" s="2" t="s">
        <v>131</v>
      </c>
      <c r="C599" s="2" t="s">
        <v>1197</v>
      </c>
      <c r="D599" s="8">
        <v>43831</v>
      </c>
      <c r="E599" s="5" t="str">
        <f t="shared" si="108"/>
        <v>Redtail Rods LLC_01-01-20</v>
      </c>
      <c r="F599" s="2" t="s">
        <v>1199</v>
      </c>
      <c r="G599" s="2" t="s">
        <v>1241</v>
      </c>
      <c r="H599" s="2" t="s">
        <v>1220</v>
      </c>
      <c r="I599" s="2" t="s">
        <v>1221</v>
      </c>
      <c r="J599" s="2" t="s">
        <v>1234</v>
      </c>
      <c r="M599" s="5" t="str">
        <f t="shared" si="99"/>
        <v>Mid</v>
      </c>
      <c r="N599" s="5" t="str">
        <f t="shared" si="100"/>
        <v>Tax-Staff-Mid</v>
      </c>
      <c r="O599" s="5" t="str">
        <f t="shared" si="101"/>
        <v>Tax-Reviewer-Mid</v>
      </c>
      <c r="P599" s="5" t="str">
        <f t="shared" si="102"/>
        <v>Tax-Signer-Mid</v>
      </c>
      <c r="Q599" s="6">
        <v>2.7401969696969677</v>
      </c>
      <c r="R599" s="6">
        <v>0.5480393939393936</v>
      </c>
      <c r="S599" s="6">
        <v>0.2740196969696968</v>
      </c>
      <c r="T599" s="7">
        <f t="shared" si="109"/>
        <v>3.562256060606058</v>
      </c>
      <c r="U599" s="6" t="e">
        <f>SUMIFS([1]Sheet1!$L:$L,[1]Sheet1!$I:$I,AJ599,[1]Sheet1!$C:$C,A599)</f>
        <v>#VALUE!</v>
      </c>
      <c r="V599" s="6"/>
      <c r="W599" s="6"/>
      <c r="X599" s="7" t="e">
        <f t="shared" si="103"/>
        <v>#VALUE!</v>
      </c>
      <c r="Y599" s="6"/>
      <c r="AJ599" s="5" t="str">
        <f t="shared" si="104"/>
        <v>MO 1065 - Partnership</v>
      </c>
      <c r="AK599" s="5" t="str">
        <f t="shared" si="105"/>
        <v>MO-Tax Services-ANN-1065 - Partnership_Mid</v>
      </c>
      <c r="AL599" s="5" t="str">
        <f t="shared" si="106"/>
        <v>Redtail _1065_46-3992935_MO 1065 - Partnership</v>
      </c>
      <c r="AM599" s="5" t="str">
        <f t="shared" si="107"/>
        <v>Redtail _1065_46-3992935_MO-Tax Services-ANN-1065 - Partnership_Mid</v>
      </c>
    </row>
    <row r="600" spans="1:39" x14ac:dyDescent="0.25">
      <c r="A600" s="2" t="s">
        <v>130</v>
      </c>
      <c r="B600" s="2" t="s">
        <v>131</v>
      </c>
      <c r="C600" s="2" t="s">
        <v>1197</v>
      </c>
      <c r="D600" s="8">
        <v>43831</v>
      </c>
      <c r="E600" s="5" t="str">
        <f t="shared" si="108"/>
        <v>Redtail Rods LLC_01-01-20</v>
      </c>
      <c r="F600" s="2" t="s">
        <v>1200</v>
      </c>
      <c r="G600" s="2" t="s">
        <v>1241</v>
      </c>
      <c r="H600" s="2" t="s">
        <v>1220</v>
      </c>
      <c r="I600" s="2" t="s">
        <v>1222</v>
      </c>
      <c r="J600" s="2" t="s">
        <v>1234</v>
      </c>
      <c r="M600" s="5" t="str">
        <f t="shared" si="99"/>
        <v>Adv</v>
      </c>
      <c r="N600" s="5" t="str">
        <f t="shared" si="100"/>
        <v>Tax-Staff-Adv</v>
      </c>
      <c r="O600" s="5" t="str">
        <f t="shared" si="101"/>
        <v>Tax-Reviewer-Adv</v>
      </c>
      <c r="P600" s="5" t="str">
        <f t="shared" si="102"/>
        <v>Tax-Signer-Adv</v>
      </c>
      <c r="Q600" s="6">
        <v>1.5</v>
      </c>
      <c r="R600" s="6">
        <v>0.30000000000000004</v>
      </c>
      <c r="S600" s="6">
        <v>0.15000000000000002</v>
      </c>
      <c r="T600" s="7">
        <f t="shared" si="109"/>
        <v>1.9500000000000002</v>
      </c>
      <c r="U600" s="6" t="e">
        <f>SUMIFS([1]Sheet1!$L:$L,[1]Sheet1!$I:$I,AJ600,[1]Sheet1!$C:$C,A600)</f>
        <v>#VALUE!</v>
      </c>
      <c r="V600" s="6"/>
      <c r="W600" s="6"/>
      <c r="X600" s="7" t="e">
        <f t="shared" si="103"/>
        <v>#VALUE!</v>
      </c>
      <c r="Y600" s="6"/>
      <c r="AJ600" s="5" t="str">
        <f t="shared" si="104"/>
        <v>MO Texas Franchise Tax Return</v>
      </c>
      <c r="AK600" s="5" t="str">
        <f t="shared" si="105"/>
        <v>MO-Tax Services-ANN-Texas Franchise Tax Return_Adv</v>
      </c>
      <c r="AL600" s="5" t="str">
        <f t="shared" si="106"/>
        <v>Redtail _1065_46-3992935_MO Texas Franchise Tax Return</v>
      </c>
      <c r="AM600" s="5" t="str">
        <f t="shared" si="107"/>
        <v>Redtail _1065_46-3992935_MO-Tax Services-ANN-Texas Franchise Tax Return_Adv</v>
      </c>
    </row>
    <row r="601" spans="1:39" x14ac:dyDescent="0.25">
      <c r="A601" s="2" t="s">
        <v>792</v>
      </c>
      <c r="B601" s="2" t="s">
        <v>793</v>
      </c>
      <c r="C601" s="2" t="s">
        <v>1196</v>
      </c>
      <c r="D601" s="8">
        <v>43831</v>
      </c>
      <c r="E601" s="5" t="str">
        <f t="shared" si="108"/>
        <v>Reed, Adam T. &amp; Joni G._01-01-20</v>
      </c>
      <c r="F601" s="2" t="s">
        <v>1203</v>
      </c>
      <c r="G601" s="2" t="s">
        <v>1241</v>
      </c>
      <c r="H601" s="2" t="s">
        <v>1220</v>
      </c>
      <c r="I601" s="2" t="s">
        <v>1221</v>
      </c>
      <c r="J601" s="2" t="s">
        <v>1234</v>
      </c>
      <c r="M601" s="5" t="str">
        <f t="shared" si="99"/>
        <v>Mid</v>
      </c>
      <c r="N601" s="5" t="str">
        <f t="shared" si="100"/>
        <v>Tax-Staff-Mid</v>
      </c>
      <c r="O601" s="5" t="str">
        <f t="shared" si="101"/>
        <v>Tax-Reviewer-Mid</v>
      </c>
      <c r="P601" s="5" t="str">
        <f t="shared" si="102"/>
        <v>Tax-Signer-Mid</v>
      </c>
      <c r="Q601" s="6">
        <v>2.7401969696969677</v>
      </c>
      <c r="R601" s="6">
        <v>0.5480393939393936</v>
      </c>
      <c r="S601" s="6">
        <v>0.2740196969696968</v>
      </c>
      <c r="T601" s="7">
        <f t="shared" si="109"/>
        <v>3.562256060606058</v>
      </c>
      <c r="U601" s="6" t="e">
        <f>SUMIFS([1]Sheet1!$L:$L,[1]Sheet1!$I:$I,AJ601,[1]Sheet1!$C:$C,A601)</f>
        <v>#VALUE!</v>
      </c>
      <c r="V601" s="6"/>
      <c r="W601" s="6"/>
      <c r="X601" s="7" t="e">
        <f t="shared" si="103"/>
        <v>#VALUE!</v>
      </c>
      <c r="Y601" s="6"/>
      <c r="AJ601" s="5" t="str">
        <f t="shared" si="104"/>
        <v>NM 1040 - Personal</v>
      </c>
      <c r="AK601" s="5" t="str">
        <f t="shared" si="105"/>
        <v>NM-Tax Services-ANN-1040 - Personal_Mid</v>
      </c>
      <c r="AL601" s="5" t="str">
        <f t="shared" si="106"/>
        <v>Reed, _0813_NM 1040 - Personal</v>
      </c>
      <c r="AM601" s="5" t="str">
        <f t="shared" si="107"/>
        <v>Reed, _0813_NM-Tax Services-ANN-1040 - Personal_Mid</v>
      </c>
    </row>
    <row r="602" spans="1:39" x14ac:dyDescent="0.25">
      <c r="A602" s="2" t="s">
        <v>794</v>
      </c>
      <c r="B602" s="2" t="s">
        <v>795</v>
      </c>
      <c r="C602" s="2" t="s">
        <v>1196</v>
      </c>
      <c r="D602" s="8">
        <v>43831</v>
      </c>
      <c r="E602" s="5" t="str">
        <f t="shared" si="108"/>
        <v>Reiser, Cole_01-01-20</v>
      </c>
      <c r="F602" s="2" t="s">
        <v>1203</v>
      </c>
      <c r="G602" s="2" t="s">
        <v>1241</v>
      </c>
      <c r="H602" s="2" t="s">
        <v>1220</v>
      </c>
      <c r="I602" s="2" t="s">
        <v>1221</v>
      </c>
      <c r="J602" s="2" t="s">
        <v>1234</v>
      </c>
      <c r="M602" s="5" t="str">
        <f t="shared" si="99"/>
        <v>Mid</v>
      </c>
      <c r="N602" s="5" t="str">
        <f t="shared" si="100"/>
        <v>Tax-Staff-Mid</v>
      </c>
      <c r="O602" s="5" t="str">
        <f t="shared" si="101"/>
        <v>Tax-Reviewer-Mid</v>
      </c>
      <c r="P602" s="5" t="str">
        <f t="shared" si="102"/>
        <v>Tax-Signer-Mid</v>
      </c>
      <c r="Q602" s="6">
        <v>2.7401969696969677</v>
      </c>
      <c r="R602" s="6">
        <v>0.5480393939393936</v>
      </c>
      <c r="S602" s="6">
        <v>0.2740196969696968</v>
      </c>
      <c r="T602" s="7">
        <f t="shared" si="109"/>
        <v>3.562256060606058</v>
      </c>
      <c r="U602" s="6" t="e">
        <f>SUMIFS([1]Sheet1!$L:$L,[1]Sheet1!$I:$I,AJ602,[1]Sheet1!$C:$C,A602)</f>
        <v>#VALUE!</v>
      </c>
      <c r="V602" s="6"/>
      <c r="W602" s="6"/>
      <c r="X602" s="7" t="e">
        <f t="shared" si="103"/>
        <v>#VALUE!</v>
      </c>
      <c r="Y602" s="6"/>
      <c r="AJ602" s="5" t="str">
        <f t="shared" si="104"/>
        <v>NM 1040 - Personal</v>
      </c>
      <c r="AK602" s="5" t="str">
        <f t="shared" si="105"/>
        <v>NM-Tax Services-ANN-1040 - Personal_Mid</v>
      </c>
      <c r="AL602" s="5" t="str">
        <f t="shared" si="106"/>
        <v>Reiser_0840_NM 1040 - Personal</v>
      </c>
      <c r="AM602" s="5" t="str">
        <f t="shared" si="107"/>
        <v>Reiser_0840_NM-Tax Services-ANN-1040 - Personal_Mid</v>
      </c>
    </row>
    <row r="603" spans="1:39" x14ac:dyDescent="0.25">
      <c r="A603" s="2" t="s">
        <v>283</v>
      </c>
      <c r="B603" s="2" t="s">
        <v>284</v>
      </c>
      <c r="C603" s="2" t="s">
        <v>1198</v>
      </c>
      <c r="D603" s="8">
        <v>43831</v>
      </c>
      <c r="E603" s="5" t="str">
        <f t="shared" si="108"/>
        <v>Reliance Mgmt &amp; Consulting, LLC_01-01-20</v>
      </c>
      <c r="F603" s="2" t="s">
        <v>1200</v>
      </c>
      <c r="G603" s="2" t="e">
        <v>#N/A</v>
      </c>
      <c r="H603" s="2" t="s">
        <v>1220</v>
      </c>
      <c r="I603" s="2" t="s">
        <v>1223</v>
      </c>
      <c r="J603" s="2" t="e">
        <v>#N/A</v>
      </c>
      <c r="M603" s="5" t="str">
        <f t="shared" si="99"/>
        <v>Basic</v>
      </c>
      <c r="N603" s="5" t="e">
        <f t="shared" si="100"/>
        <v>#N/A</v>
      </c>
      <c r="O603" s="5" t="e">
        <f t="shared" si="101"/>
        <v>#N/A</v>
      </c>
      <c r="P603" s="5" t="e">
        <f t="shared" si="102"/>
        <v>#N/A</v>
      </c>
      <c r="Q603" s="6">
        <v>0.5</v>
      </c>
      <c r="R603" s="6">
        <v>0.1</v>
      </c>
      <c r="S603" s="6">
        <v>0.05</v>
      </c>
      <c r="T603" s="7">
        <f t="shared" si="109"/>
        <v>0.65</v>
      </c>
      <c r="U603" s="6" t="e">
        <f>SUMIFS([1]Sheet1!$L:$L,[1]Sheet1!$I:$I,AJ603,[1]Sheet1!$C:$C,A603)</f>
        <v>#VALUE!</v>
      </c>
      <c r="V603" s="6"/>
      <c r="W603" s="6"/>
      <c r="X603" s="7" t="e">
        <f t="shared" si="103"/>
        <v>#VALUE!</v>
      </c>
      <c r="Y603" s="6"/>
      <c r="AK603" s="5" t="e">
        <f t="shared" si="105"/>
        <v>#N/A</v>
      </c>
      <c r="AL603" s="5" t="str">
        <f t="shared" si="106"/>
        <v>Reliance_1120S_45-5343870_</v>
      </c>
      <c r="AM603" s="5" t="e">
        <f t="shared" si="107"/>
        <v>#N/A</v>
      </c>
    </row>
    <row r="604" spans="1:39" x14ac:dyDescent="0.25">
      <c r="A604" s="2" t="s">
        <v>283</v>
      </c>
      <c r="B604" s="2" t="s">
        <v>284</v>
      </c>
      <c r="C604" s="2" t="s">
        <v>1196</v>
      </c>
      <c r="D604" s="8">
        <v>43831</v>
      </c>
      <c r="E604" s="5" t="str">
        <f t="shared" si="108"/>
        <v>Reliance Mgmt &amp; Consulting, LLC_01-01-20</v>
      </c>
      <c r="F604" s="2" t="s">
        <v>1204</v>
      </c>
      <c r="G604" s="2" t="s">
        <v>1241</v>
      </c>
      <c r="H604" s="2" t="s">
        <v>1220</v>
      </c>
      <c r="I604" s="2" t="s">
        <v>1223</v>
      </c>
      <c r="J604" s="2" t="s">
        <v>1234</v>
      </c>
      <c r="M604" s="5" t="str">
        <f t="shared" si="99"/>
        <v>Basic</v>
      </c>
      <c r="N604" s="5" t="str">
        <f t="shared" si="100"/>
        <v>Tax-Staff-Basic</v>
      </c>
      <c r="O604" s="5" t="str">
        <f t="shared" si="101"/>
        <v>Tax-Reviewer-Basic</v>
      </c>
      <c r="P604" s="5" t="str">
        <f t="shared" si="102"/>
        <v>Tax-Signer-Basic</v>
      </c>
      <c r="Q604" s="6">
        <v>1.4675000000000016</v>
      </c>
      <c r="R604" s="6">
        <v>0.29350000000000032</v>
      </c>
      <c r="S604" s="6">
        <v>0.14675000000000016</v>
      </c>
      <c r="T604" s="7">
        <f t="shared" si="109"/>
        <v>1.9077500000000021</v>
      </c>
      <c r="U604" s="6" t="e">
        <f>SUMIFS([1]Sheet1!$L:$L,[1]Sheet1!$I:$I,AJ604,[1]Sheet1!$C:$C,A604)</f>
        <v>#VALUE!</v>
      </c>
      <c r="V604" s="6"/>
      <c r="W604" s="6"/>
      <c r="X604" s="7" t="e">
        <f t="shared" si="103"/>
        <v>#VALUE!</v>
      </c>
      <c r="Y604" s="6"/>
      <c r="AJ604" s="5" t="str">
        <f t="shared" ref="AJ604:AJ635" si="110">C604&amp;" "&amp;F604</f>
        <v>NM 1120S - S Corporation</v>
      </c>
      <c r="AK604" s="5" t="str">
        <f t="shared" si="105"/>
        <v>NM-Tax Services-ANN-1120S - S Corporation_Basic</v>
      </c>
      <c r="AL604" s="5" t="str">
        <f t="shared" si="106"/>
        <v>Reliance_1120S_45-5343870_NM 1120S - S Corporation</v>
      </c>
      <c r="AM604" s="5" t="str">
        <f t="shared" si="107"/>
        <v>Reliance_1120S_45-5343870_NM-Tax Services-ANN-1120S - S Corporation_Basic</v>
      </c>
    </row>
    <row r="605" spans="1:39" x14ac:dyDescent="0.25">
      <c r="A605" s="2" t="s">
        <v>796</v>
      </c>
      <c r="B605" s="2" t="s">
        <v>797</v>
      </c>
      <c r="C605" s="2" t="s">
        <v>1196</v>
      </c>
      <c r="D605" s="8">
        <v>43831</v>
      </c>
      <c r="E605" s="5" t="str">
        <f t="shared" si="108"/>
        <v>Rementeria, Tomas &amp; Melissa_01-01-20</v>
      </c>
      <c r="F605" s="2" t="s">
        <v>1203</v>
      </c>
      <c r="G605" s="2" t="s">
        <v>1241</v>
      </c>
      <c r="H605" s="2" t="s">
        <v>1220</v>
      </c>
      <c r="I605" s="2" t="s">
        <v>1221</v>
      </c>
      <c r="J605" s="2" t="s">
        <v>1234</v>
      </c>
      <c r="M605" s="5" t="str">
        <f t="shared" si="99"/>
        <v>Mid</v>
      </c>
      <c r="N605" s="5" t="str">
        <f t="shared" si="100"/>
        <v>Tax-Staff-Mid</v>
      </c>
      <c r="O605" s="5" t="str">
        <f t="shared" si="101"/>
        <v>Tax-Reviewer-Mid</v>
      </c>
      <c r="P605" s="5" t="str">
        <f t="shared" si="102"/>
        <v>Tax-Signer-Mid</v>
      </c>
      <c r="Q605" s="6">
        <v>2.7401969696969677</v>
      </c>
      <c r="R605" s="6">
        <v>0.5480393939393936</v>
      </c>
      <c r="S605" s="6">
        <v>0.2740196969696968</v>
      </c>
      <c r="T605" s="7">
        <f t="shared" si="109"/>
        <v>3.562256060606058</v>
      </c>
      <c r="U605" s="6" t="e">
        <f>SUMIFS([1]Sheet1!$L:$L,[1]Sheet1!$I:$I,AJ605,[1]Sheet1!$C:$C,A605)</f>
        <v>#VALUE!</v>
      </c>
      <c r="V605" s="6"/>
      <c r="W605" s="6"/>
      <c r="X605" s="7" t="e">
        <f t="shared" si="103"/>
        <v>#VALUE!</v>
      </c>
      <c r="Y605" s="6"/>
      <c r="AJ605" s="5" t="str">
        <f t="shared" si="110"/>
        <v>NM 1040 - Personal</v>
      </c>
      <c r="AK605" s="5" t="str">
        <f t="shared" si="105"/>
        <v>NM-Tax Services-ANN-1040 - Personal_Mid</v>
      </c>
      <c r="AL605" s="5" t="str">
        <f t="shared" si="106"/>
        <v>Rement_7088_NM 1040 - Personal</v>
      </c>
      <c r="AM605" s="5" t="str">
        <f t="shared" si="107"/>
        <v>Rement_7088_NM-Tax Services-ANN-1040 - Personal_Mid</v>
      </c>
    </row>
    <row r="606" spans="1:39" x14ac:dyDescent="0.25">
      <c r="A606" s="2" t="s">
        <v>132</v>
      </c>
      <c r="B606" s="2" t="s">
        <v>133</v>
      </c>
      <c r="C606" s="2" t="s">
        <v>1197</v>
      </c>
      <c r="D606" s="8">
        <v>43831</v>
      </c>
      <c r="E606" s="5" t="str">
        <f t="shared" si="108"/>
        <v>Renewable Diesel Micro Refinery,_01-01-20</v>
      </c>
      <c r="F606" s="2" t="s">
        <v>1199</v>
      </c>
      <c r="G606" s="2" t="s">
        <v>1241</v>
      </c>
      <c r="H606" s="2" t="s">
        <v>1220</v>
      </c>
      <c r="I606" s="2" t="s">
        <v>1222</v>
      </c>
      <c r="J606" s="2" t="s">
        <v>1234</v>
      </c>
      <c r="M606" s="5" t="str">
        <f t="shared" si="99"/>
        <v>Adv</v>
      </c>
      <c r="N606" s="5" t="str">
        <f t="shared" si="100"/>
        <v>Tax-Staff-Adv</v>
      </c>
      <c r="O606" s="5" t="str">
        <f t="shared" si="101"/>
        <v>Tax-Reviewer-Adv</v>
      </c>
      <c r="P606" s="5" t="str">
        <f t="shared" si="102"/>
        <v>Tax-Signer-Adv</v>
      </c>
      <c r="Q606" s="6">
        <v>4.5832500000000005</v>
      </c>
      <c r="R606" s="6">
        <v>0.91665000000000019</v>
      </c>
      <c r="S606" s="6">
        <v>0.45832500000000009</v>
      </c>
      <c r="T606" s="7">
        <f t="shared" si="109"/>
        <v>5.9582250000000005</v>
      </c>
      <c r="U606" s="6" t="e">
        <f>SUMIFS([1]Sheet1!$L:$L,[1]Sheet1!$I:$I,AJ606,[1]Sheet1!$C:$C,A606)</f>
        <v>#VALUE!</v>
      </c>
      <c r="V606" s="6"/>
      <c r="W606" s="6"/>
      <c r="X606" s="7" t="e">
        <f t="shared" si="103"/>
        <v>#VALUE!</v>
      </c>
      <c r="Y606" s="6"/>
      <c r="AJ606" s="5" t="str">
        <f t="shared" si="110"/>
        <v>MO 1065 - Partnership</v>
      </c>
      <c r="AK606" s="5" t="str">
        <f t="shared" si="105"/>
        <v>MO-Tax Services-ANN-1065 - Partnership_Adv</v>
      </c>
      <c r="AL606" s="5" t="str">
        <f t="shared" si="106"/>
        <v>Renewabl_1065_36-4777678_MO 1065 - Partnership</v>
      </c>
      <c r="AM606" s="5" t="str">
        <f t="shared" si="107"/>
        <v>Renewabl_1065_36-4777678_MO-Tax Services-ANN-1065 - Partnership_Adv</v>
      </c>
    </row>
    <row r="607" spans="1:39" x14ac:dyDescent="0.25">
      <c r="A607" s="2" t="s">
        <v>132</v>
      </c>
      <c r="B607" s="2" t="s">
        <v>133</v>
      </c>
      <c r="C607" s="2" t="s">
        <v>1197</v>
      </c>
      <c r="D607" s="8">
        <v>43831</v>
      </c>
      <c r="E607" s="5" t="str">
        <f t="shared" si="108"/>
        <v>Renewable Diesel Micro Refinery,_01-01-20</v>
      </c>
      <c r="F607" s="2" t="s">
        <v>1201</v>
      </c>
      <c r="G607" s="2" t="s">
        <v>1201</v>
      </c>
      <c r="H607" s="2" t="s">
        <v>1197</v>
      </c>
      <c r="I607" s="2" t="s">
        <v>1223</v>
      </c>
      <c r="J607" s="2" t="s">
        <v>1235</v>
      </c>
      <c r="M607" s="5" t="str">
        <f t="shared" si="99"/>
        <v>Basic</v>
      </c>
      <c r="N607" s="5" t="str">
        <f t="shared" si="100"/>
        <v>Accountant-Staff-Basic</v>
      </c>
      <c r="O607" s="5" t="str">
        <f t="shared" si="101"/>
        <v>Accountant-Reviewer-Basic</v>
      </c>
      <c r="P607" s="5" t="str">
        <f t="shared" si="102"/>
        <v>Accountant-Signer-Basic</v>
      </c>
      <c r="Q607" s="6">
        <v>1.47</v>
      </c>
      <c r="R607" s="6">
        <v>0.29399999999999998</v>
      </c>
      <c r="S607" s="6">
        <v>0.14699999999999999</v>
      </c>
      <c r="T607" s="7">
        <f t="shared" si="109"/>
        <v>1.911</v>
      </c>
      <c r="U607" s="6" t="e">
        <f>SUMIFS([1]Sheet1!$L:$L,[1]Sheet1!$I:$I,AJ607,[1]Sheet1!$C:$C,A607)</f>
        <v>#VALUE!</v>
      </c>
      <c r="V607" s="6"/>
      <c r="W607" s="6"/>
      <c r="X607" s="7" t="e">
        <f t="shared" si="103"/>
        <v>#VALUE!</v>
      </c>
      <c r="Y607" s="6"/>
      <c r="AJ607" s="5" t="str">
        <f t="shared" si="110"/>
        <v>MO Accounting Services</v>
      </c>
      <c r="AK607" s="5" t="str">
        <f t="shared" si="105"/>
        <v>MO-Accounting Services-MO-Accounting Services_Basic</v>
      </c>
      <c r="AL607" s="5" t="str">
        <f t="shared" si="106"/>
        <v>Renewabl_1065_36-4777678_MO Accounting Services</v>
      </c>
      <c r="AM607" s="5" t="str">
        <f t="shared" si="107"/>
        <v>Renewabl_1065_36-4777678_MO-Accounting Services-MO-Accounting Services_Basic</v>
      </c>
    </row>
    <row r="608" spans="1:39" x14ac:dyDescent="0.25">
      <c r="A608" s="2" t="s">
        <v>132</v>
      </c>
      <c r="B608" s="2" t="s">
        <v>133</v>
      </c>
      <c r="C608" s="2" t="s">
        <v>1197</v>
      </c>
      <c r="D608" s="8">
        <v>43831</v>
      </c>
      <c r="E608" s="5" t="str">
        <f t="shared" si="108"/>
        <v>Renewable Diesel Micro Refinery,_01-01-20</v>
      </c>
      <c r="F608" s="2" t="s">
        <v>1205</v>
      </c>
      <c r="G608" s="2" t="s">
        <v>1201</v>
      </c>
      <c r="H608" s="2" t="s">
        <v>1224</v>
      </c>
      <c r="I608" s="2" t="s">
        <v>1223</v>
      </c>
      <c r="J608" s="2" t="s">
        <v>1235</v>
      </c>
      <c r="M608" s="5" t="str">
        <f t="shared" si="99"/>
        <v>Basic</v>
      </c>
      <c r="N608" s="5" t="str">
        <f t="shared" si="100"/>
        <v>Accountant-Staff-Basic</v>
      </c>
      <c r="O608" s="5" t="str">
        <f t="shared" si="101"/>
        <v>Accountant-Reviewer-Basic</v>
      </c>
      <c r="P608" s="5" t="str">
        <f t="shared" si="102"/>
        <v>Accountant-Signer-Basic</v>
      </c>
      <c r="Q608" s="6">
        <v>0.5</v>
      </c>
      <c r="R608" s="6">
        <v>0.1</v>
      </c>
      <c r="S608" s="6">
        <v>0.05</v>
      </c>
      <c r="T608" s="7">
        <f t="shared" si="109"/>
        <v>0.65</v>
      </c>
      <c r="U608" s="6" t="e">
        <f>SUMIFS([1]Sheet1!$L:$L,[1]Sheet1!$I:$I,AJ608,[1]Sheet1!$C:$C,A608)</f>
        <v>#VALUE!</v>
      </c>
      <c r="V608" s="6"/>
      <c r="W608" s="6"/>
      <c r="X608" s="7" t="e">
        <f t="shared" si="103"/>
        <v>#VALUE!</v>
      </c>
      <c r="Y608" s="6"/>
      <c r="AJ608" s="5" t="str">
        <f t="shared" si="110"/>
        <v>MO Payroll Services</v>
      </c>
      <c r="AK608" s="5" t="str">
        <f t="shared" si="105"/>
        <v>MO-Accounting Services-QTR-Payroll Services_Basic</v>
      </c>
      <c r="AL608" s="5" t="str">
        <f t="shared" si="106"/>
        <v>Renewabl_1065_36-4777678_MO Payroll Services</v>
      </c>
      <c r="AM608" s="5" t="str">
        <f t="shared" si="107"/>
        <v>Renewabl_1065_36-4777678_MO-Accounting Services-QTR-Payroll Services_Basic</v>
      </c>
    </row>
    <row r="609" spans="1:39" x14ac:dyDescent="0.25">
      <c r="A609" s="2" t="s">
        <v>132</v>
      </c>
      <c r="B609" s="2" t="s">
        <v>133</v>
      </c>
      <c r="C609" s="2" t="s">
        <v>1197</v>
      </c>
      <c r="D609" s="8">
        <v>43831</v>
      </c>
      <c r="E609" s="5" t="str">
        <f t="shared" si="108"/>
        <v>Renewable Diesel Micro Refinery,_01-01-20</v>
      </c>
      <c r="F609" s="2" t="s">
        <v>1200</v>
      </c>
      <c r="G609" s="2" t="s">
        <v>1241</v>
      </c>
      <c r="H609" s="2" t="s">
        <v>1220</v>
      </c>
      <c r="I609" s="2" t="s">
        <v>1223</v>
      </c>
      <c r="J609" s="2" t="s">
        <v>1234</v>
      </c>
      <c r="M609" s="5" t="str">
        <f t="shared" si="99"/>
        <v>Basic</v>
      </c>
      <c r="N609" s="5" t="str">
        <f t="shared" si="100"/>
        <v>Tax-Staff-Basic</v>
      </c>
      <c r="O609" s="5" t="str">
        <f t="shared" si="101"/>
        <v>Tax-Reviewer-Basic</v>
      </c>
      <c r="P609" s="5" t="str">
        <f t="shared" si="102"/>
        <v>Tax-Signer-Basic</v>
      </c>
      <c r="Q609" s="6">
        <v>0.5</v>
      </c>
      <c r="R609" s="6">
        <v>0.1</v>
      </c>
      <c r="S609" s="6">
        <v>0.05</v>
      </c>
      <c r="T609" s="7">
        <f t="shared" si="109"/>
        <v>0.65</v>
      </c>
      <c r="U609" s="6" t="e">
        <f>SUMIFS([1]Sheet1!$L:$L,[1]Sheet1!$I:$I,AJ609,[1]Sheet1!$C:$C,A609)</f>
        <v>#VALUE!</v>
      </c>
      <c r="V609" s="6"/>
      <c r="W609" s="6"/>
      <c r="X609" s="7" t="e">
        <f t="shared" si="103"/>
        <v>#VALUE!</v>
      </c>
      <c r="Y609" s="6"/>
      <c r="AJ609" s="5" t="str">
        <f t="shared" si="110"/>
        <v>MO Texas Franchise Tax Return</v>
      </c>
      <c r="AK609" s="5" t="str">
        <f t="shared" si="105"/>
        <v>MO-Tax Services-ANN-Texas Franchise Tax Return_Basic</v>
      </c>
      <c r="AL609" s="5" t="str">
        <f t="shared" si="106"/>
        <v>Renewabl_1065_36-4777678_MO Texas Franchise Tax Return</v>
      </c>
      <c r="AM609" s="5" t="str">
        <f t="shared" si="107"/>
        <v>Renewabl_1065_36-4777678_MO-Tax Services-ANN-Texas Franchise Tax Return_Basic</v>
      </c>
    </row>
    <row r="610" spans="1:39" x14ac:dyDescent="0.25">
      <c r="A610" s="2" t="s">
        <v>134</v>
      </c>
      <c r="B610" s="2" t="s">
        <v>135</v>
      </c>
      <c r="C610" s="2" t="s">
        <v>1197</v>
      </c>
      <c r="D610" s="8">
        <v>43831</v>
      </c>
      <c r="E610" s="5" t="str">
        <f t="shared" si="108"/>
        <v>Rent Engine_01-01-20</v>
      </c>
      <c r="F610" s="2" t="s">
        <v>1201</v>
      </c>
      <c r="G610" s="2" t="s">
        <v>1201</v>
      </c>
      <c r="H610" s="2" t="s">
        <v>1197</v>
      </c>
      <c r="I610" s="2" t="s">
        <v>1221</v>
      </c>
      <c r="J610" s="2" t="s">
        <v>1235</v>
      </c>
      <c r="M610" s="5" t="str">
        <f t="shared" si="99"/>
        <v>Mid</v>
      </c>
      <c r="N610" s="5" t="str">
        <f t="shared" si="100"/>
        <v>Accountant-Staff-Mid</v>
      </c>
      <c r="O610" s="5" t="str">
        <f t="shared" si="101"/>
        <v>Accountant-Reviewer-Mid</v>
      </c>
      <c r="P610" s="5" t="str">
        <f t="shared" si="102"/>
        <v>Accountant-Signer-Mid</v>
      </c>
      <c r="Q610" s="6">
        <v>1.47</v>
      </c>
      <c r="R610" s="6">
        <v>0.29399999999999998</v>
      </c>
      <c r="S610" s="6">
        <v>0.14699999999999999</v>
      </c>
      <c r="T610" s="7">
        <f t="shared" si="109"/>
        <v>1.911</v>
      </c>
      <c r="U610" s="6" t="e">
        <f>SUMIFS([1]Sheet1!$L:$L,[1]Sheet1!$I:$I,AJ610,[1]Sheet1!$C:$C,A610)</f>
        <v>#VALUE!</v>
      </c>
      <c r="V610" s="6"/>
      <c r="W610" s="6"/>
      <c r="X610" s="7" t="e">
        <f t="shared" si="103"/>
        <v>#VALUE!</v>
      </c>
      <c r="Y610" s="6"/>
      <c r="AJ610" s="5" t="str">
        <f t="shared" si="110"/>
        <v>MO Accounting Services</v>
      </c>
      <c r="AK610" s="5" t="str">
        <f t="shared" si="105"/>
        <v>MO-Accounting Services-MO-Accounting Services_Mid</v>
      </c>
      <c r="AL610" s="5" t="str">
        <f t="shared" si="106"/>
        <v>Rent Eng_1065_82-4609976_MO Accounting Services</v>
      </c>
      <c r="AM610" s="5" t="str">
        <f t="shared" si="107"/>
        <v>Rent Eng_1065_82-4609976_MO-Accounting Services-MO-Accounting Services_Mid</v>
      </c>
    </row>
    <row r="611" spans="1:39" x14ac:dyDescent="0.25">
      <c r="A611" s="2" t="s">
        <v>134</v>
      </c>
      <c r="B611" s="2" t="s">
        <v>135</v>
      </c>
      <c r="C611" s="2" t="s">
        <v>1197</v>
      </c>
      <c r="D611" s="8">
        <v>43831</v>
      </c>
      <c r="E611" s="5" t="str">
        <f t="shared" si="108"/>
        <v>Rent Engine_01-01-20</v>
      </c>
      <c r="F611" s="2" t="s">
        <v>1199</v>
      </c>
      <c r="G611" s="2" t="s">
        <v>1241</v>
      </c>
      <c r="H611" s="2" t="s">
        <v>1220</v>
      </c>
      <c r="I611" s="2" t="s">
        <v>1221</v>
      </c>
      <c r="J611" s="2" t="s">
        <v>1234</v>
      </c>
      <c r="M611" s="5" t="str">
        <f t="shared" si="99"/>
        <v>Mid</v>
      </c>
      <c r="N611" s="5" t="str">
        <f t="shared" si="100"/>
        <v>Tax-Staff-Mid</v>
      </c>
      <c r="O611" s="5" t="str">
        <f t="shared" si="101"/>
        <v>Tax-Reviewer-Mid</v>
      </c>
      <c r="P611" s="5" t="str">
        <f t="shared" si="102"/>
        <v>Tax-Signer-Mid</v>
      </c>
      <c r="Q611" s="6">
        <v>2.7401969696969677</v>
      </c>
      <c r="R611" s="6">
        <v>0.5480393939393936</v>
      </c>
      <c r="S611" s="6">
        <v>0.2740196969696968</v>
      </c>
      <c r="T611" s="7">
        <f t="shared" si="109"/>
        <v>3.562256060606058</v>
      </c>
      <c r="U611" s="6" t="e">
        <f>SUMIFS([1]Sheet1!$L:$L,[1]Sheet1!$I:$I,AJ611,[1]Sheet1!$C:$C,A611)</f>
        <v>#VALUE!</v>
      </c>
      <c r="V611" s="6"/>
      <c r="W611" s="6"/>
      <c r="X611" s="7" t="e">
        <f t="shared" si="103"/>
        <v>#VALUE!</v>
      </c>
      <c r="Y611" s="6"/>
      <c r="AJ611" s="5" t="str">
        <f t="shared" si="110"/>
        <v>MO 1065 - Partnership</v>
      </c>
      <c r="AK611" s="5" t="str">
        <f t="shared" si="105"/>
        <v>MO-Tax Services-ANN-1065 - Partnership_Mid</v>
      </c>
      <c r="AL611" s="5" t="str">
        <f t="shared" si="106"/>
        <v>Rent Eng_1065_82-4609976_MO 1065 - Partnership</v>
      </c>
      <c r="AM611" s="5" t="str">
        <f t="shared" si="107"/>
        <v>Rent Eng_1065_82-4609976_MO-Tax Services-ANN-1065 - Partnership_Mid</v>
      </c>
    </row>
    <row r="612" spans="1:39" x14ac:dyDescent="0.25">
      <c r="A612" s="2" t="s">
        <v>134</v>
      </c>
      <c r="B612" s="2" t="s">
        <v>135</v>
      </c>
      <c r="C612" s="2" t="s">
        <v>1197</v>
      </c>
      <c r="D612" s="8">
        <v>43831</v>
      </c>
      <c r="E612" s="5" t="str">
        <f t="shared" si="108"/>
        <v>Rent Engine_01-01-20</v>
      </c>
      <c r="F612" s="2" t="s">
        <v>1200</v>
      </c>
      <c r="G612" s="2" t="s">
        <v>1241</v>
      </c>
      <c r="H612" s="2" t="s">
        <v>1220</v>
      </c>
      <c r="I612" s="2" t="s">
        <v>1221</v>
      </c>
      <c r="J612" s="2" t="s">
        <v>1234</v>
      </c>
      <c r="M612" s="5" t="str">
        <f t="shared" si="99"/>
        <v>Mid</v>
      </c>
      <c r="N612" s="5" t="str">
        <f t="shared" si="100"/>
        <v>Tax-Staff-Mid</v>
      </c>
      <c r="O612" s="5" t="str">
        <f t="shared" si="101"/>
        <v>Tax-Reviewer-Mid</v>
      </c>
      <c r="P612" s="5" t="str">
        <f t="shared" si="102"/>
        <v>Tax-Signer-Mid</v>
      </c>
      <c r="Q612" s="6">
        <v>0.75</v>
      </c>
      <c r="R612" s="6">
        <v>0.15000000000000002</v>
      </c>
      <c r="S612" s="6">
        <v>7.5000000000000011E-2</v>
      </c>
      <c r="T612" s="7">
        <f t="shared" si="109"/>
        <v>0.97500000000000009</v>
      </c>
      <c r="U612" s="6" t="e">
        <f>SUMIFS([1]Sheet1!$L:$L,[1]Sheet1!$I:$I,AJ612,[1]Sheet1!$C:$C,A612)</f>
        <v>#VALUE!</v>
      </c>
      <c r="V612" s="6"/>
      <c r="W612" s="6"/>
      <c r="X612" s="7" t="e">
        <f t="shared" si="103"/>
        <v>#VALUE!</v>
      </c>
      <c r="Y612" s="6"/>
      <c r="AJ612" s="5" t="str">
        <f t="shared" si="110"/>
        <v>MO Texas Franchise Tax Return</v>
      </c>
      <c r="AK612" s="5" t="str">
        <f t="shared" si="105"/>
        <v>MO-Tax Services-ANN-Texas Franchise Tax Return_Mid</v>
      </c>
      <c r="AL612" s="5" t="str">
        <f t="shared" si="106"/>
        <v>Rent Eng_1065_82-4609976_MO Texas Franchise Tax Return</v>
      </c>
      <c r="AM612" s="5" t="str">
        <f t="shared" si="107"/>
        <v>Rent Eng_1065_82-4609976_MO-Tax Services-ANN-Texas Franchise Tax Return_Mid</v>
      </c>
    </row>
    <row r="613" spans="1:39" x14ac:dyDescent="0.25">
      <c r="A613" s="2" t="s">
        <v>136</v>
      </c>
      <c r="B613" s="2" t="s">
        <v>137</v>
      </c>
      <c r="C613" s="2" t="s">
        <v>1197</v>
      </c>
      <c r="D613" s="8">
        <v>43831</v>
      </c>
      <c r="E613" s="5" t="str">
        <f t="shared" si="108"/>
        <v>Revolution Real Estate Services,_01-01-20</v>
      </c>
      <c r="F613" s="2" t="s">
        <v>1201</v>
      </c>
      <c r="G613" s="2" t="s">
        <v>1201</v>
      </c>
      <c r="H613" s="2" t="s">
        <v>1197</v>
      </c>
      <c r="I613" s="2" t="s">
        <v>1222</v>
      </c>
      <c r="J613" s="2" t="s">
        <v>1235</v>
      </c>
      <c r="M613" s="5" t="str">
        <f t="shared" si="99"/>
        <v>Adv</v>
      </c>
      <c r="N613" s="5" t="str">
        <f t="shared" si="100"/>
        <v>Accountant-Staff-Adv</v>
      </c>
      <c r="O613" s="5" t="str">
        <f t="shared" si="101"/>
        <v>Accountant-Reviewer-Adv</v>
      </c>
      <c r="P613" s="5" t="str">
        <f t="shared" si="102"/>
        <v>Accountant-Signer-Adv</v>
      </c>
      <c r="Q613" s="6">
        <v>1.47</v>
      </c>
      <c r="R613" s="6">
        <v>0.29399999999999998</v>
      </c>
      <c r="S613" s="6">
        <v>0.14699999999999999</v>
      </c>
      <c r="T613" s="7">
        <f t="shared" si="109"/>
        <v>1.911</v>
      </c>
      <c r="U613" s="6" t="e">
        <f>SUMIFS([1]Sheet1!$L:$L,[1]Sheet1!$I:$I,AJ613,[1]Sheet1!$C:$C,A613)</f>
        <v>#VALUE!</v>
      </c>
      <c r="V613" s="6"/>
      <c r="W613" s="6"/>
      <c r="X613" s="7" t="e">
        <f t="shared" si="103"/>
        <v>#VALUE!</v>
      </c>
      <c r="Y613" s="6"/>
      <c r="AJ613" s="5" t="str">
        <f t="shared" si="110"/>
        <v>MO Accounting Services</v>
      </c>
      <c r="AK613" s="5" t="str">
        <f t="shared" si="105"/>
        <v>MO-Accounting Services-MO-Accounting Services_Adv</v>
      </c>
      <c r="AL613" s="5" t="str">
        <f t="shared" si="106"/>
        <v>Revoluti_1120S_45-4921581_MO Accounting Services</v>
      </c>
      <c r="AM613" s="5" t="str">
        <f t="shared" si="107"/>
        <v>Revoluti_1120S_45-4921581_MO-Accounting Services-MO-Accounting Services_Adv</v>
      </c>
    </row>
    <row r="614" spans="1:39" x14ac:dyDescent="0.25">
      <c r="A614" s="2" t="s">
        <v>136</v>
      </c>
      <c r="B614" s="2" t="s">
        <v>137</v>
      </c>
      <c r="C614" s="2" t="s">
        <v>1197</v>
      </c>
      <c r="D614" s="8">
        <v>43831</v>
      </c>
      <c r="E614" s="5" t="str">
        <f t="shared" si="108"/>
        <v>Revolution Real Estate Services,_01-01-20</v>
      </c>
      <c r="F614" s="2" t="s">
        <v>1204</v>
      </c>
      <c r="G614" s="2" t="s">
        <v>1241</v>
      </c>
      <c r="H614" s="2" t="s">
        <v>1220</v>
      </c>
      <c r="I614" s="2" t="s">
        <v>1221</v>
      </c>
      <c r="J614" s="2" t="s">
        <v>1234</v>
      </c>
      <c r="M614" s="5" t="str">
        <f t="shared" si="99"/>
        <v>Mid</v>
      </c>
      <c r="N614" s="5" t="str">
        <f t="shared" si="100"/>
        <v>Tax-Staff-Mid</v>
      </c>
      <c r="O614" s="5" t="str">
        <f t="shared" si="101"/>
        <v>Tax-Reviewer-Mid</v>
      </c>
      <c r="P614" s="5" t="str">
        <f t="shared" si="102"/>
        <v>Tax-Signer-Mid</v>
      </c>
      <c r="Q614" s="6">
        <v>2.7401969696969677</v>
      </c>
      <c r="R614" s="6">
        <v>0.5480393939393936</v>
      </c>
      <c r="S614" s="6">
        <v>0.2740196969696968</v>
      </c>
      <c r="T614" s="7">
        <f t="shared" si="109"/>
        <v>3.562256060606058</v>
      </c>
      <c r="U614" s="6" t="e">
        <f>SUMIFS([1]Sheet1!$L:$L,[1]Sheet1!$I:$I,AJ614,[1]Sheet1!$C:$C,A614)</f>
        <v>#VALUE!</v>
      </c>
      <c r="V614" s="6"/>
      <c r="W614" s="6"/>
      <c r="X614" s="7" t="e">
        <f t="shared" si="103"/>
        <v>#VALUE!</v>
      </c>
      <c r="Y614" s="6"/>
      <c r="AJ614" s="5" t="str">
        <f t="shared" si="110"/>
        <v>MO 1120S - S Corporation</v>
      </c>
      <c r="AK614" s="5" t="str">
        <f t="shared" si="105"/>
        <v>MO-Tax Services-ANN-1120S - S Corporation_Mid</v>
      </c>
      <c r="AL614" s="5" t="str">
        <f t="shared" si="106"/>
        <v>Revoluti_1120S_45-4921581_MO 1120S - S Corporation</v>
      </c>
      <c r="AM614" s="5" t="str">
        <f t="shared" si="107"/>
        <v>Revoluti_1120S_45-4921581_MO-Tax Services-ANN-1120S - S Corporation_Mid</v>
      </c>
    </row>
    <row r="615" spans="1:39" x14ac:dyDescent="0.25">
      <c r="A615" s="2" t="s">
        <v>136</v>
      </c>
      <c r="B615" s="2" t="s">
        <v>137</v>
      </c>
      <c r="C615" s="2" t="s">
        <v>1197</v>
      </c>
      <c r="D615" s="8">
        <v>43831</v>
      </c>
      <c r="E615" s="5" t="str">
        <f t="shared" si="108"/>
        <v>Revolution Real Estate Services,_01-01-20</v>
      </c>
      <c r="F615" s="2" t="s">
        <v>1200</v>
      </c>
      <c r="G615" s="2" t="s">
        <v>1241</v>
      </c>
      <c r="H615" s="2" t="s">
        <v>1220</v>
      </c>
      <c r="I615" s="2" t="s">
        <v>1223</v>
      </c>
      <c r="J615" s="2" t="s">
        <v>1234</v>
      </c>
      <c r="M615" s="5" t="str">
        <f t="shared" si="99"/>
        <v>Basic</v>
      </c>
      <c r="N615" s="5" t="str">
        <f t="shared" si="100"/>
        <v>Tax-Staff-Basic</v>
      </c>
      <c r="O615" s="5" t="str">
        <f t="shared" si="101"/>
        <v>Tax-Reviewer-Basic</v>
      </c>
      <c r="P615" s="5" t="str">
        <f t="shared" si="102"/>
        <v>Tax-Signer-Basic</v>
      </c>
      <c r="Q615" s="6">
        <v>0.5</v>
      </c>
      <c r="R615" s="6">
        <v>0.1</v>
      </c>
      <c r="S615" s="6">
        <v>0.05</v>
      </c>
      <c r="T615" s="7">
        <f t="shared" si="109"/>
        <v>0.65</v>
      </c>
      <c r="U615" s="6" t="e">
        <f>SUMIFS([1]Sheet1!$L:$L,[1]Sheet1!$I:$I,AJ615,[1]Sheet1!$C:$C,A615)</f>
        <v>#VALUE!</v>
      </c>
      <c r="V615" s="6"/>
      <c r="W615" s="6"/>
      <c r="X615" s="7" t="e">
        <f t="shared" si="103"/>
        <v>#VALUE!</v>
      </c>
      <c r="Y615" s="6"/>
      <c r="AJ615" s="5" t="str">
        <f t="shared" si="110"/>
        <v>MO Texas Franchise Tax Return</v>
      </c>
      <c r="AK615" s="5" t="str">
        <f t="shared" si="105"/>
        <v>MO-Tax Services-ANN-Texas Franchise Tax Return_Basic</v>
      </c>
      <c r="AL615" s="5" t="str">
        <f t="shared" si="106"/>
        <v>Revoluti_1120S_45-4921581_MO Texas Franchise Tax Return</v>
      </c>
      <c r="AM615" s="5" t="str">
        <f t="shared" si="107"/>
        <v>Revoluti_1120S_45-4921581_MO-Tax Services-ANN-Texas Franchise Tax Return_Basic</v>
      </c>
    </row>
    <row r="616" spans="1:39" x14ac:dyDescent="0.25">
      <c r="A616" s="2" t="s">
        <v>385</v>
      </c>
      <c r="B616" s="2" t="s">
        <v>386</v>
      </c>
      <c r="C616" s="2" t="s">
        <v>1196</v>
      </c>
      <c r="D616" s="8">
        <v>43831</v>
      </c>
      <c r="E616" s="5" t="str">
        <f t="shared" si="108"/>
        <v>RHK Insurance Group LLC DBA_01-01-20</v>
      </c>
      <c r="F616" s="2" t="s">
        <v>1199</v>
      </c>
      <c r="G616" s="2" t="s">
        <v>1241</v>
      </c>
      <c r="H616" s="2" t="s">
        <v>1220</v>
      </c>
      <c r="I616" s="2" t="s">
        <v>1221</v>
      </c>
      <c r="J616" s="2" t="s">
        <v>1234</v>
      </c>
      <c r="M616" s="5" t="str">
        <f t="shared" si="99"/>
        <v>Mid</v>
      </c>
      <c r="N616" s="5" t="str">
        <f t="shared" si="100"/>
        <v>Tax-Staff-Mid</v>
      </c>
      <c r="O616" s="5" t="str">
        <f t="shared" si="101"/>
        <v>Tax-Reviewer-Mid</v>
      </c>
      <c r="P616" s="5" t="str">
        <f t="shared" si="102"/>
        <v>Tax-Signer-Mid</v>
      </c>
      <c r="Q616" s="6">
        <v>2.7401969696969677</v>
      </c>
      <c r="R616" s="6">
        <v>0.5480393939393936</v>
      </c>
      <c r="S616" s="6">
        <v>0.2740196969696968</v>
      </c>
      <c r="T616" s="7">
        <f t="shared" si="109"/>
        <v>3.562256060606058</v>
      </c>
      <c r="U616" s="6" t="e">
        <f>SUMIFS([1]Sheet1!$L:$L,[1]Sheet1!$I:$I,AJ616,[1]Sheet1!$C:$C,A616)</f>
        <v>#VALUE!</v>
      </c>
      <c r="V616" s="6"/>
      <c r="W616" s="6"/>
      <c r="X616" s="7" t="e">
        <f t="shared" si="103"/>
        <v>#VALUE!</v>
      </c>
      <c r="Y616" s="6"/>
      <c r="AJ616" s="5" t="str">
        <f t="shared" si="110"/>
        <v>NM 1065 - Partnership</v>
      </c>
      <c r="AK616" s="5" t="str">
        <f t="shared" si="105"/>
        <v>NM-Tax Services-ANN-1065 - Partnership_Mid</v>
      </c>
      <c r="AL616" s="5" t="str">
        <f t="shared" si="106"/>
        <v>RHK Insu_1065_46-5057096_NM 1065 - Partnership</v>
      </c>
      <c r="AM616" s="5" t="str">
        <f t="shared" si="107"/>
        <v>RHK Insu_1065_46-5057096_NM-Tax Services-ANN-1065 - Partnership_Mid</v>
      </c>
    </row>
    <row r="617" spans="1:39" x14ac:dyDescent="0.25">
      <c r="A617" s="2" t="s">
        <v>387</v>
      </c>
      <c r="B617" s="2" t="s">
        <v>388</v>
      </c>
      <c r="C617" s="2" t="s">
        <v>1196</v>
      </c>
      <c r="D617" s="8">
        <v>43831</v>
      </c>
      <c r="E617" s="5" t="str">
        <f t="shared" si="108"/>
        <v>Rioja Investment Properties, LTD_01-01-20</v>
      </c>
      <c r="F617" s="2" t="s">
        <v>1199</v>
      </c>
      <c r="G617" s="2" t="s">
        <v>1241</v>
      </c>
      <c r="H617" s="2" t="s">
        <v>1220</v>
      </c>
      <c r="I617" s="2" t="s">
        <v>1223</v>
      </c>
      <c r="J617" s="2" t="s">
        <v>1234</v>
      </c>
      <c r="M617" s="5" t="str">
        <f t="shared" si="99"/>
        <v>Basic</v>
      </c>
      <c r="N617" s="5" t="str">
        <f t="shared" si="100"/>
        <v>Tax-Staff-Basic</v>
      </c>
      <c r="O617" s="5" t="str">
        <f t="shared" si="101"/>
        <v>Tax-Reviewer-Basic</v>
      </c>
      <c r="P617" s="5" t="str">
        <f t="shared" si="102"/>
        <v>Tax-Signer-Basic</v>
      </c>
      <c r="Q617" s="6">
        <v>1.4675000000000016</v>
      </c>
      <c r="R617" s="6">
        <v>0.29350000000000032</v>
      </c>
      <c r="S617" s="6">
        <v>0.14675000000000016</v>
      </c>
      <c r="T617" s="7">
        <f t="shared" si="109"/>
        <v>1.9077500000000021</v>
      </c>
      <c r="U617" s="6" t="e">
        <f>SUMIFS([1]Sheet1!$L:$L,[1]Sheet1!$I:$I,AJ617,[1]Sheet1!$C:$C,A617)</f>
        <v>#VALUE!</v>
      </c>
      <c r="V617" s="6"/>
      <c r="W617" s="6"/>
      <c r="X617" s="7" t="e">
        <f t="shared" si="103"/>
        <v>#VALUE!</v>
      </c>
      <c r="Y617" s="6"/>
      <c r="AJ617" s="5" t="str">
        <f t="shared" si="110"/>
        <v>NM 1065 - Partnership</v>
      </c>
      <c r="AK617" s="5" t="str">
        <f t="shared" si="105"/>
        <v>NM-Tax Services-ANN-1065 - Partnership_Basic</v>
      </c>
      <c r="AL617" s="5" t="str">
        <f t="shared" si="106"/>
        <v>Rioja In_1065_81-0780058_NM 1065 - Partnership</v>
      </c>
      <c r="AM617" s="5" t="str">
        <f t="shared" si="107"/>
        <v>Rioja In_1065_81-0780058_NM-Tax Services-ANN-1065 - Partnership_Basic</v>
      </c>
    </row>
    <row r="618" spans="1:39" x14ac:dyDescent="0.25">
      <c r="A618" s="2" t="s">
        <v>285</v>
      </c>
      <c r="B618" s="2" t="s">
        <v>286</v>
      </c>
      <c r="C618" s="2" t="s">
        <v>1196</v>
      </c>
      <c r="D618" s="8">
        <v>43831</v>
      </c>
      <c r="E618" s="5" t="str">
        <f t="shared" si="108"/>
        <v>Rioja Investment Properties GP, Inc_01-01-20</v>
      </c>
      <c r="F618" s="2" t="s">
        <v>1204</v>
      </c>
      <c r="G618" s="2" t="s">
        <v>1241</v>
      </c>
      <c r="H618" s="2" t="s">
        <v>1220</v>
      </c>
      <c r="I618" s="2" t="s">
        <v>1223</v>
      </c>
      <c r="J618" s="2" t="s">
        <v>1234</v>
      </c>
      <c r="M618" s="5" t="str">
        <f t="shared" si="99"/>
        <v>Basic</v>
      </c>
      <c r="N618" s="5" t="str">
        <f t="shared" si="100"/>
        <v>Tax-Staff-Basic</v>
      </c>
      <c r="O618" s="5" t="str">
        <f t="shared" si="101"/>
        <v>Tax-Reviewer-Basic</v>
      </c>
      <c r="P618" s="5" t="str">
        <f t="shared" si="102"/>
        <v>Tax-Signer-Basic</v>
      </c>
      <c r="Q618" s="6">
        <v>1.4675000000000016</v>
      </c>
      <c r="R618" s="6">
        <v>0.29350000000000032</v>
      </c>
      <c r="S618" s="6">
        <v>0.14675000000000016</v>
      </c>
      <c r="T618" s="7">
        <f t="shared" si="109"/>
        <v>1.9077500000000021</v>
      </c>
      <c r="U618" s="6" t="e">
        <f>SUMIFS([1]Sheet1!$L:$L,[1]Sheet1!$I:$I,AJ618,[1]Sheet1!$C:$C,A618)</f>
        <v>#VALUE!</v>
      </c>
      <c r="V618" s="6"/>
      <c r="W618" s="6"/>
      <c r="X618" s="7" t="e">
        <f t="shared" si="103"/>
        <v>#VALUE!</v>
      </c>
      <c r="Y618" s="6"/>
      <c r="AJ618" s="5" t="str">
        <f t="shared" si="110"/>
        <v>NM 1120S - S Corporation</v>
      </c>
      <c r="AK618" s="5" t="str">
        <f t="shared" si="105"/>
        <v>NM-Tax Services-ANN-1120S - S Corporation_Basic</v>
      </c>
      <c r="AL618" s="5" t="str">
        <f t="shared" si="106"/>
        <v>Rioja In_1120S_Applied For_NM 1120S - S Corporation</v>
      </c>
      <c r="AM618" s="5" t="str">
        <f t="shared" si="107"/>
        <v>Rioja In_1120S_Applied For_NM-Tax Services-ANN-1120S - S Corporation_Basic</v>
      </c>
    </row>
    <row r="619" spans="1:39" x14ac:dyDescent="0.25">
      <c r="A619" s="2" t="s">
        <v>800</v>
      </c>
      <c r="B619" s="2" t="s">
        <v>801</v>
      </c>
      <c r="C619" s="2" t="s">
        <v>1196</v>
      </c>
      <c r="D619" s="8">
        <v>43831</v>
      </c>
      <c r="E619" s="5" t="str">
        <f t="shared" si="108"/>
        <v>Rioja, Eric_01-01-20</v>
      </c>
      <c r="F619" s="2" t="s">
        <v>1203</v>
      </c>
      <c r="G619" s="2" t="s">
        <v>1241</v>
      </c>
      <c r="H619" s="2" t="s">
        <v>1220</v>
      </c>
      <c r="I619" s="2" t="s">
        <v>1221</v>
      </c>
      <c r="J619" s="2" t="s">
        <v>1234</v>
      </c>
      <c r="M619" s="5" t="str">
        <f t="shared" si="99"/>
        <v>Mid</v>
      </c>
      <c r="N619" s="5" t="str">
        <f t="shared" si="100"/>
        <v>Tax-Staff-Mid</v>
      </c>
      <c r="O619" s="5" t="str">
        <f t="shared" si="101"/>
        <v>Tax-Reviewer-Mid</v>
      </c>
      <c r="P619" s="5" t="str">
        <f t="shared" si="102"/>
        <v>Tax-Signer-Mid</v>
      </c>
      <c r="Q619" s="6">
        <v>2.7401969696969677</v>
      </c>
      <c r="R619" s="6">
        <v>0.5480393939393936</v>
      </c>
      <c r="S619" s="6">
        <v>0.2740196969696968</v>
      </c>
      <c r="T619" s="7">
        <f t="shared" si="109"/>
        <v>3.562256060606058</v>
      </c>
      <c r="U619" s="6" t="e">
        <f>SUMIFS([1]Sheet1!$L:$L,[1]Sheet1!$I:$I,AJ619,[1]Sheet1!$C:$C,A619)</f>
        <v>#VALUE!</v>
      </c>
      <c r="V619" s="6"/>
      <c r="W619" s="6"/>
      <c r="X619" s="7" t="e">
        <f t="shared" si="103"/>
        <v>#VALUE!</v>
      </c>
      <c r="Y619" s="6"/>
      <c r="AJ619" s="5" t="str">
        <f t="shared" si="110"/>
        <v>NM 1040 - Personal</v>
      </c>
      <c r="AK619" s="5" t="str">
        <f t="shared" si="105"/>
        <v>NM-Tax Services-ANN-1040 - Personal_Mid</v>
      </c>
      <c r="AL619" s="5" t="str">
        <f t="shared" si="106"/>
        <v>Rioja,_9984_NM 1040 - Personal</v>
      </c>
      <c r="AM619" s="5" t="str">
        <f t="shared" si="107"/>
        <v>Rioja,_9984_NM-Tax Services-ANN-1040 - Personal_Mid</v>
      </c>
    </row>
    <row r="620" spans="1:39" x14ac:dyDescent="0.25">
      <c r="A620" s="2" t="s">
        <v>138</v>
      </c>
      <c r="B620" s="2" t="s">
        <v>139</v>
      </c>
      <c r="C620" s="2" t="s">
        <v>1197</v>
      </c>
      <c r="D620" s="8">
        <v>43831</v>
      </c>
      <c r="E620" s="5" t="str">
        <f t="shared" si="108"/>
        <v>Ritch Roberts Law_01-01-20</v>
      </c>
      <c r="F620" s="2" t="s">
        <v>1201</v>
      </c>
      <c r="G620" s="2" t="s">
        <v>1201</v>
      </c>
      <c r="H620" s="2" t="s">
        <v>1197</v>
      </c>
      <c r="I620" s="2" t="s">
        <v>1222</v>
      </c>
      <c r="J620" s="2" t="s">
        <v>1235</v>
      </c>
      <c r="M620" s="5" t="str">
        <f t="shared" si="99"/>
        <v>Adv</v>
      </c>
      <c r="N620" s="5" t="str">
        <f t="shared" si="100"/>
        <v>Accountant-Staff-Adv</v>
      </c>
      <c r="O620" s="5" t="str">
        <f t="shared" si="101"/>
        <v>Accountant-Reviewer-Adv</v>
      </c>
      <c r="P620" s="5" t="str">
        <f t="shared" si="102"/>
        <v>Accountant-Signer-Adv</v>
      </c>
      <c r="Q620" s="6">
        <v>1.47</v>
      </c>
      <c r="R620" s="6">
        <v>0.29399999999999998</v>
      </c>
      <c r="S620" s="6">
        <v>0.14699999999999999</v>
      </c>
      <c r="T620" s="7">
        <f t="shared" si="109"/>
        <v>1.911</v>
      </c>
      <c r="U620" s="6" t="e">
        <f>SUMIFS([1]Sheet1!$L:$L,[1]Sheet1!$I:$I,AJ620,[1]Sheet1!$C:$C,A620)</f>
        <v>#VALUE!</v>
      </c>
      <c r="V620" s="6"/>
      <c r="W620" s="6"/>
      <c r="X620" s="7" t="e">
        <f t="shared" si="103"/>
        <v>#VALUE!</v>
      </c>
      <c r="Y620" s="6"/>
      <c r="AJ620" s="5" t="str">
        <f t="shared" si="110"/>
        <v>MO Accounting Services</v>
      </c>
      <c r="AK620" s="5" t="str">
        <f t="shared" si="105"/>
        <v>MO-Accounting Services-MO-Accounting Services_Adv</v>
      </c>
      <c r="AL620" s="5" t="str">
        <f t="shared" si="106"/>
        <v>Ritch Ro_1120S_82-2378935_MO Accounting Services</v>
      </c>
      <c r="AM620" s="5" t="str">
        <f t="shared" si="107"/>
        <v>Ritch Ro_1120S_82-2378935_MO-Accounting Services-MO-Accounting Services_Adv</v>
      </c>
    </row>
    <row r="621" spans="1:39" x14ac:dyDescent="0.25">
      <c r="A621" s="2" t="s">
        <v>138</v>
      </c>
      <c r="B621" s="2" t="s">
        <v>139</v>
      </c>
      <c r="C621" s="2" t="s">
        <v>1197</v>
      </c>
      <c r="D621" s="8">
        <v>43831</v>
      </c>
      <c r="E621" s="5" t="str">
        <f t="shared" si="108"/>
        <v>Ritch Roberts Law_01-01-20</v>
      </c>
      <c r="F621" s="2" t="s">
        <v>1205</v>
      </c>
      <c r="G621" s="2" t="s">
        <v>1201</v>
      </c>
      <c r="H621" s="2" t="s">
        <v>1224</v>
      </c>
      <c r="I621" s="2" t="s">
        <v>1223</v>
      </c>
      <c r="J621" s="2" t="s">
        <v>1235</v>
      </c>
      <c r="M621" s="5" t="str">
        <f t="shared" si="99"/>
        <v>Basic</v>
      </c>
      <c r="N621" s="5" t="str">
        <f t="shared" si="100"/>
        <v>Accountant-Staff-Basic</v>
      </c>
      <c r="O621" s="5" t="str">
        <f t="shared" si="101"/>
        <v>Accountant-Reviewer-Basic</v>
      </c>
      <c r="P621" s="5" t="str">
        <f t="shared" si="102"/>
        <v>Accountant-Signer-Basic</v>
      </c>
      <c r="Q621" s="6">
        <v>0.5</v>
      </c>
      <c r="R621" s="6">
        <v>0.1</v>
      </c>
      <c r="S621" s="6">
        <v>0.05</v>
      </c>
      <c r="T621" s="7">
        <f t="shared" si="109"/>
        <v>0.65</v>
      </c>
      <c r="U621" s="6" t="e">
        <f>SUMIFS([1]Sheet1!$L:$L,[1]Sheet1!$I:$I,AJ621,[1]Sheet1!$C:$C,A621)</f>
        <v>#VALUE!</v>
      </c>
      <c r="V621" s="6"/>
      <c r="W621" s="6"/>
      <c r="X621" s="7" t="e">
        <f t="shared" si="103"/>
        <v>#VALUE!</v>
      </c>
      <c r="Y621" s="6"/>
      <c r="AJ621" s="5" t="str">
        <f t="shared" si="110"/>
        <v>MO Payroll Services</v>
      </c>
      <c r="AK621" s="5" t="str">
        <f t="shared" si="105"/>
        <v>MO-Accounting Services-QTR-Payroll Services_Basic</v>
      </c>
      <c r="AL621" s="5" t="str">
        <f t="shared" si="106"/>
        <v>Ritch Ro_1120S_82-2378935_MO Payroll Services</v>
      </c>
      <c r="AM621" s="5" t="str">
        <f t="shared" si="107"/>
        <v>Ritch Ro_1120S_82-2378935_MO-Accounting Services-QTR-Payroll Services_Basic</v>
      </c>
    </row>
    <row r="622" spans="1:39" x14ac:dyDescent="0.25">
      <c r="A622" s="2" t="s">
        <v>138</v>
      </c>
      <c r="B622" s="2" t="s">
        <v>139</v>
      </c>
      <c r="C622" s="2" t="s">
        <v>1197</v>
      </c>
      <c r="D622" s="8">
        <v>43831</v>
      </c>
      <c r="E622" s="5" t="str">
        <f t="shared" si="108"/>
        <v>Ritch Roberts Law_01-01-20</v>
      </c>
      <c r="F622" s="2" t="s">
        <v>1202</v>
      </c>
      <c r="G622" s="2" t="s">
        <v>1201</v>
      </c>
      <c r="H622" s="2" t="s">
        <v>1197</v>
      </c>
      <c r="I622" s="2" t="s">
        <v>1221</v>
      </c>
      <c r="J622" s="2" t="s">
        <v>1235</v>
      </c>
      <c r="M622" s="5" t="str">
        <f t="shared" si="99"/>
        <v>Mid</v>
      </c>
      <c r="N622" s="5" t="str">
        <f t="shared" si="100"/>
        <v>Accountant-Staff-Mid</v>
      </c>
      <c r="O622" s="5" t="str">
        <f t="shared" si="101"/>
        <v>Accountant-Reviewer-Mid</v>
      </c>
      <c r="P622" s="5" t="str">
        <f t="shared" si="102"/>
        <v>Accountant-Signer-Mid</v>
      </c>
      <c r="Q622" s="6">
        <v>1</v>
      </c>
      <c r="R622" s="6">
        <v>0.2</v>
      </c>
      <c r="S622" s="6">
        <v>0.1</v>
      </c>
      <c r="T622" s="7">
        <f t="shared" si="109"/>
        <v>1.3</v>
      </c>
      <c r="U622" s="6" t="e">
        <f>SUMIFS([1]Sheet1!$L:$L,[1]Sheet1!$I:$I,AJ622,[1]Sheet1!$C:$C,A622)</f>
        <v>#VALUE!</v>
      </c>
      <c r="V622" s="6"/>
      <c r="W622" s="6"/>
      <c r="X622" s="7" t="e">
        <f t="shared" si="103"/>
        <v>#VALUE!</v>
      </c>
      <c r="Y622" s="6"/>
      <c r="AJ622" s="5" t="str">
        <f t="shared" si="110"/>
        <v>MO Sales Tax Services</v>
      </c>
      <c r="AK622" s="5" t="str">
        <f t="shared" si="105"/>
        <v>MO-Accounting Services-MO-Sales Tax Services_Mid</v>
      </c>
      <c r="AL622" s="5" t="str">
        <f t="shared" si="106"/>
        <v>Ritch Ro_1120S_82-2378935_MO Sales Tax Services</v>
      </c>
      <c r="AM622" s="5" t="str">
        <f t="shared" si="107"/>
        <v>Ritch Ro_1120S_82-2378935_MO-Accounting Services-MO-Sales Tax Services_Mid</v>
      </c>
    </row>
    <row r="623" spans="1:39" x14ac:dyDescent="0.25">
      <c r="A623" s="2" t="s">
        <v>138</v>
      </c>
      <c r="B623" s="2" t="s">
        <v>139</v>
      </c>
      <c r="C623" s="2" t="s">
        <v>1197</v>
      </c>
      <c r="D623" s="8">
        <v>43831</v>
      </c>
      <c r="E623" s="5" t="str">
        <f t="shared" si="108"/>
        <v>Ritch Roberts Law_01-01-20</v>
      </c>
      <c r="F623" s="2" t="s">
        <v>1204</v>
      </c>
      <c r="G623" s="2" t="s">
        <v>1241</v>
      </c>
      <c r="H623" s="2" t="s">
        <v>1220</v>
      </c>
      <c r="I623" s="2" t="s">
        <v>1223</v>
      </c>
      <c r="J623" s="2" t="s">
        <v>1234</v>
      </c>
      <c r="M623" s="5" t="str">
        <f t="shared" si="99"/>
        <v>Basic</v>
      </c>
      <c r="N623" s="5" t="str">
        <f t="shared" si="100"/>
        <v>Tax-Staff-Basic</v>
      </c>
      <c r="O623" s="5" t="str">
        <f t="shared" si="101"/>
        <v>Tax-Reviewer-Basic</v>
      </c>
      <c r="P623" s="5" t="str">
        <f t="shared" si="102"/>
        <v>Tax-Signer-Basic</v>
      </c>
      <c r="Q623" s="6">
        <v>1.4675000000000016</v>
      </c>
      <c r="R623" s="6">
        <v>0.29350000000000032</v>
      </c>
      <c r="S623" s="6">
        <v>0.14675000000000016</v>
      </c>
      <c r="T623" s="7">
        <f t="shared" si="109"/>
        <v>1.9077500000000021</v>
      </c>
      <c r="U623" s="6" t="e">
        <f>SUMIFS([1]Sheet1!$L:$L,[1]Sheet1!$I:$I,AJ623,[1]Sheet1!$C:$C,A623)</f>
        <v>#VALUE!</v>
      </c>
      <c r="V623" s="6"/>
      <c r="W623" s="6"/>
      <c r="X623" s="7" t="e">
        <f t="shared" si="103"/>
        <v>#VALUE!</v>
      </c>
      <c r="Y623" s="6"/>
      <c r="AJ623" s="5" t="str">
        <f t="shared" si="110"/>
        <v>MO 1120S - S Corporation</v>
      </c>
      <c r="AK623" s="5" t="str">
        <f t="shared" si="105"/>
        <v>MO-Tax Services-ANN-1120S - S Corporation_Basic</v>
      </c>
      <c r="AL623" s="5" t="str">
        <f t="shared" si="106"/>
        <v>Ritch Ro_1120S_82-2378935_MO 1120S - S Corporation</v>
      </c>
      <c r="AM623" s="5" t="str">
        <f t="shared" si="107"/>
        <v>Ritch Ro_1120S_82-2378935_MO-Tax Services-ANN-1120S - S Corporation_Basic</v>
      </c>
    </row>
    <row r="624" spans="1:39" x14ac:dyDescent="0.25">
      <c r="A624" s="2" t="s">
        <v>389</v>
      </c>
      <c r="B624" s="2" t="s">
        <v>390</v>
      </c>
      <c r="C624" s="2" t="s">
        <v>1196</v>
      </c>
      <c r="D624" s="8">
        <v>43831</v>
      </c>
      <c r="E624" s="5" t="str">
        <f t="shared" si="108"/>
        <v>Rival Labs, LLC_01-01-20</v>
      </c>
      <c r="F624" s="2" t="s">
        <v>1199</v>
      </c>
      <c r="G624" s="2" t="s">
        <v>1241</v>
      </c>
      <c r="H624" s="2" t="s">
        <v>1220</v>
      </c>
      <c r="I624" s="2" t="s">
        <v>1221</v>
      </c>
      <c r="J624" s="2" t="s">
        <v>1234</v>
      </c>
      <c r="M624" s="5" t="str">
        <f t="shared" si="99"/>
        <v>Mid</v>
      </c>
      <c r="N624" s="5" t="str">
        <f t="shared" si="100"/>
        <v>Tax-Staff-Mid</v>
      </c>
      <c r="O624" s="5" t="str">
        <f t="shared" si="101"/>
        <v>Tax-Reviewer-Mid</v>
      </c>
      <c r="P624" s="5" t="str">
        <f t="shared" si="102"/>
        <v>Tax-Signer-Mid</v>
      </c>
      <c r="Q624" s="6">
        <v>2.7401969696969677</v>
      </c>
      <c r="R624" s="6">
        <v>0.5480393939393936</v>
      </c>
      <c r="S624" s="6">
        <v>0.2740196969696968</v>
      </c>
      <c r="T624" s="7">
        <f t="shared" si="109"/>
        <v>3.562256060606058</v>
      </c>
      <c r="U624" s="6" t="e">
        <f>SUMIFS([1]Sheet1!$L:$L,[1]Sheet1!$I:$I,AJ624,[1]Sheet1!$C:$C,A624)</f>
        <v>#VALUE!</v>
      </c>
      <c r="V624" s="6"/>
      <c r="W624" s="6"/>
      <c r="X624" s="7" t="e">
        <f t="shared" si="103"/>
        <v>#VALUE!</v>
      </c>
      <c r="Y624" s="6"/>
      <c r="AJ624" s="5" t="str">
        <f t="shared" si="110"/>
        <v>NM 1065 - Partnership</v>
      </c>
      <c r="AK624" s="5" t="str">
        <f t="shared" si="105"/>
        <v>NM-Tax Services-ANN-1065 - Partnership_Mid</v>
      </c>
      <c r="AL624" s="5" t="str">
        <f t="shared" si="106"/>
        <v>Rival La_1065_45-1487823_NM 1065 - Partnership</v>
      </c>
      <c r="AM624" s="5" t="str">
        <f t="shared" si="107"/>
        <v>Rival La_1065_45-1487823_NM-Tax Services-ANN-1065 - Partnership_Mid</v>
      </c>
    </row>
    <row r="625" spans="1:39" x14ac:dyDescent="0.25">
      <c r="A625" s="2" t="s">
        <v>950</v>
      </c>
      <c r="B625" s="2" t="s">
        <v>951</v>
      </c>
      <c r="C625" s="2" t="s">
        <v>1196</v>
      </c>
      <c r="D625" s="8">
        <v>43831</v>
      </c>
      <c r="E625" s="5" t="str">
        <f t="shared" si="108"/>
        <v>Robbins, Caleb_01-01-20</v>
      </c>
      <c r="F625" s="2" t="s">
        <v>1203</v>
      </c>
      <c r="G625" s="2" t="s">
        <v>1241</v>
      </c>
      <c r="H625" s="2" t="s">
        <v>1220</v>
      </c>
      <c r="I625" s="2" t="s">
        <v>1223</v>
      </c>
      <c r="J625" s="2" t="s">
        <v>1234</v>
      </c>
      <c r="M625" s="5" t="str">
        <f t="shared" si="99"/>
        <v>Basic</v>
      </c>
      <c r="N625" s="5" t="str">
        <f t="shared" si="100"/>
        <v>Tax-Staff-Basic</v>
      </c>
      <c r="O625" s="5" t="str">
        <f t="shared" si="101"/>
        <v>Tax-Reviewer-Basic</v>
      </c>
      <c r="P625" s="5" t="str">
        <f t="shared" si="102"/>
        <v>Tax-Signer-Basic</v>
      </c>
      <c r="Q625" s="6">
        <v>1.4675000000000016</v>
      </c>
      <c r="R625" s="6">
        <v>0.29350000000000032</v>
      </c>
      <c r="S625" s="6">
        <v>0.14675000000000016</v>
      </c>
      <c r="T625" s="7">
        <f t="shared" si="109"/>
        <v>1.9077500000000021</v>
      </c>
      <c r="U625" s="6" t="e">
        <f>SUMIFS([1]Sheet1!$L:$L,[1]Sheet1!$I:$I,AJ625,[1]Sheet1!$C:$C,A625)</f>
        <v>#VALUE!</v>
      </c>
      <c r="V625" s="6"/>
      <c r="W625" s="6"/>
      <c r="X625" s="7" t="e">
        <f t="shared" si="103"/>
        <v>#VALUE!</v>
      </c>
      <c r="Y625" s="6"/>
      <c r="AJ625" s="5" t="str">
        <f t="shared" si="110"/>
        <v>NM 1040 - Personal</v>
      </c>
      <c r="AK625" s="5" t="str">
        <f t="shared" si="105"/>
        <v>NM-Tax Services-ANN-1040 - Personal_Basic</v>
      </c>
      <c r="AL625" s="5" t="str">
        <f t="shared" si="106"/>
        <v>Robbin_3002_NM 1040 - Personal</v>
      </c>
      <c r="AM625" s="5" t="str">
        <f t="shared" si="107"/>
        <v>Robbin_3002_NM-Tax Services-ANN-1040 - Personal_Basic</v>
      </c>
    </row>
    <row r="626" spans="1:39" x14ac:dyDescent="0.25">
      <c r="A626" s="2" t="s">
        <v>142</v>
      </c>
      <c r="B626" s="2" t="s">
        <v>143</v>
      </c>
      <c r="C626" s="2" t="s">
        <v>1197</v>
      </c>
      <c r="D626" s="8">
        <v>43831</v>
      </c>
      <c r="E626" s="5" t="str">
        <f t="shared" si="108"/>
        <v>Robert R. Smith, P.C._01-01-20</v>
      </c>
      <c r="F626" s="2" t="s">
        <v>1201</v>
      </c>
      <c r="G626" s="2" t="s">
        <v>1201</v>
      </c>
      <c r="H626" s="2" t="s">
        <v>1197</v>
      </c>
      <c r="I626" s="2" t="s">
        <v>1221</v>
      </c>
      <c r="J626" s="2" t="s">
        <v>1235</v>
      </c>
      <c r="M626" s="5" t="str">
        <f t="shared" si="99"/>
        <v>Mid</v>
      </c>
      <c r="N626" s="5" t="str">
        <f t="shared" si="100"/>
        <v>Accountant-Staff-Mid</v>
      </c>
      <c r="O626" s="5" t="str">
        <f t="shared" si="101"/>
        <v>Accountant-Reviewer-Mid</v>
      </c>
      <c r="P626" s="5" t="str">
        <f t="shared" si="102"/>
        <v>Accountant-Signer-Mid</v>
      </c>
      <c r="Q626" s="6">
        <v>1.47</v>
      </c>
      <c r="R626" s="6">
        <v>0.29399999999999998</v>
      </c>
      <c r="S626" s="6">
        <v>0.14699999999999999</v>
      </c>
      <c r="T626" s="7">
        <f t="shared" si="109"/>
        <v>1.911</v>
      </c>
      <c r="U626" s="6" t="e">
        <f>SUMIFS([1]Sheet1!$L:$L,[1]Sheet1!$I:$I,AJ626,[1]Sheet1!$C:$C,A626)</f>
        <v>#VALUE!</v>
      </c>
      <c r="V626" s="6"/>
      <c r="W626" s="6"/>
      <c r="X626" s="7" t="e">
        <f t="shared" si="103"/>
        <v>#VALUE!</v>
      </c>
      <c r="Y626" s="6"/>
      <c r="AJ626" s="5" t="str">
        <f t="shared" si="110"/>
        <v>MO Accounting Services</v>
      </c>
      <c r="AK626" s="5" t="str">
        <f t="shared" si="105"/>
        <v>MO-Accounting Services-MO-Accounting Services_Mid</v>
      </c>
      <c r="AL626" s="5" t="str">
        <f t="shared" si="106"/>
        <v>Robert R_1120S_20-1627083_MO Accounting Services</v>
      </c>
      <c r="AM626" s="5" t="str">
        <f t="shared" si="107"/>
        <v>Robert R_1120S_20-1627083_MO-Accounting Services-MO-Accounting Services_Mid</v>
      </c>
    </row>
    <row r="627" spans="1:39" x14ac:dyDescent="0.25">
      <c r="A627" s="2" t="s">
        <v>142</v>
      </c>
      <c r="B627" s="2" t="s">
        <v>143</v>
      </c>
      <c r="C627" s="2" t="s">
        <v>1197</v>
      </c>
      <c r="D627" s="8">
        <v>43831</v>
      </c>
      <c r="E627" s="5" t="str">
        <f t="shared" si="108"/>
        <v>Robert R. Smith, P.C._01-01-20</v>
      </c>
      <c r="F627" s="2" t="s">
        <v>1204</v>
      </c>
      <c r="G627" s="2" t="s">
        <v>1241</v>
      </c>
      <c r="H627" s="2" t="s">
        <v>1220</v>
      </c>
      <c r="I627" s="2" t="s">
        <v>1223</v>
      </c>
      <c r="J627" s="2" t="s">
        <v>1234</v>
      </c>
      <c r="M627" s="5" t="str">
        <f t="shared" si="99"/>
        <v>Basic</v>
      </c>
      <c r="N627" s="5" t="str">
        <f t="shared" si="100"/>
        <v>Tax-Staff-Basic</v>
      </c>
      <c r="O627" s="5" t="str">
        <f t="shared" si="101"/>
        <v>Tax-Reviewer-Basic</v>
      </c>
      <c r="P627" s="5" t="str">
        <f t="shared" si="102"/>
        <v>Tax-Signer-Basic</v>
      </c>
      <c r="Q627" s="6">
        <v>1.4675000000000016</v>
      </c>
      <c r="R627" s="6">
        <v>0.29350000000000032</v>
      </c>
      <c r="S627" s="6">
        <v>0.14675000000000016</v>
      </c>
      <c r="T627" s="7">
        <f t="shared" si="109"/>
        <v>1.9077500000000021</v>
      </c>
      <c r="U627" s="6" t="e">
        <f>SUMIFS([1]Sheet1!$L:$L,[1]Sheet1!$I:$I,AJ627,[1]Sheet1!$C:$C,A627)</f>
        <v>#VALUE!</v>
      </c>
      <c r="V627" s="6"/>
      <c r="W627" s="6"/>
      <c r="X627" s="7" t="e">
        <f t="shared" si="103"/>
        <v>#VALUE!</v>
      </c>
      <c r="Y627" s="6"/>
      <c r="AJ627" s="5" t="str">
        <f t="shared" si="110"/>
        <v>MO 1120S - S Corporation</v>
      </c>
      <c r="AK627" s="5" t="str">
        <f t="shared" si="105"/>
        <v>MO-Tax Services-ANN-1120S - S Corporation_Basic</v>
      </c>
      <c r="AL627" s="5" t="str">
        <f t="shared" si="106"/>
        <v>Robert R_1120S_20-1627083_MO 1120S - S Corporation</v>
      </c>
      <c r="AM627" s="5" t="str">
        <f t="shared" si="107"/>
        <v>Robert R_1120S_20-1627083_MO-Tax Services-ANN-1120S - S Corporation_Basic</v>
      </c>
    </row>
    <row r="628" spans="1:39" x14ac:dyDescent="0.25">
      <c r="A628" s="2" t="s">
        <v>142</v>
      </c>
      <c r="B628" s="2" t="s">
        <v>143</v>
      </c>
      <c r="C628" s="2" t="s">
        <v>1197</v>
      </c>
      <c r="D628" s="8">
        <v>43831</v>
      </c>
      <c r="E628" s="5" t="str">
        <f t="shared" si="108"/>
        <v>Robert R. Smith, P.C._01-01-20</v>
      </c>
      <c r="F628" s="2" t="s">
        <v>1200</v>
      </c>
      <c r="G628" s="2" t="s">
        <v>1241</v>
      </c>
      <c r="H628" s="2" t="s">
        <v>1220</v>
      </c>
      <c r="I628" s="2" t="s">
        <v>1221</v>
      </c>
      <c r="J628" s="2" t="s">
        <v>1234</v>
      </c>
      <c r="M628" s="5" t="str">
        <f t="shared" si="99"/>
        <v>Mid</v>
      </c>
      <c r="N628" s="5" t="str">
        <f t="shared" si="100"/>
        <v>Tax-Staff-Mid</v>
      </c>
      <c r="O628" s="5" t="str">
        <f t="shared" si="101"/>
        <v>Tax-Reviewer-Mid</v>
      </c>
      <c r="P628" s="5" t="str">
        <f t="shared" si="102"/>
        <v>Tax-Signer-Mid</v>
      </c>
      <c r="Q628" s="6">
        <v>0.75</v>
      </c>
      <c r="R628" s="6">
        <v>0.15000000000000002</v>
      </c>
      <c r="S628" s="6">
        <v>7.5000000000000011E-2</v>
      </c>
      <c r="T628" s="7">
        <f t="shared" si="109"/>
        <v>0.97500000000000009</v>
      </c>
      <c r="U628" s="6" t="e">
        <f>SUMIFS([1]Sheet1!$L:$L,[1]Sheet1!$I:$I,AJ628,[1]Sheet1!$C:$C,A628)</f>
        <v>#VALUE!</v>
      </c>
      <c r="V628" s="6"/>
      <c r="W628" s="6"/>
      <c r="X628" s="7" t="e">
        <f t="shared" si="103"/>
        <v>#VALUE!</v>
      </c>
      <c r="Y628" s="6"/>
      <c r="AJ628" s="5" t="str">
        <f t="shared" si="110"/>
        <v>MO Texas Franchise Tax Return</v>
      </c>
      <c r="AK628" s="5" t="str">
        <f t="shared" si="105"/>
        <v>MO-Tax Services-ANN-Texas Franchise Tax Return_Mid</v>
      </c>
      <c r="AL628" s="5" t="str">
        <f t="shared" si="106"/>
        <v>Robert R_1120S_20-1627083_MO Texas Franchise Tax Return</v>
      </c>
      <c r="AM628" s="5" t="str">
        <f t="shared" si="107"/>
        <v>Robert R_1120S_20-1627083_MO-Tax Services-ANN-Texas Franchise Tax Return_Mid</v>
      </c>
    </row>
    <row r="629" spans="1:39" x14ac:dyDescent="0.25">
      <c r="A629" s="2" t="s">
        <v>868</v>
      </c>
      <c r="B629" s="2" t="s">
        <v>869</v>
      </c>
      <c r="C629" s="2" t="s">
        <v>1196</v>
      </c>
      <c r="D629" s="8">
        <v>43831</v>
      </c>
      <c r="E629" s="5" t="str">
        <f t="shared" si="108"/>
        <v>Robertson, Carl A_01-01-20</v>
      </c>
      <c r="F629" s="2" t="s">
        <v>1203</v>
      </c>
      <c r="G629" s="2" t="s">
        <v>1241</v>
      </c>
      <c r="H629" s="2" t="s">
        <v>1220</v>
      </c>
      <c r="I629" s="2" t="s">
        <v>1221</v>
      </c>
      <c r="J629" s="2" t="s">
        <v>1234</v>
      </c>
      <c r="M629" s="5" t="str">
        <f t="shared" si="99"/>
        <v>Mid</v>
      </c>
      <c r="N629" s="5" t="str">
        <f t="shared" si="100"/>
        <v>Tax-Staff-Mid</v>
      </c>
      <c r="O629" s="5" t="str">
        <f t="shared" si="101"/>
        <v>Tax-Reviewer-Mid</v>
      </c>
      <c r="P629" s="5" t="str">
        <f t="shared" si="102"/>
        <v>Tax-Signer-Mid</v>
      </c>
      <c r="Q629" s="6">
        <v>2.7401969696969677</v>
      </c>
      <c r="R629" s="6">
        <v>0.5480393939393936</v>
      </c>
      <c r="S629" s="6">
        <v>0.2740196969696968</v>
      </c>
      <c r="T629" s="7">
        <f t="shared" si="109"/>
        <v>3.562256060606058</v>
      </c>
      <c r="U629" s="6" t="e">
        <f>SUMIFS([1]Sheet1!$L:$L,[1]Sheet1!$I:$I,AJ629,[1]Sheet1!$C:$C,A629)</f>
        <v>#VALUE!</v>
      </c>
      <c r="V629" s="6"/>
      <c r="W629" s="6"/>
      <c r="X629" s="7" t="e">
        <f t="shared" si="103"/>
        <v>#VALUE!</v>
      </c>
      <c r="Y629" s="6"/>
      <c r="AJ629" s="5" t="str">
        <f t="shared" si="110"/>
        <v>NM 1040 - Personal</v>
      </c>
      <c r="AK629" s="5" t="str">
        <f t="shared" si="105"/>
        <v>NM-Tax Services-ANN-1040 - Personal_Mid</v>
      </c>
      <c r="AL629" s="5" t="str">
        <f t="shared" si="106"/>
        <v>Robert_5820_NM 1040 - Personal</v>
      </c>
      <c r="AM629" s="5" t="str">
        <f t="shared" si="107"/>
        <v>Robert_5820_NM-Tax Services-ANN-1040 - Personal_Mid</v>
      </c>
    </row>
    <row r="630" spans="1:39" x14ac:dyDescent="0.25">
      <c r="A630" s="2" t="s">
        <v>866</v>
      </c>
      <c r="B630" s="2" t="s">
        <v>867</v>
      </c>
      <c r="C630" s="2" t="s">
        <v>1197</v>
      </c>
      <c r="D630" s="8">
        <v>43831</v>
      </c>
      <c r="E630" s="5" t="str">
        <f t="shared" si="108"/>
        <v>Roberts, (Ralph) R_01-01-20</v>
      </c>
      <c r="F630" s="2" t="s">
        <v>1203</v>
      </c>
      <c r="G630" s="2" t="s">
        <v>1241</v>
      </c>
      <c r="H630" s="2" t="s">
        <v>1220</v>
      </c>
      <c r="I630" s="2" t="s">
        <v>1221</v>
      </c>
      <c r="J630" s="2" t="s">
        <v>1234</v>
      </c>
      <c r="M630" s="5" t="str">
        <f t="shared" si="99"/>
        <v>Mid</v>
      </c>
      <c r="N630" s="5" t="str">
        <f t="shared" si="100"/>
        <v>Tax-Staff-Mid</v>
      </c>
      <c r="O630" s="5" t="str">
        <f t="shared" si="101"/>
        <v>Tax-Reviewer-Mid</v>
      </c>
      <c r="P630" s="5" t="str">
        <f t="shared" si="102"/>
        <v>Tax-Signer-Mid</v>
      </c>
      <c r="Q630" s="6">
        <v>2.7401969696969677</v>
      </c>
      <c r="R630" s="6">
        <v>0.5480393939393936</v>
      </c>
      <c r="S630" s="6">
        <v>0.2740196969696968</v>
      </c>
      <c r="T630" s="7">
        <f t="shared" si="109"/>
        <v>3.562256060606058</v>
      </c>
      <c r="U630" s="6" t="e">
        <f>SUMIFS([1]Sheet1!$L:$L,[1]Sheet1!$I:$I,AJ630,[1]Sheet1!$C:$C,A630)</f>
        <v>#VALUE!</v>
      </c>
      <c r="V630" s="6"/>
      <c r="W630" s="6"/>
      <c r="X630" s="7" t="e">
        <f t="shared" si="103"/>
        <v>#VALUE!</v>
      </c>
      <c r="Y630" s="6"/>
      <c r="AJ630" s="5" t="str">
        <f t="shared" si="110"/>
        <v>MO 1040 - Personal</v>
      </c>
      <c r="AK630" s="5" t="str">
        <f t="shared" si="105"/>
        <v>MO-Tax Services-ANN-1040 - Personal_Mid</v>
      </c>
      <c r="AL630" s="5" t="str">
        <f t="shared" si="106"/>
        <v>Robert_6795_MO 1040 - Personal</v>
      </c>
      <c r="AM630" s="5" t="str">
        <f t="shared" si="107"/>
        <v>Robert_6795_MO-Tax Services-ANN-1040 - Personal_Mid</v>
      </c>
    </row>
    <row r="631" spans="1:39" x14ac:dyDescent="0.25">
      <c r="A631" s="2" t="s">
        <v>1093</v>
      </c>
      <c r="B631" s="2" t="s">
        <v>1094</v>
      </c>
      <c r="C631" s="2" t="s">
        <v>1196</v>
      </c>
      <c r="D631" s="8">
        <v>43831</v>
      </c>
      <c r="E631" s="5" t="str">
        <f t="shared" si="108"/>
        <v>Rod Rodriguez_01-01-20</v>
      </c>
      <c r="F631" s="2" t="s">
        <v>1203</v>
      </c>
      <c r="G631" s="2" t="s">
        <v>1241</v>
      </c>
      <c r="H631" s="2" t="s">
        <v>1220</v>
      </c>
      <c r="I631" s="2" t="s">
        <v>1223</v>
      </c>
      <c r="J631" s="2" t="s">
        <v>1234</v>
      </c>
      <c r="M631" s="5" t="str">
        <f t="shared" si="99"/>
        <v>Basic</v>
      </c>
      <c r="N631" s="5" t="str">
        <f t="shared" si="100"/>
        <v>Tax-Staff-Basic</v>
      </c>
      <c r="O631" s="5" t="str">
        <f t="shared" si="101"/>
        <v>Tax-Reviewer-Basic</v>
      </c>
      <c r="P631" s="5" t="str">
        <f t="shared" si="102"/>
        <v>Tax-Signer-Basic</v>
      </c>
      <c r="Q631" s="6">
        <v>1.4675000000000016</v>
      </c>
      <c r="R631" s="6">
        <v>0.29350000000000032</v>
      </c>
      <c r="S631" s="6">
        <v>0.14675000000000016</v>
      </c>
      <c r="T631" s="7">
        <f t="shared" si="109"/>
        <v>1.9077500000000021</v>
      </c>
      <c r="U631" s="6" t="e">
        <f>SUMIFS([1]Sheet1!$L:$L,[1]Sheet1!$I:$I,AJ631,[1]Sheet1!$C:$C,A631)</f>
        <v>#VALUE!</v>
      </c>
      <c r="V631" s="6"/>
      <c r="W631" s="6"/>
      <c r="X631" s="7" t="e">
        <f t="shared" si="103"/>
        <v>#VALUE!</v>
      </c>
      <c r="Y631" s="6"/>
      <c r="AJ631" s="5" t="str">
        <f t="shared" si="110"/>
        <v>NM 1040 - Personal</v>
      </c>
      <c r="AK631" s="5" t="str">
        <f t="shared" si="105"/>
        <v>NM-Tax Services-ANN-1040 - Personal_Basic</v>
      </c>
      <c r="AL631" s="5" t="str">
        <f t="shared" si="106"/>
        <v>Rod Ro_2794_NM 1040 - Personal</v>
      </c>
      <c r="AM631" s="5" t="str">
        <f t="shared" si="107"/>
        <v>Rod Ro_2794_NM-Tax Services-ANN-1040 - Personal_Basic</v>
      </c>
    </row>
    <row r="632" spans="1:39" x14ac:dyDescent="0.25">
      <c r="A632" s="2" t="s">
        <v>1121</v>
      </c>
      <c r="B632" s="2" t="s">
        <v>1122</v>
      </c>
      <c r="C632" s="2" t="s">
        <v>1196</v>
      </c>
      <c r="D632" s="8">
        <v>43831</v>
      </c>
      <c r="E632" s="5" t="str">
        <f t="shared" si="108"/>
        <v>Rodgers, Michael R &amp; Lori G_01-01-20</v>
      </c>
      <c r="F632" s="2" t="s">
        <v>1203</v>
      </c>
      <c r="G632" s="2" t="s">
        <v>1241</v>
      </c>
      <c r="H632" s="2" t="s">
        <v>1220</v>
      </c>
      <c r="I632" s="2" t="s">
        <v>1222</v>
      </c>
      <c r="J632" s="2" t="s">
        <v>1234</v>
      </c>
      <c r="M632" s="5" t="str">
        <f t="shared" si="99"/>
        <v>Adv</v>
      </c>
      <c r="N632" s="5" t="str">
        <f t="shared" si="100"/>
        <v>Tax-Staff-Adv</v>
      </c>
      <c r="O632" s="5" t="str">
        <f t="shared" si="101"/>
        <v>Tax-Reviewer-Adv</v>
      </c>
      <c r="P632" s="5" t="str">
        <f t="shared" si="102"/>
        <v>Tax-Signer-Adv</v>
      </c>
      <c r="Q632" s="6">
        <v>4.5832500000000005</v>
      </c>
      <c r="R632" s="6">
        <v>0.91665000000000019</v>
      </c>
      <c r="S632" s="6">
        <v>0.45832500000000009</v>
      </c>
      <c r="T632" s="7">
        <f t="shared" si="109"/>
        <v>5.9582250000000005</v>
      </c>
      <c r="U632" s="6" t="e">
        <f>SUMIFS([1]Sheet1!$L:$L,[1]Sheet1!$I:$I,AJ632,[1]Sheet1!$C:$C,A632)</f>
        <v>#VALUE!</v>
      </c>
      <c r="V632" s="6"/>
      <c r="W632" s="6"/>
      <c r="X632" s="7" t="e">
        <f t="shared" si="103"/>
        <v>#VALUE!</v>
      </c>
      <c r="Y632" s="6"/>
      <c r="AJ632" s="5" t="str">
        <f t="shared" si="110"/>
        <v>NM 1040 - Personal</v>
      </c>
      <c r="AK632" s="5" t="str">
        <f t="shared" si="105"/>
        <v>NM-Tax Services-ANN-1040 - Personal_Adv</v>
      </c>
      <c r="AL632" s="5" t="str">
        <f t="shared" si="106"/>
        <v>Rodger_3005_NM 1040 - Personal</v>
      </c>
      <c r="AM632" s="5" t="str">
        <f t="shared" si="107"/>
        <v>Rodger_3005_NM-Tax Services-ANN-1040 - Personal_Adv</v>
      </c>
    </row>
    <row r="633" spans="1:39" x14ac:dyDescent="0.25">
      <c r="A633" s="2" t="s">
        <v>1055</v>
      </c>
      <c r="B633" s="2" t="s">
        <v>1056</v>
      </c>
      <c r="C633" s="2" t="s">
        <v>1196</v>
      </c>
      <c r="D633" s="8">
        <v>43831</v>
      </c>
      <c r="E633" s="5" t="str">
        <f t="shared" si="108"/>
        <v>Rodriguez, Saul_01-01-20</v>
      </c>
      <c r="F633" s="2" t="s">
        <v>1203</v>
      </c>
      <c r="G633" s="2" t="s">
        <v>1241</v>
      </c>
      <c r="H633" s="2" t="s">
        <v>1220</v>
      </c>
      <c r="I633" s="2" t="s">
        <v>1223</v>
      </c>
      <c r="J633" s="2" t="s">
        <v>1234</v>
      </c>
      <c r="M633" s="5" t="str">
        <f t="shared" si="99"/>
        <v>Basic</v>
      </c>
      <c r="N633" s="5" t="str">
        <f t="shared" si="100"/>
        <v>Tax-Staff-Basic</v>
      </c>
      <c r="O633" s="5" t="str">
        <f t="shared" si="101"/>
        <v>Tax-Reviewer-Basic</v>
      </c>
      <c r="P633" s="5" t="str">
        <f t="shared" si="102"/>
        <v>Tax-Signer-Basic</v>
      </c>
      <c r="Q633" s="6">
        <v>1.4675000000000016</v>
      </c>
      <c r="R633" s="6">
        <v>0.29350000000000032</v>
      </c>
      <c r="S633" s="6">
        <v>0.14675000000000016</v>
      </c>
      <c r="T633" s="7">
        <f t="shared" si="109"/>
        <v>1.9077500000000021</v>
      </c>
      <c r="U633" s="6" t="e">
        <f>SUMIFS([1]Sheet1!$L:$L,[1]Sheet1!$I:$I,AJ633,[1]Sheet1!$C:$C,A633)</f>
        <v>#VALUE!</v>
      </c>
      <c r="V633" s="6"/>
      <c r="W633" s="6"/>
      <c r="X633" s="7" t="e">
        <f t="shared" si="103"/>
        <v>#VALUE!</v>
      </c>
      <c r="Y633" s="6"/>
      <c r="AJ633" s="5" t="str">
        <f t="shared" si="110"/>
        <v>NM 1040 - Personal</v>
      </c>
      <c r="AK633" s="5" t="str">
        <f t="shared" si="105"/>
        <v>NM-Tax Services-ANN-1040 - Personal_Basic</v>
      </c>
      <c r="AL633" s="5" t="str">
        <f t="shared" si="106"/>
        <v>Rodrig_1_NM 1040 - Personal</v>
      </c>
      <c r="AM633" s="5" t="str">
        <f t="shared" si="107"/>
        <v>Rodrig_1_NM-Tax Services-ANN-1040 - Personal_Basic</v>
      </c>
    </row>
    <row r="634" spans="1:39" x14ac:dyDescent="0.25">
      <c r="A634" s="2" t="s">
        <v>870</v>
      </c>
      <c r="B634" s="2" t="s">
        <v>871</v>
      </c>
      <c r="C634" s="2" t="s">
        <v>1197</v>
      </c>
      <c r="D634" s="8">
        <v>43831</v>
      </c>
      <c r="E634" s="5" t="str">
        <f t="shared" si="108"/>
        <v>Rodriguez, Abel &amp; Melinda L_01-01-20</v>
      </c>
      <c r="F634" s="2" t="s">
        <v>1203</v>
      </c>
      <c r="G634" s="2" t="s">
        <v>1241</v>
      </c>
      <c r="H634" s="2" t="s">
        <v>1220</v>
      </c>
      <c r="I634" s="2" t="s">
        <v>1221</v>
      </c>
      <c r="J634" s="2" t="s">
        <v>1234</v>
      </c>
      <c r="M634" s="5" t="str">
        <f t="shared" si="99"/>
        <v>Mid</v>
      </c>
      <c r="N634" s="5" t="str">
        <f t="shared" si="100"/>
        <v>Tax-Staff-Mid</v>
      </c>
      <c r="O634" s="5" t="str">
        <f t="shared" si="101"/>
        <v>Tax-Reviewer-Mid</v>
      </c>
      <c r="P634" s="5" t="str">
        <f t="shared" si="102"/>
        <v>Tax-Signer-Mid</v>
      </c>
      <c r="Q634" s="6">
        <v>2.7401969696969677</v>
      </c>
      <c r="R634" s="6">
        <v>0.5480393939393936</v>
      </c>
      <c r="S634" s="6">
        <v>0.2740196969696968</v>
      </c>
      <c r="T634" s="7">
        <f t="shared" si="109"/>
        <v>3.562256060606058</v>
      </c>
      <c r="U634" s="6" t="e">
        <f>SUMIFS([1]Sheet1!$L:$L,[1]Sheet1!$I:$I,AJ634,[1]Sheet1!$C:$C,A634)</f>
        <v>#VALUE!</v>
      </c>
      <c r="V634" s="6"/>
      <c r="W634" s="6"/>
      <c r="X634" s="7" t="e">
        <f t="shared" si="103"/>
        <v>#VALUE!</v>
      </c>
      <c r="Y634" s="6"/>
      <c r="AJ634" s="5" t="str">
        <f t="shared" si="110"/>
        <v>MO 1040 - Personal</v>
      </c>
      <c r="AK634" s="5" t="str">
        <f t="shared" si="105"/>
        <v>MO-Tax Services-ANN-1040 - Personal_Mid</v>
      </c>
      <c r="AL634" s="5" t="str">
        <f t="shared" si="106"/>
        <v>Rodrig_6732_MO 1040 - Personal</v>
      </c>
      <c r="AM634" s="5" t="str">
        <f t="shared" si="107"/>
        <v>Rodrig_6732_MO-Tax Services-ANN-1040 - Personal_Mid</v>
      </c>
    </row>
    <row r="635" spans="1:39" x14ac:dyDescent="0.25">
      <c r="A635" s="2" t="s">
        <v>872</v>
      </c>
      <c r="B635" s="2" t="s">
        <v>873</v>
      </c>
      <c r="C635" s="2" t="s">
        <v>1197</v>
      </c>
      <c r="D635" s="8">
        <v>43831</v>
      </c>
      <c r="E635" s="5" t="str">
        <f t="shared" si="108"/>
        <v>Rosa, Luciana_01-01-20</v>
      </c>
      <c r="F635" s="2" t="s">
        <v>1203</v>
      </c>
      <c r="G635" s="2" t="s">
        <v>1241</v>
      </c>
      <c r="H635" s="2" t="s">
        <v>1220</v>
      </c>
      <c r="I635" s="2" t="s">
        <v>1221</v>
      </c>
      <c r="J635" s="2" t="s">
        <v>1234</v>
      </c>
      <c r="M635" s="5" t="str">
        <f t="shared" si="99"/>
        <v>Mid</v>
      </c>
      <c r="N635" s="5" t="str">
        <f t="shared" si="100"/>
        <v>Tax-Staff-Mid</v>
      </c>
      <c r="O635" s="5" t="str">
        <f t="shared" si="101"/>
        <v>Tax-Reviewer-Mid</v>
      </c>
      <c r="P635" s="5" t="str">
        <f t="shared" si="102"/>
        <v>Tax-Signer-Mid</v>
      </c>
      <c r="Q635" s="6">
        <v>2.7401969696969677</v>
      </c>
      <c r="R635" s="6">
        <v>0.5480393939393936</v>
      </c>
      <c r="S635" s="6">
        <v>0.2740196969696968</v>
      </c>
      <c r="T635" s="7">
        <f t="shared" si="109"/>
        <v>3.562256060606058</v>
      </c>
      <c r="U635" s="6" t="e">
        <f>SUMIFS([1]Sheet1!$L:$L,[1]Sheet1!$I:$I,AJ635,[1]Sheet1!$C:$C,A635)</f>
        <v>#VALUE!</v>
      </c>
      <c r="V635" s="6"/>
      <c r="W635" s="6"/>
      <c r="X635" s="7" t="e">
        <f t="shared" si="103"/>
        <v>#VALUE!</v>
      </c>
      <c r="Y635" s="6"/>
      <c r="AJ635" s="5" t="str">
        <f t="shared" si="110"/>
        <v>MO 1040 - Personal</v>
      </c>
      <c r="AK635" s="5" t="str">
        <f t="shared" si="105"/>
        <v>MO-Tax Services-ANN-1040 - Personal_Mid</v>
      </c>
      <c r="AL635" s="5" t="str">
        <f t="shared" si="106"/>
        <v>Rosa, _1109_MO 1040 - Personal</v>
      </c>
      <c r="AM635" s="5" t="str">
        <f t="shared" si="107"/>
        <v>Rosa, _1109_MO-Tax Services-ANN-1040 - Personal_Mid</v>
      </c>
    </row>
    <row r="636" spans="1:39" x14ac:dyDescent="0.25">
      <c r="A636" s="2" t="s">
        <v>475</v>
      </c>
      <c r="B636" s="2" t="s">
        <v>476</v>
      </c>
      <c r="C636" s="2" t="s">
        <v>1196</v>
      </c>
      <c r="D636" s="8">
        <v>43831</v>
      </c>
      <c r="E636" s="5" t="str">
        <f t="shared" si="108"/>
        <v>Ruiz, Adrian Camacho_01-01-20</v>
      </c>
      <c r="F636" s="2" t="s">
        <v>1203</v>
      </c>
      <c r="G636" s="2" t="s">
        <v>1241</v>
      </c>
      <c r="H636" s="2" t="s">
        <v>1220</v>
      </c>
      <c r="I636" s="2" t="s">
        <v>1223</v>
      </c>
      <c r="J636" s="2" t="s">
        <v>1234</v>
      </c>
      <c r="M636" s="5" t="str">
        <f t="shared" si="99"/>
        <v>Basic</v>
      </c>
      <c r="N636" s="5" t="str">
        <f t="shared" si="100"/>
        <v>Tax-Staff-Basic</v>
      </c>
      <c r="O636" s="5" t="str">
        <f t="shared" si="101"/>
        <v>Tax-Reviewer-Basic</v>
      </c>
      <c r="P636" s="5" t="str">
        <f t="shared" si="102"/>
        <v>Tax-Signer-Basic</v>
      </c>
      <c r="Q636" s="6">
        <v>1.4675000000000016</v>
      </c>
      <c r="R636" s="6">
        <v>0.29350000000000032</v>
      </c>
      <c r="S636" s="6">
        <v>0.14675000000000016</v>
      </c>
      <c r="T636" s="7">
        <f t="shared" si="109"/>
        <v>1.9077500000000021</v>
      </c>
      <c r="U636" s="6" t="e">
        <f>SUMIFS([1]Sheet1!$L:$L,[1]Sheet1!$I:$I,AJ636,[1]Sheet1!$C:$C,A636)</f>
        <v>#VALUE!</v>
      </c>
      <c r="V636" s="6"/>
      <c r="W636" s="6"/>
      <c r="X636" s="7" t="e">
        <f t="shared" si="103"/>
        <v>#VALUE!</v>
      </c>
      <c r="Y636" s="6"/>
      <c r="AJ636" s="5" t="str">
        <f t="shared" ref="AJ636:AJ667" si="111">C636&amp;" "&amp;F636</f>
        <v>NM 1040 - Personal</v>
      </c>
      <c r="AK636" s="5" t="str">
        <f t="shared" si="105"/>
        <v>NM-Tax Services-ANN-1040 - Personal_Basic</v>
      </c>
      <c r="AL636" s="5" t="str">
        <f t="shared" si="106"/>
        <v>Ruiz, _0725_NM 1040 - Personal</v>
      </c>
      <c r="AM636" s="5" t="str">
        <f t="shared" si="107"/>
        <v>Ruiz, _0725_NM-Tax Services-ANN-1040 - Personal_Basic</v>
      </c>
    </row>
    <row r="637" spans="1:39" x14ac:dyDescent="0.25">
      <c r="A637" s="2" t="s">
        <v>287</v>
      </c>
      <c r="B637" s="2" t="s">
        <v>288</v>
      </c>
      <c r="C637" s="2" t="s">
        <v>1196</v>
      </c>
      <c r="D637" s="8">
        <v>43831</v>
      </c>
      <c r="E637" s="5" t="str">
        <f t="shared" si="108"/>
        <v>Ryan Odowd Photography LLC_01-01-20</v>
      </c>
      <c r="F637" s="2" t="s">
        <v>1204</v>
      </c>
      <c r="G637" s="2" t="s">
        <v>1241</v>
      </c>
      <c r="H637" s="2" t="s">
        <v>1220</v>
      </c>
      <c r="I637" s="2" t="s">
        <v>1223</v>
      </c>
      <c r="J637" s="2" t="s">
        <v>1234</v>
      </c>
      <c r="M637" s="5" t="str">
        <f t="shared" si="99"/>
        <v>Basic</v>
      </c>
      <c r="N637" s="5" t="str">
        <f t="shared" si="100"/>
        <v>Tax-Staff-Basic</v>
      </c>
      <c r="O637" s="5" t="str">
        <f t="shared" si="101"/>
        <v>Tax-Reviewer-Basic</v>
      </c>
      <c r="P637" s="5" t="str">
        <f t="shared" si="102"/>
        <v>Tax-Signer-Basic</v>
      </c>
      <c r="Q637" s="6">
        <v>1.4675000000000016</v>
      </c>
      <c r="R637" s="6">
        <v>0.29350000000000032</v>
      </c>
      <c r="S637" s="6">
        <v>0.14675000000000016</v>
      </c>
      <c r="T637" s="7">
        <f t="shared" si="109"/>
        <v>1.9077500000000021</v>
      </c>
      <c r="U637" s="6" t="e">
        <f>SUMIFS([1]Sheet1!$L:$L,[1]Sheet1!$I:$I,AJ637,[1]Sheet1!$C:$C,A637)</f>
        <v>#VALUE!</v>
      </c>
      <c r="V637" s="6"/>
      <c r="W637" s="6"/>
      <c r="X637" s="7" t="e">
        <f t="shared" si="103"/>
        <v>#VALUE!</v>
      </c>
      <c r="Y637" s="6"/>
      <c r="AJ637" s="5" t="str">
        <f t="shared" si="111"/>
        <v>NM 1120S - S Corporation</v>
      </c>
      <c r="AK637" s="5" t="str">
        <f t="shared" si="105"/>
        <v>NM-Tax Services-ANN-1120S - S Corporation_Basic</v>
      </c>
      <c r="AL637" s="5" t="str">
        <f t="shared" si="106"/>
        <v>Ryan Odo_1120S_46-2016220_NM 1120S - S Corporation</v>
      </c>
      <c r="AM637" s="5" t="str">
        <f t="shared" si="107"/>
        <v>Ryan Odo_1120S_46-2016220_NM-Tax Services-ANN-1120S - S Corporation_Basic</v>
      </c>
    </row>
    <row r="638" spans="1:39" x14ac:dyDescent="0.25">
      <c r="A638" s="2" t="s">
        <v>287</v>
      </c>
      <c r="B638" s="2" t="s">
        <v>288</v>
      </c>
      <c r="C638" s="2" t="s">
        <v>1196</v>
      </c>
      <c r="D638" s="8">
        <v>43831</v>
      </c>
      <c r="E638" s="5" t="str">
        <f t="shared" si="108"/>
        <v>Ryan Odowd Photography LLC_01-01-20</v>
      </c>
      <c r="F638" s="2" t="s">
        <v>1200</v>
      </c>
      <c r="G638" s="2" t="s">
        <v>1241</v>
      </c>
      <c r="H638" s="2" t="s">
        <v>1220</v>
      </c>
      <c r="I638" s="2" t="s">
        <v>1223</v>
      </c>
      <c r="J638" s="2" t="s">
        <v>1234</v>
      </c>
      <c r="M638" s="5" t="str">
        <f t="shared" si="99"/>
        <v>Basic</v>
      </c>
      <c r="N638" s="5" t="str">
        <f t="shared" si="100"/>
        <v>Tax-Staff-Basic</v>
      </c>
      <c r="O638" s="5" t="str">
        <f t="shared" si="101"/>
        <v>Tax-Reviewer-Basic</v>
      </c>
      <c r="P638" s="5" t="str">
        <f t="shared" si="102"/>
        <v>Tax-Signer-Basic</v>
      </c>
      <c r="Q638" s="6">
        <v>0.5</v>
      </c>
      <c r="R638" s="6">
        <v>0.1</v>
      </c>
      <c r="S638" s="6">
        <v>0.05</v>
      </c>
      <c r="T638" s="7">
        <f t="shared" si="109"/>
        <v>0.65</v>
      </c>
      <c r="U638" s="6" t="e">
        <f>SUMIFS([1]Sheet1!$L:$L,[1]Sheet1!$I:$I,AJ638,[1]Sheet1!$C:$C,A638)</f>
        <v>#VALUE!</v>
      </c>
      <c r="V638" s="6"/>
      <c r="W638" s="6"/>
      <c r="X638" s="7" t="e">
        <f t="shared" si="103"/>
        <v>#VALUE!</v>
      </c>
      <c r="Y638" s="6"/>
      <c r="AJ638" s="5" t="str">
        <f t="shared" si="111"/>
        <v>NM Texas Franchise Tax Return</v>
      </c>
      <c r="AK638" s="5" t="str">
        <f t="shared" si="105"/>
        <v>NM-Tax Services-ANN-Texas Franchise Tax Return_Basic</v>
      </c>
      <c r="AL638" s="5" t="str">
        <f t="shared" si="106"/>
        <v>Ryan Odo_1120S_46-2016220_NM Texas Franchise Tax Return</v>
      </c>
      <c r="AM638" s="5" t="str">
        <f t="shared" si="107"/>
        <v>Ryan Odo_1120S_46-2016220_NM-Tax Services-ANN-Texas Franchise Tax Return_Basic</v>
      </c>
    </row>
    <row r="639" spans="1:39" x14ac:dyDescent="0.25">
      <c r="A639" s="2" t="s">
        <v>1034</v>
      </c>
      <c r="B639" s="2" t="s">
        <v>1035</v>
      </c>
      <c r="C639" s="2" t="s">
        <v>1196</v>
      </c>
      <c r="D639" s="8">
        <v>43831</v>
      </c>
      <c r="E639" s="5" t="str">
        <f t="shared" si="108"/>
        <v>Saelg, Carlene_01-01-20</v>
      </c>
      <c r="F639" s="2" t="s">
        <v>1203</v>
      </c>
      <c r="G639" s="2" t="s">
        <v>1241</v>
      </c>
      <c r="H639" s="2" t="s">
        <v>1220</v>
      </c>
      <c r="I639" s="2" t="s">
        <v>1223</v>
      </c>
      <c r="J639" s="2" t="s">
        <v>1234</v>
      </c>
      <c r="M639" s="5" t="str">
        <f t="shared" si="99"/>
        <v>Basic</v>
      </c>
      <c r="N639" s="5" t="str">
        <f t="shared" si="100"/>
        <v>Tax-Staff-Basic</v>
      </c>
      <c r="O639" s="5" t="str">
        <f t="shared" si="101"/>
        <v>Tax-Reviewer-Basic</v>
      </c>
      <c r="P639" s="5" t="str">
        <f t="shared" si="102"/>
        <v>Tax-Signer-Basic</v>
      </c>
      <c r="Q639" s="6">
        <v>1.4675000000000016</v>
      </c>
      <c r="R639" s="6">
        <v>0.29350000000000032</v>
      </c>
      <c r="S639" s="6">
        <v>0.14675000000000016</v>
      </c>
      <c r="T639" s="7">
        <f t="shared" si="109"/>
        <v>1.9077500000000021</v>
      </c>
      <c r="U639" s="6" t="e">
        <f>SUMIFS([1]Sheet1!$L:$L,[1]Sheet1!$I:$I,AJ639,[1]Sheet1!$C:$C,A639)</f>
        <v>#VALUE!</v>
      </c>
      <c r="V639" s="6"/>
      <c r="W639" s="6"/>
      <c r="X639" s="7" t="e">
        <f t="shared" si="103"/>
        <v>#VALUE!</v>
      </c>
      <c r="Y639" s="6"/>
      <c r="AJ639" s="5" t="str">
        <f t="shared" si="111"/>
        <v>NM 1040 - Personal</v>
      </c>
      <c r="AK639" s="5" t="str">
        <f t="shared" si="105"/>
        <v>NM-Tax Services-ANN-1040 - Personal_Basic</v>
      </c>
      <c r="AL639" s="5" t="str">
        <f t="shared" si="106"/>
        <v>Saelg,_1_NM 1040 - Personal</v>
      </c>
      <c r="AM639" s="5" t="str">
        <f t="shared" si="107"/>
        <v>Saelg,_1_NM-Tax Services-ANN-1040 - Personal_Basic</v>
      </c>
    </row>
    <row r="640" spans="1:39" x14ac:dyDescent="0.25">
      <c r="A640" s="2" t="s">
        <v>1127</v>
      </c>
      <c r="B640" s="2" t="s">
        <v>1128</v>
      </c>
      <c r="C640" s="2" t="s">
        <v>1196</v>
      </c>
      <c r="D640" s="8">
        <v>43831</v>
      </c>
      <c r="E640" s="5" t="str">
        <f t="shared" si="108"/>
        <v>Salas, Daniel_01-01-20</v>
      </c>
      <c r="F640" s="2" t="s">
        <v>1203</v>
      </c>
      <c r="G640" s="2" t="s">
        <v>1241</v>
      </c>
      <c r="H640" s="2" t="s">
        <v>1220</v>
      </c>
      <c r="I640" s="2" t="s">
        <v>1223</v>
      </c>
      <c r="J640" s="2" t="s">
        <v>1234</v>
      </c>
      <c r="M640" s="5" t="str">
        <f t="shared" si="99"/>
        <v>Basic</v>
      </c>
      <c r="N640" s="5" t="str">
        <f t="shared" si="100"/>
        <v>Tax-Staff-Basic</v>
      </c>
      <c r="O640" s="5" t="str">
        <f t="shared" si="101"/>
        <v>Tax-Reviewer-Basic</v>
      </c>
      <c r="P640" s="5" t="str">
        <f t="shared" si="102"/>
        <v>Tax-Signer-Basic</v>
      </c>
      <c r="Q640" s="6">
        <v>1.4675000000000016</v>
      </c>
      <c r="R640" s="6">
        <v>0.29350000000000032</v>
      </c>
      <c r="S640" s="6">
        <v>0.14675000000000016</v>
      </c>
      <c r="T640" s="7">
        <f t="shared" si="109"/>
        <v>1.9077500000000021</v>
      </c>
      <c r="U640" s="6" t="e">
        <f>SUMIFS([1]Sheet1!$L:$L,[1]Sheet1!$I:$I,AJ640,[1]Sheet1!$C:$C,A640)</f>
        <v>#VALUE!</v>
      </c>
      <c r="V640" s="6"/>
      <c r="W640" s="6"/>
      <c r="X640" s="7" t="e">
        <f t="shared" si="103"/>
        <v>#VALUE!</v>
      </c>
      <c r="Y640" s="6"/>
      <c r="AJ640" s="5" t="str">
        <f t="shared" si="111"/>
        <v>NM 1040 - Personal</v>
      </c>
      <c r="AK640" s="5" t="str">
        <f t="shared" si="105"/>
        <v>NM-Tax Services-ANN-1040 - Personal_Basic</v>
      </c>
      <c r="AL640" s="5" t="str">
        <f t="shared" si="106"/>
        <v>Salas,_4191_NM 1040 - Personal</v>
      </c>
      <c r="AM640" s="5" t="str">
        <f t="shared" si="107"/>
        <v>Salas,_4191_NM-Tax Services-ANN-1040 - Personal_Basic</v>
      </c>
    </row>
    <row r="641" spans="1:39" x14ac:dyDescent="0.25">
      <c r="A641" s="2" t="s">
        <v>874</v>
      </c>
      <c r="B641" s="2" t="s">
        <v>875</v>
      </c>
      <c r="C641" s="2" t="s">
        <v>1197</v>
      </c>
      <c r="D641" s="8">
        <v>43831</v>
      </c>
      <c r="E641" s="5" t="str">
        <f t="shared" si="108"/>
        <v>Salim, Nasim_01-01-20</v>
      </c>
      <c r="F641" s="2" t="s">
        <v>1203</v>
      </c>
      <c r="G641" s="2" t="s">
        <v>1241</v>
      </c>
      <c r="H641" s="2" t="s">
        <v>1220</v>
      </c>
      <c r="I641" s="2" t="s">
        <v>1221</v>
      </c>
      <c r="J641" s="2" t="s">
        <v>1234</v>
      </c>
      <c r="M641" s="5" t="str">
        <f t="shared" si="99"/>
        <v>Mid</v>
      </c>
      <c r="N641" s="5" t="str">
        <f t="shared" si="100"/>
        <v>Tax-Staff-Mid</v>
      </c>
      <c r="O641" s="5" t="str">
        <f t="shared" si="101"/>
        <v>Tax-Reviewer-Mid</v>
      </c>
      <c r="P641" s="5" t="str">
        <f t="shared" si="102"/>
        <v>Tax-Signer-Mid</v>
      </c>
      <c r="Q641" s="6">
        <v>2.7401969696969677</v>
      </c>
      <c r="R641" s="6">
        <v>0.5480393939393936</v>
      </c>
      <c r="S641" s="6">
        <v>0.2740196969696968</v>
      </c>
      <c r="T641" s="7">
        <f t="shared" si="109"/>
        <v>3.562256060606058</v>
      </c>
      <c r="U641" s="6" t="e">
        <f>SUMIFS([1]Sheet1!$L:$L,[1]Sheet1!$I:$I,AJ641,[1]Sheet1!$C:$C,A641)</f>
        <v>#VALUE!</v>
      </c>
      <c r="V641" s="6"/>
      <c r="W641" s="6"/>
      <c r="X641" s="7" t="e">
        <f t="shared" si="103"/>
        <v>#VALUE!</v>
      </c>
      <c r="Y641" s="6"/>
      <c r="AJ641" s="5" t="str">
        <f t="shared" si="111"/>
        <v>MO 1040 - Personal</v>
      </c>
      <c r="AK641" s="5" t="str">
        <f t="shared" si="105"/>
        <v>MO-Tax Services-ANN-1040 - Personal_Mid</v>
      </c>
      <c r="AL641" s="5" t="str">
        <f t="shared" si="106"/>
        <v>Salim,_0336_MO 1040 - Personal</v>
      </c>
      <c r="AM641" s="5" t="str">
        <f t="shared" si="107"/>
        <v>Salim,_0336_MO-Tax Services-ANN-1040 - Personal_Mid</v>
      </c>
    </row>
    <row r="642" spans="1:39" x14ac:dyDescent="0.25">
      <c r="A642" s="2" t="s">
        <v>724</v>
      </c>
      <c r="B642" s="2" t="s">
        <v>725</v>
      </c>
      <c r="C642" s="2" t="s">
        <v>1196</v>
      </c>
      <c r="D642" s="8">
        <v>43831</v>
      </c>
      <c r="E642" s="5" t="str">
        <f t="shared" si="108"/>
        <v>Sarala, Jayasree_01-01-20</v>
      </c>
      <c r="F642" s="2" t="s">
        <v>1203</v>
      </c>
      <c r="G642" s="2" t="s">
        <v>1241</v>
      </c>
      <c r="H642" s="2" t="s">
        <v>1220</v>
      </c>
      <c r="I642" s="2" t="s">
        <v>1223</v>
      </c>
      <c r="J642" s="2" t="s">
        <v>1234</v>
      </c>
      <c r="M642" s="5" t="str">
        <f t="shared" ref="M642:M705" si="112">I642</f>
        <v>Basic</v>
      </c>
      <c r="N642" s="5" t="str">
        <f t="shared" ref="N642:N705" si="113">$J642&amp;"-"&amp;"Staff"&amp;"-"&amp;$M642</f>
        <v>Tax-Staff-Basic</v>
      </c>
      <c r="O642" s="5" t="str">
        <f t="shared" ref="O642:O705" si="114">$J642&amp;"-"&amp;"Reviewer"&amp;"-"&amp;$M642</f>
        <v>Tax-Reviewer-Basic</v>
      </c>
      <c r="P642" s="5" t="str">
        <f t="shared" ref="P642:P705" si="115">$J642&amp;"-"&amp;"Signer"&amp;"-"&amp;$M642</f>
        <v>Tax-Signer-Basic</v>
      </c>
      <c r="Q642" s="6">
        <v>1.4675000000000016</v>
      </c>
      <c r="R642" s="6">
        <v>0.29350000000000032</v>
      </c>
      <c r="S642" s="6">
        <v>0.14675000000000016</v>
      </c>
      <c r="T642" s="7">
        <f t="shared" si="109"/>
        <v>1.9077500000000021</v>
      </c>
      <c r="U642" s="6" t="e">
        <f>SUMIFS([1]Sheet1!$L:$L,[1]Sheet1!$I:$I,AJ642,[1]Sheet1!$C:$C,A642)</f>
        <v>#VALUE!</v>
      </c>
      <c r="V642" s="6"/>
      <c r="W642" s="6"/>
      <c r="X642" s="7" t="e">
        <f t="shared" ref="X642:X705" si="116">SUM(U642:W642)</f>
        <v>#VALUE!</v>
      </c>
      <c r="Y642" s="6"/>
      <c r="AJ642" s="5" t="str">
        <f t="shared" si="111"/>
        <v>NM 1040 - Personal</v>
      </c>
      <c r="AK642" s="5" t="str">
        <f t="shared" ref="AK642:AK705" si="117">C642&amp;"-"&amp;G642&amp;"-"&amp;H642&amp;"-"&amp;F642&amp;"_"&amp;I642</f>
        <v>NM-Tax Services-ANN-1040 - Personal_Basic</v>
      </c>
      <c r="AL642" s="5" t="str">
        <f t="shared" ref="AL642:AL705" si="118">A642&amp;"_"&amp;AJ642</f>
        <v>Sarala_1871_NM 1040 - Personal</v>
      </c>
      <c r="AM642" s="5" t="str">
        <f t="shared" ref="AM642:AM705" si="119">A642&amp;"_"&amp;AK642</f>
        <v>Sarala_1871_NM-Tax Services-ANN-1040 - Personal_Basic</v>
      </c>
    </row>
    <row r="643" spans="1:39" x14ac:dyDescent="0.25">
      <c r="A643" s="2" t="s">
        <v>1087</v>
      </c>
      <c r="B643" s="2" t="s">
        <v>1088</v>
      </c>
      <c r="C643" s="2" t="s">
        <v>1196</v>
      </c>
      <c r="D643" s="8">
        <v>43831</v>
      </c>
      <c r="E643" s="5" t="str">
        <f t="shared" ref="E643:E706" si="120">B643&amp;"_"&amp;TEXT(D643,"DD-MM-YY")</f>
        <v>Sass, Will_01-01-20</v>
      </c>
      <c r="F643" s="2" t="s">
        <v>1203</v>
      </c>
      <c r="G643" s="2" t="s">
        <v>1241</v>
      </c>
      <c r="H643" s="2" t="s">
        <v>1220</v>
      </c>
      <c r="I643" s="2" t="s">
        <v>1223</v>
      </c>
      <c r="J643" s="2" t="s">
        <v>1234</v>
      </c>
      <c r="M643" s="5" t="str">
        <f t="shared" si="112"/>
        <v>Basic</v>
      </c>
      <c r="N643" s="5" t="str">
        <f t="shared" si="113"/>
        <v>Tax-Staff-Basic</v>
      </c>
      <c r="O643" s="5" t="str">
        <f t="shared" si="114"/>
        <v>Tax-Reviewer-Basic</v>
      </c>
      <c r="P643" s="5" t="str">
        <f t="shared" si="115"/>
        <v>Tax-Signer-Basic</v>
      </c>
      <c r="Q643" s="6">
        <v>1.4675000000000016</v>
      </c>
      <c r="R643" s="6">
        <v>0.29350000000000032</v>
      </c>
      <c r="S643" s="6">
        <v>0.14675000000000016</v>
      </c>
      <c r="T643" s="7">
        <f t="shared" ref="T643:T706" si="121">SUM(Q643:S643)</f>
        <v>1.9077500000000021</v>
      </c>
      <c r="U643" s="6" t="e">
        <f>SUMIFS([1]Sheet1!$L:$L,[1]Sheet1!$I:$I,AJ643,[1]Sheet1!$C:$C,A643)</f>
        <v>#VALUE!</v>
      </c>
      <c r="V643" s="6"/>
      <c r="W643" s="6"/>
      <c r="X643" s="7" t="e">
        <f t="shared" si="116"/>
        <v>#VALUE!</v>
      </c>
      <c r="Y643" s="6"/>
      <c r="AJ643" s="5" t="str">
        <f t="shared" si="111"/>
        <v>NM 1040 - Personal</v>
      </c>
      <c r="AK643" s="5" t="str">
        <f t="shared" si="117"/>
        <v>NM-Tax Services-ANN-1040 - Personal_Basic</v>
      </c>
      <c r="AL643" s="5" t="str">
        <f t="shared" si="118"/>
        <v>Sass, _9472_NM 1040 - Personal</v>
      </c>
      <c r="AM643" s="5" t="str">
        <f t="shared" si="119"/>
        <v>Sass, _9472_NM-Tax Services-ANN-1040 - Personal_Basic</v>
      </c>
    </row>
    <row r="644" spans="1:39" x14ac:dyDescent="0.25">
      <c r="A644" s="2" t="s">
        <v>1123</v>
      </c>
      <c r="B644" s="2" t="s">
        <v>1124</v>
      </c>
      <c r="C644" s="2" t="s">
        <v>1196</v>
      </c>
      <c r="D644" s="8">
        <v>43831</v>
      </c>
      <c r="E644" s="5" t="str">
        <f t="shared" si="120"/>
        <v>Schroeder, Thomas &amp; Katherine_01-01-20</v>
      </c>
      <c r="F644" s="2" t="s">
        <v>1203</v>
      </c>
      <c r="G644" s="2" t="s">
        <v>1241</v>
      </c>
      <c r="H644" s="2" t="s">
        <v>1220</v>
      </c>
      <c r="I644" s="2" t="s">
        <v>1223</v>
      </c>
      <c r="J644" s="2" t="s">
        <v>1234</v>
      </c>
      <c r="M644" s="5" t="str">
        <f t="shared" si="112"/>
        <v>Basic</v>
      </c>
      <c r="N644" s="5" t="str">
        <f t="shared" si="113"/>
        <v>Tax-Staff-Basic</v>
      </c>
      <c r="O644" s="5" t="str">
        <f t="shared" si="114"/>
        <v>Tax-Reviewer-Basic</v>
      </c>
      <c r="P644" s="5" t="str">
        <f t="shared" si="115"/>
        <v>Tax-Signer-Basic</v>
      </c>
      <c r="Q644" s="6">
        <v>1.4675000000000016</v>
      </c>
      <c r="R644" s="6">
        <v>0.29350000000000032</v>
      </c>
      <c r="S644" s="6">
        <v>0.14675000000000016</v>
      </c>
      <c r="T644" s="7">
        <f t="shared" si="121"/>
        <v>1.9077500000000021</v>
      </c>
      <c r="U644" s="6" t="e">
        <f>SUMIFS([1]Sheet1!$L:$L,[1]Sheet1!$I:$I,AJ644,[1]Sheet1!$C:$C,A644)</f>
        <v>#VALUE!</v>
      </c>
      <c r="V644" s="6"/>
      <c r="W644" s="6"/>
      <c r="X644" s="7" t="e">
        <f t="shared" si="116"/>
        <v>#VALUE!</v>
      </c>
      <c r="Y644" s="6"/>
      <c r="AJ644" s="5" t="str">
        <f t="shared" si="111"/>
        <v>NM 1040 - Personal</v>
      </c>
      <c r="AK644" s="5" t="str">
        <f t="shared" si="117"/>
        <v>NM-Tax Services-ANN-1040 - Personal_Basic</v>
      </c>
      <c r="AL644" s="5" t="str">
        <f t="shared" si="118"/>
        <v>Schroe_0569_NM 1040 - Personal</v>
      </c>
      <c r="AM644" s="5" t="str">
        <f t="shared" si="119"/>
        <v>Schroe_0569_NM-Tax Services-ANN-1040 - Personal_Basic</v>
      </c>
    </row>
    <row r="645" spans="1:39" x14ac:dyDescent="0.25">
      <c r="A645" s="2" t="s">
        <v>1147</v>
      </c>
      <c r="B645" s="2" t="s">
        <v>1148</v>
      </c>
      <c r="C645" s="2" t="s">
        <v>1196</v>
      </c>
      <c r="D645" s="8">
        <v>43831</v>
      </c>
      <c r="E645" s="5" t="str">
        <f t="shared" si="120"/>
        <v>Scott Dickson_01-01-20</v>
      </c>
      <c r="F645" s="2" t="s">
        <v>1203</v>
      </c>
      <c r="G645" s="2" t="s">
        <v>1241</v>
      </c>
      <c r="H645" s="2" t="s">
        <v>1220</v>
      </c>
      <c r="I645" s="2" t="s">
        <v>1223</v>
      </c>
      <c r="J645" s="2" t="s">
        <v>1234</v>
      </c>
      <c r="M645" s="5" t="str">
        <f t="shared" si="112"/>
        <v>Basic</v>
      </c>
      <c r="N645" s="5" t="str">
        <f t="shared" si="113"/>
        <v>Tax-Staff-Basic</v>
      </c>
      <c r="O645" s="5" t="str">
        <f t="shared" si="114"/>
        <v>Tax-Reviewer-Basic</v>
      </c>
      <c r="P645" s="5" t="str">
        <f t="shared" si="115"/>
        <v>Tax-Signer-Basic</v>
      </c>
      <c r="Q645" s="6">
        <v>1.4675000000000016</v>
      </c>
      <c r="R645" s="6">
        <v>0.29350000000000032</v>
      </c>
      <c r="S645" s="6">
        <v>0.14675000000000016</v>
      </c>
      <c r="T645" s="7">
        <f t="shared" si="121"/>
        <v>1.9077500000000021</v>
      </c>
      <c r="U645" s="6" t="e">
        <f>SUMIFS([1]Sheet1!$L:$L,[1]Sheet1!$I:$I,AJ645,[1]Sheet1!$C:$C,A645)</f>
        <v>#VALUE!</v>
      </c>
      <c r="V645" s="6"/>
      <c r="W645" s="6"/>
      <c r="X645" s="7" t="e">
        <f t="shared" si="116"/>
        <v>#VALUE!</v>
      </c>
      <c r="Y645" s="6"/>
      <c r="AJ645" s="5" t="str">
        <f t="shared" si="111"/>
        <v>NM 1040 - Personal</v>
      </c>
      <c r="AK645" s="5" t="str">
        <f t="shared" si="117"/>
        <v>NM-Tax Services-ANN-1040 - Personal_Basic</v>
      </c>
      <c r="AL645" s="5" t="str">
        <f t="shared" si="118"/>
        <v>Scott _1817_NM 1040 - Personal</v>
      </c>
      <c r="AM645" s="5" t="str">
        <f t="shared" si="119"/>
        <v>Scott _1817_NM-Tax Services-ANN-1040 - Personal_Basic</v>
      </c>
    </row>
    <row r="646" spans="1:39" x14ac:dyDescent="0.25">
      <c r="A646" s="2" t="s">
        <v>223</v>
      </c>
      <c r="B646" s="2" t="s">
        <v>224</v>
      </c>
      <c r="C646" s="2" t="s">
        <v>1197</v>
      </c>
      <c r="D646" s="8">
        <v>43831</v>
      </c>
      <c r="E646" s="5" t="str">
        <f t="shared" si="120"/>
        <v>Sealoc Texas, Inc._01-01-20</v>
      </c>
      <c r="F646" s="2" t="s">
        <v>1206</v>
      </c>
      <c r="G646" s="2" t="s">
        <v>1241</v>
      </c>
      <c r="H646" s="2" t="s">
        <v>1220</v>
      </c>
      <c r="I646" s="2" t="s">
        <v>1223</v>
      </c>
      <c r="J646" s="2" t="s">
        <v>1234</v>
      </c>
      <c r="M646" s="5" t="str">
        <f t="shared" si="112"/>
        <v>Basic</v>
      </c>
      <c r="N646" s="5" t="str">
        <f t="shared" si="113"/>
        <v>Tax-Staff-Basic</v>
      </c>
      <c r="O646" s="5" t="str">
        <f t="shared" si="114"/>
        <v>Tax-Reviewer-Basic</v>
      </c>
      <c r="P646" s="5" t="str">
        <f t="shared" si="115"/>
        <v>Tax-Signer-Basic</v>
      </c>
      <c r="Q646" s="6">
        <v>1.4675000000000016</v>
      </c>
      <c r="R646" s="6">
        <v>0.29350000000000032</v>
      </c>
      <c r="S646" s="6">
        <v>0.14675000000000016</v>
      </c>
      <c r="T646" s="7">
        <f t="shared" si="121"/>
        <v>1.9077500000000021</v>
      </c>
      <c r="U646" s="6" t="e">
        <f>SUMIFS([1]Sheet1!$L:$L,[1]Sheet1!$I:$I,AJ646,[1]Sheet1!$C:$C,A646)</f>
        <v>#VALUE!</v>
      </c>
      <c r="V646" s="6"/>
      <c r="W646" s="6"/>
      <c r="X646" s="7" t="e">
        <f t="shared" si="116"/>
        <v>#VALUE!</v>
      </c>
      <c r="Y646" s="6"/>
      <c r="AJ646" s="5" t="str">
        <f t="shared" si="111"/>
        <v>MO 1120 - C Corporation</v>
      </c>
      <c r="AK646" s="5" t="str">
        <f t="shared" si="117"/>
        <v>MO-Tax Services-ANN-1120 - C Corporation_Basic</v>
      </c>
      <c r="AL646" s="5" t="str">
        <f t="shared" si="118"/>
        <v>Sealoc T_1120C_81-4524962_MO 1120 - C Corporation</v>
      </c>
      <c r="AM646" s="5" t="str">
        <f t="shared" si="119"/>
        <v>Sealoc T_1120C_81-4524962_MO-Tax Services-ANN-1120 - C Corporation_Basic</v>
      </c>
    </row>
    <row r="647" spans="1:39" x14ac:dyDescent="0.25">
      <c r="A647" s="2" t="s">
        <v>391</v>
      </c>
      <c r="B647" s="2" t="s">
        <v>392</v>
      </c>
      <c r="C647" s="2" t="s">
        <v>1196</v>
      </c>
      <c r="D647" s="8">
        <v>43831</v>
      </c>
      <c r="E647" s="5" t="str">
        <f t="shared" si="120"/>
        <v>Second Phoenix Growth Fund, LTD_01-01-20</v>
      </c>
      <c r="F647" s="2" t="s">
        <v>1199</v>
      </c>
      <c r="G647" s="2" t="s">
        <v>1241</v>
      </c>
      <c r="H647" s="2" t="s">
        <v>1220</v>
      </c>
      <c r="I647" s="2" t="s">
        <v>1221</v>
      </c>
      <c r="J647" s="2" t="s">
        <v>1234</v>
      </c>
      <c r="M647" s="5" t="str">
        <f t="shared" si="112"/>
        <v>Mid</v>
      </c>
      <c r="N647" s="5" t="str">
        <f t="shared" si="113"/>
        <v>Tax-Staff-Mid</v>
      </c>
      <c r="O647" s="5" t="str">
        <f t="shared" si="114"/>
        <v>Tax-Reviewer-Mid</v>
      </c>
      <c r="P647" s="5" t="str">
        <f t="shared" si="115"/>
        <v>Tax-Signer-Mid</v>
      </c>
      <c r="Q647" s="6">
        <v>2.7401969696969677</v>
      </c>
      <c r="R647" s="6">
        <v>0.5480393939393936</v>
      </c>
      <c r="S647" s="6">
        <v>0.2740196969696968</v>
      </c>
      <c r="T647" s="7">
        <f t="shared" si="121"/>
        <v>3.562256060606058</v>
      </c>
      <c r="U647" s="6" t="e">
        <f>SUMIFS([1]Sheet1!$L:$L,[1]Sheet1!$I:$I,AJ647,[1]Sheet1!$C:$C,A647)</f>
        <v>#VALUE!</v>
      </c>
      <c r="V647" s="6"/>
      <c r="W647" s="6"/>
      <c r="X647" s="7" t="e">
        <f t="shared" si="116"/>
        <v>#VALUE!</v>
      </c>
      <c r="Y647" s="6"/>
      <c r="AJ647" s="5" t="str">
        <f t="shared" si="111"/>
        <v>NM 1065 - Partnership</v>
      </c>
      <c r="AK647" s="5" t="str">
        <f t="shared" si="117"/>
        <v>NM-Tax Services-ANN-1065 - Partnership_Mid</v>
      </c>
      <c r="AL647" s="5" t="str">
        <f t="shared" si="118"/>
        <v>Second P_1065_32-0319718_NM 1065 - Partnership</v>
      </c>
      <c r="AM647" s="5" t="str">
        <f t="shared" si="119"/>
        <v>Second P_1065_32-0319718_NM-Tax Services-ANN-1065 - Partnership_Mid</v>
      </c>
    </row>
    <row r="648" spans="1:39" x14ac:dyDescent="0.25">
      <c r="A648" s="2" t="s">
        <v>976</v>
      </c>
      <c r="B648" s="2" t="s">
        <v>977</v>
      </c>
      <c r="C648" s="2" t="s">
        <v>1196</v>
      </c>
      <c r="D648" s="8">
        <v>43831</v>
      </c>
      <c r="E648" s="5" t="str">
        <f t="shared" si="120"/>
        <v>Shafi, Fazil_01-01-20</v>
      </c>
      <c r="F648" s="2" t="s">
        <v>1203</v>
      </c>
      <c r="G648" s="2" t="s">
        <v>1241</v>
      </c>
      <c r="H648" s="2" t="s">
        <v>1220</v>
      </c>
      <c r="I648" s="2" t="s">
        <v>1223</v>
      </c>
      <c r="J648" s="2" t="s">
        <v>1234</v>
      </c>
      <c r="M648" s="5" t="str">
        <f t="shared" si="112"/>
        <v>Basic</v>
      </c>
      <c r="N648" s="5" t="str">
        <f t="shared" si="113"/>
        <v>Tax-Staff-Basic</v>
      </c>
      <c r="O648" s="5" t="str">
        <f t="shared" si="114"/>
        <v>Tax-Reviewer-Basic</v>
      </c>
      <c r="P648" s="5" t="str">
        <f t="shared" si="115"/>
        <v>Tax-Signer-Basic</v>
      </c>
      <c r="Q648" s="6">
        <v>1.4675000000000016</v>
      </c>
      <c r="R648" s="6">
        <v>0.29350000000000032</v>
      </c>
      <c r="S648" s="6">
        <v>0.14675000000000016</v>
      </c>
      <c r="T648" s="7">
        <f t="shared" si="121"/>
        <v>1.9077500000000021</v>
      </c>
      <c r="U648" s="6" t="e">
        <f>SUMIFS([1]Sheet1!$L:$L,[1]Sheet1!$I:$I,AJ648,[1]Sheet1!$C:$C,A648)</f>
        <v>#VALUE!</v>
      </c>
      <c r="V648" s="6"/>
      <c r="W648" s="6"/>
      <c r="X648" s="7" t="e">
        <f t="shared" si="116"/>
        <v>#VALUE!</v>
      </c>
      <c r="Y648" s="6"/>
      <c r="AJ648" s="5" t="str">
        <f t="shared" si="111"/>
        <v>NM 1040 - Personal</v>
      </c>
      <c r="AK648" s="5" t="str">
        <f t="shared" si="117"/>
        <v>NM-Tax Services-ANN-1040 - Personal_Basic</v>
      </c>
      <c r="AL648" s="5" t="str">
        <f t="shared" si="118"/>
        <v>Shafi,_3968_NM 1040 - Personal</v>
      </c>
      <c r="AM648" s="5" t="str">
        <f t="shared" si="119"/>
        <v>Shafi,_3968_NM-Tax Services-ANN-1040 - Personal_Basic</v>
      </c>
    </row>
    <row r="649" spans="1:39" x14ac:dyDescent="0.25">
      <c r="A649" s="2" t="s">
        <v>1085</v>
      </c>
      <c r="B649" s="2" t="s">
        <v>1086</v>
      </c>
      <c r="C649" s="2" t="s">
        <v>1196</v>
      </c>
      <c r="D649" s="8">
        <v>43831</v>
      </c>
      <c r="E649" s="5" t="str">
        <f t="shared" si="120"/>
        <v>Sheryl Webb_01-01-20</v>
      </c>
      <c r="F649" s="2" t="s">
        <v>1203</v>
      </c>
      <c r="G649" s="2" t="s">
        <v>1241</v>
      </c>
      <c r="H649" s="2" t="s">
        <v>1220</v>
      </c>
      <c r="I649" s="2" t="s">
        <v>1223</v>
      </c>
      <c r="J649" s="2" t="s">
        <v>1234</v>
      </c>
      <c r="M649" s="5" t="str">
        <f t="shared" si="112"/>
        <v>Basic</v>
      </c>
      <c r="N649" s="5" t="str">
        <f t="shared" si="113"/>
        <v>Tax-Staff-Basic</v>
      </c>
      <c r="O649" s="5" t="str">
        <f t="shared" si="114"/>
        <v>Tax-Reviewer-Basic</v>
      </c>
      <c r="P649" s="5" t="str">
        <f t="shared" si="115"/>
        <v>Tax-Signer-Basic</v>
      </c>
      <c r="Q649" s="6">
        <v>1.4675000000000016</v>
      </c>
      <c r="R649" s="6">
        <v>0.29350000000000032</v>
      </c>
      <c r="S649" s="6">
        <v>0.14675000000000016</v>
      </c>
      <c r="T649" s="7">
        <f t="shared" si="121"/>
        <v>1.9077500000000021</v>
      </c>
      <c r="U649" s="6" t="e">
        <f>SUMIFS([1]Sheet1!$L:$L,[1]Sheet1!$I:$I,AJ649,[1]Sheet1!$C:$C,A649)</f>
        <v>#VALUE!</v>
      </c>
      <c r="V649" s="6"/>
      <c r="W649" s="6"/>
      <c r="X649" s="7" t="e">
        <f t="shared" si="116"/>
        <v>#VALUE!</v>
      </c>
      <c r="Y649" s="6"/>
      <c r="AJ649" s="5" t="str">
        <f t="shared" si="111"/>
        <v>NM 1040 - Personal</v>
      </c>
      <c r="AK649" s="5" t="str">
        <f t="shared" si="117"/>
        <v>NM-Tax Services-ANN-1040 - Personal_Basic</v>
      </c>
      <c r="AL649" s="5" t="str">
        <f t="shared" si="118"/>
        <v>Sheryl_4358_NM 1040 - Personal</v>
      </c>
      <c r="AM649" s="5" t="str">
        <f t="shared" si="119"/>
        <v>Sheryl_4358_NM-Tax Services-ANN-1040 - Personal_Basic</v>
      </c>
    </row>
    <row r="650" spans="1:39" x14ac:dyDescent="0.25">
      <c r="A650" s="2" t="s">
        <v>1069</v>
      </c>
      <c r="B650" s="2" t="s">
        <v>1070</v>
      </c>
      <c r="C650" s="2" t="s">
        <v>1196</v>
      </c>
      <c r="D650" s="8">
        <v>43831</v>
      </c>
      <c r="E650" s="5" t="str">
        <f t="shared" si="120"/>
        <v>Shore, Shaun_01-01-20</v>
      </c>
      <c r="F650" s="2" t="s">
        <v>1203</v>
      </c>
      <c r="G650" s="2" t="s">
        <v>1241</v>
      </c>
      <c r="H650" s="2" t="s">
        <v>1220</v>
      </c>
      <c r="I650" s="2" t="s">
        <v>1221</v>
      </c>
      <c r="J650" s="2" t="s">
        <v>1234</v>
      </c>
      <c r="M650" s="5" t="str">
        <f t="shared" si="112"/>
        <v>Mid</v>
      </c>
      <c r="N650" s="5" t="str">
        <f t="shared" si="113"/>
        <v>Tax-Staff-Mid</v>
      </c>
      <c r="O650" s="5" t="str">
        <f t="shared" si="114"/>
        <v>Tax-Reviewer-Mid</v>
      </c>
      <c r="P650" s="5" t="str">
        <f t="shared" si="115"/>
        <v>Tax-Signer-Mid</v>
      </c>
      <c r="Q650" s="6">
        <v>2.7401969696969677</v>
      </c>
      <c r="R650" s="6">
        <v>0.5480393939393936</v>
      </c>
      <c r="S650" s="6">
        <v>0.2740196969696968</v>
      </c>
      <c r="T650" s="7">
        <f t="shared" si="121"/>
        <v>3.562256060606058</v>
      </c>
      <c r="U650" s="6" t="e">
        <f>SUMIFS([1]Sheet1!$L:$L,[1]Sheet1!$I:$I,AJ650,[1]Sheet1!$C:$C,A650)</f>
        <v>#VALUE!</v>
      </c>
      <c r="V650" s="6"/>
      <c r="W650" s="6"/>
      <c r="X650" s="7" t="e">
        <f t="shared" si="116"/>
        <v>#VALUE!</v>
      </c>
      <c r="Y650" s="6"/>
      <c r="AJ650" s="5" t="str">
        <f t="shared" si="111"/>
        <v>NM 1040 - Personal</v>
      </c>
      <c r="AK650" s="5" t="str">
        <f t="shared" si="117"/>
        <v>NM-Tax Services-ANN-1040 - Personal_Mid</v>
      </c>
      <c r="AL650" s="5" t="str">
        <f t="shared" si="118"/>
        <v>Shore,_5396_NM 1040 - Personal</v>
      </c>
      <c r="AM650" s="5" t="str">
        <f t="shared" si="119"/>
        <v>Shore,_5396_NM-Tax Services-ANN-1040 - Personal_Mid</v>
      </c>
    </row>
    <row r="651" spans="1:39" x14ac:dyDescent="0.25">
      <c r="A651" s="2" t="s">
        <v>1181</v>
      </c>
      <c r="B651" s="2" t="s">
        <v>1182</v>
      </c>
      <c r="C651" s="2" t="s">
        <v>1196</v>
      </c>
      <c r="D651" s="8">
        <v>43831</v>
      </c>
      <c r="E651" s="5" t="str">
        <f t="shared" si="120"/>
        <v>Shore, Caleb_01-01-20</v>
      </c>
      <c r="F651" s="2" t="s">
        <v>1203</v>
      </c>
      <c r="G651" s="2" t="s">
        <v>1241</v>
      </c>
      <c r="H651" s="2" t="s">
        <v>1220</v>
      </c>
      <c r="I651" s="2" t="s">
        <v>1223</v>
      </c>
      <c r="J651" s="2" t="s">
        <v>1234</v>
      </c>
      <c r="M651" s="5" t="str">
        <f t="shared" si="112"/>
        <v>Basic</v>
      </c>
      <c r="N651" s="5" t="str">
        <f t="shared" si="113"/>
        <v>Tax-Staff-Basic</v>
      </c>
      <c r="O651" s="5" t="str">
        <f t="shared" si="114"/>
        <v>Tax-Reviewer-Basic</v>
      </c>
      <c r="P651" s="5" t="str">
        <f t="shared" si="115"/>
        <v>Tax-Signer-Basic</v>
      </c>
      <c r="Q651" s="6">
        <v>1.4675000000000016</v>
      </c>
      <c r="R651" s="6">
        <v>0.29350000000000032</v>
      </c>
      <c r="S651" s="6">
        <v>0.14675000000000016</v>
      </c>
      <c r="T651" s="7">
        <f t="shared" si="121"/>
        <v>1.9077500000000021</v>
      </c>
      <c r="U651" s="6" t="e">
        <f>SUMIFS([1]Sheet1!$L:$L,[1]Sheet1!$I:$I,AJ651,[1]Sheet1!$C:$C,A651)</f>
        <v>#VALUE!</v>
      </c>
      <c r="V651" s="6"/>
      <c r="W651" s="6"/>
      <c r="X651" s="7" t="e">
        <f t="shared" si="116"/>
        <v>#VALUE!</v>
      </c>
      <c r="Y651" s="6"/>
      <c r="AJ651" s="5" t="str">
        <f t="shared" si="111"/>
        <v>NM 1040 - Personal</v>
      </c>
      <c r="AK651" s="5" t="str">
        <f t="shared" si="117"/>
        <v>NM-Tax Services-ANN-1040 - Personal_Basic</v>
      </c>
      <c r="AL651" s="5" t="str">
        <f t="shared" si="118"/>
        <v>Shore,_7183_NM 1040 - Personal</v>
      </c>
      <c r="AM651" s="5" t="str">
        <f t="shared" si="119"/>
        <v>Shore,_7183_NM-Tax Services-ANN-1040 - Personal_Basic</v>
      </c>
    </row>
    <row r="652" spans="1:39" x14ac:dyDescent="0.25">
      <c r="A652" s="2" t="s">
        <v>181</v>
      </c>
      <c r="B652" s="2" t="s">
        <v>182</v>
      </c>
      <c r="C652" s="2" t="s">
        <v>1197</v>
      </c>
      <c r="D652" s="8">
        <v>43831</v>
      </c>
      <c r="E652" s="5" t="str">
        <f t="shared" si="120"/>
        <v>Shraim Properties, LLC_01-01-20</v>
      </c>
      <c r="F652" s="2" t="s">
        <v>1201</v>
      </c>
      <c r="G652" s="2" t="s">
        <v>1201</v>
      </c>
      <c r="H652" s="2" t="s">
        <v>1197</v>
      </c>
      <c r="I652" s="2" t="s">
        <v>1223</v>
      </c>
      <c r="J652" s="2" t="s">
        <v>1235</v>
      </c>
      <c r="M652" s="5" t="str">
        <f t="shared" si="112"/>
        <v>Basic</v>
      </c>
      <c r="N652" s="5" t="str">
        <f t="shared" si="113"/>
        <v>Accountant-Staff-Basic</v>
      </c>
      <c r="O652" s="5" t="str">
        <f t="shared" si="114"/>
        <v>Accountant-Reviewer-Basic</v>
      </c>
      <c r="P652" s="5" t="str">
        <f t="shared" si="115"/>
        <v>Accountant-Signer-Basic</v>
      </c>
      <c r="Q652" s="6">
        <v>1.47</v>
      </c>
      <c r="R652" s="6">
        <v>0.29399999999999998</v>
      </c>
      <c r="S652" s="6">
        <v>0.14699999999999999</v>
      </c>
      <c r="T652" s="7">
        <f t="shared" si="121"/>
        <v>1.911</v>
      </c>
      <c r="U652" s="6" t="e">
        <f>SUMIFS([1]Sheet1!$L:$L,[1]Sheet1!$I:$I,AJ652,[1]Sheet1!$C:$C,A652)</f>
        <v>#VALUE!</v>
      </c>
      <c r="V652" s="6"/>
      <c r="W652" s="6"/>
      <c r="X652" s="7" t="e">
        <f t="shared" si="116"/>
        <v>#VALUE!</v>
      </c>
      <c r="Y652" s="6"/>
      <c r="AJ652" s="5" t="str">
        <f t="shared" si="111"/>
        <v>MO Accounting Services</v>
      </c>
      <c r="AK652" s="5" t="str">
        <f t="shared" si="117"/>
        <v>MO-Accounting Services-MO-Accounting Services_Basic</v>
      </c>
      <c r="AL652" s="5" t="str">
        <f t="shared" si="118"/>
        <v>Shraim P_1040_1_MO Accounting Services</v>
      </c>
      <c r="AM652" s="5" t="str">
        <f t="shared" si="119"/>
        <v>Shraim P_1040_1_MO-Accounting Services-MO-Accounting Services_Basic</v>
      </c>
    </row>
    <row r="653" spans="1:39" x14ac:dyDescent="0.25">
      <c r="A653" s="2" t="s">
        <v>876</v>
      </c>
      <c r="B653" s="2" t="s">
        <v>877</v>
      </c>
      <c r="C653" s="2" t="s">
        <v>1197</v>
      </c>
      <c r="D653" s="8">
        <v>43831</v>
      </c>
      <c r="E653" s="5" t="str">
        <f t="shared" si="120"/>
        <v>Shraim, Adam_01-01-20</v>
      </c>
      <c r="F653" s="2" t="s">
        <v>1203</v>
      </c>
      <c r="G653" s="2" t="s">
        <v>1241</v>
      </c>
      <c r="H653" s="2" t="s">
        <v>1220</v>
      </c>
      <c r="I653" s="2" t="s">
        <v>1221</v>
      </c>
      <c r="J653" s="2" t="s">
        <v>1234</v>
      </c>
      <c r="M653" s="5" t="str">
        <f t="shared" si="112"/>
        <v>Mid</v>
      </c>
      <c r="N653" s="5" t="str">
        <f t="shared" si="113"/>
        <v>Tax-Staff-Mid</v>
      </c>
      <c r="O653" s="5" t="str">
        <f t="shared" si="114"/>
        <v>Tax-Reviewer-Mid</v>
      </c>
      <c r="P653" s="5" t="str">
        <f t="shared" si="115"/>
        <v>Tax-Signer-Mid</v>
      </c>
      <c r="Q653" s="6">
        <v>2.7401969696969677</v>
      </c>
      <c r="R653" s="6">
        <v>0.5480393939393936</v>
      </c>
      <c r="S653" s="6">
        <v>0.2740196969696968</v>
      </c>
      <c r="T653" s="7">
        <f t="shared" si="121"/>
        <v>3.562256060606058</v>
      </c>
      <c r="U653" s="6" t="e">
        <f>SUMIFS([1]Sheet1!$L:$L,[1]Sheet1!$I:$I,AJ653,[1]Sheet1!$C:$C,A653)</f>
        <v>#VALUE!</v>
      </c>
      <c r="V653" s="6"/>
      <c r="W653" s="6"/>
      <c r="X653" s="7" t="e">
        <f t="shared" si="116"/>
        <v>#VALUE!</v>
      </c>
      <c r="Y653" s="6"/>
      <c r="AJ653" s="5" t="str">
        <f t="shared" si="111"/>
        <v>MO 1040 - Personal</v>
      </c>
      <c r="AK653" s="5" t="str">
        <f t="shared" si="117"/>
        <v>MO-Tax Services-ANN-1040 - Personal_Mid</v>
      </c>
      <c r="AL653" s="5" t="str">
        <f t="shared" si="118"/>
        <v>Shraim_3214_MO 1040 - Personal</v>
      </c>
      <c r="AM653" s="5" t="str">
        <f t="shared" si="119"/>
        <v>Shraim_3214_MO-Tax Services-ANN-1040 - Personal_Mid</v>
      </c>
    </row>
    <row r="654" spans="1:39" x14ac:dyDescent="0.25">
      <c r="A654" s="2" t="s">
        <v>1175</v>
      </c>
      <c r="B654" s="2" t="s">
        <v>1176</v>
      </c>
      <c r="C654" s="2" t="s">
        <v>1196</v>
      </c>
      <c r="D654" s="8">
        <v>43831</v>
      </c>
      <c r="E654" s="5" t="str">
        <f t="shared" si="120"/>
        <v>Shrewsbury, Matthew &amp; Fernanda_01-01-20</v>
      </c>
      <c r="F654" s="2" t="s">
        <v>1203</v>
      </c>
      <c r="G654" s="2" t="s">
        <v>1241</v>
      </c>
      <c r="H654" s="2" t="s">
        <v>1220</v>
      </c>
      <c r="I654" s="2" t="s">
        <v>1221</v>
      </c>
      <c r="J654" s="2" t="s">
        <v>1234</v>
      </c>
      <c r="M654" s="5" t="str">
        <f t="shared" si="112"/>
        <v>Mid</v>
      </c>
      <c r="N654" s="5" t="str">
        <f t="shared" si="113"/>
        <v>Tax-Staff-Mid</v>
      </c>
      <c r="O654" s="5" t="str">
        <f t="shared" si="114"/>
        <v>Tax-Reviewer-Mid</v>
      </c>
      <c r="P654" s="5" t="str">
        <f t="shared" si="115"/>
        <v>Tax-Signer-Mid</v>
      </c>
      <c r="Q654" s="6">
        <v>2.7401969696969677</v>
      </c>
      <c r="R654" s="6">
        <v>0.5480393939393936</v>
      </c>
      <c r="S654" s="6">
        <v>0.2740196969696968</v>
      </c>
      <c r="T654" s="7">
        <f t="shared" si="121"/>
        <v>3.562256060606058</v>
      </c>
      <c r="U654" s="6" t="e">
        <f>SUMIFS([1]Sheet1!$L:$L,[1]Sheet1!$I:$I,AJ654,[1]Sheet1!$C:$C,A654)</f>
        <v>#VALUE!</v>
      </c>
      <c r="V654" s="6"/>
      <c r="W654" s="6"/>
      <c r="X654" s="7" t="e">
        <f t="shared" si="116"/>
        <v>#VALUE!</v>
      </c>
      <c r="Y654" s="6"/>
      <c r="AJ654" s="5" t="str">
        <f t="shared" si="111"/>
        <v>NM 1040 - Personal</v>
      </c>
      <c r="AK654" s="5" t="str">
        <f t="shared" si="117"/>
        <v>NM-Tax Services-ANN-1040 - Personal_Mid</v>
      </c>
      <c r="AL654" s="5" t="str">
        <f t="shared" si="118"/>
        <v>Shrews_8099_NM 1040 - Personal</v>
      </c>
      <c r="AM654" s="5" t="str">
        <f t="shared" si="119"/>
        <v>Shrews_8099_NM-Tax Services-ANN-1040 - Personal_Mid</v>
      </c>
    </row>
    <row r="655" spans="1:39" x14ac:dyDescent="0.25">
      <c r="A655" s="2" t="s">
        <v>213</v>
      </c>
      <c r="B655" s="2" t="s">
        <v>214</v>
      </c>
      <c r="C655" s="2" t="s">
        <v>1196</v>
      </c>
      <c r="D655" s="8">
        <v>43831</v>
      </c>
      <c r="E655" s="5" t="str">
        <f t="shared" si="120"/>
        <v>Signs and Banners Inc._01-01-20</v>
      </c>
      <c r="F655" s="2" t="s">
        <v>1206</v>
      </c>
      <c r="G655" s="2" t="s">
        <v>1241</v>
      </c>
      <c r="H655" s="2" t="s">
        <v>1220</v>
      </c>
      <c r="I655" s="2" t="s">
        <v>1223</v>
      </c>
      <c r="J655" s="2" t="s">
        <v>1234</v>
      </c>
      <c r="M655" s="5" t="str">
        <f t="shared" si="112"/>
        <v>Basic</v>
      </c>
      <c r="N655" s="5" t="str">
        <f t="shared" si="113"/>
        <v>Tax-Staff-Basic</v>
      </c>
      <c r="O655" s="5" t="str">
        <f t="shared" si="114"/>
        <v>Tax-Reviewer-Basic</v>
      </c>
      <c r="P655" s="5" t="str">
        <f t="shared" si="115"/>
        <v>Tax-Signer-Basic</v>
      </c>
      <c r="Q655" s="6">
        <v>1.4675000000000016</v>
      </c>
      <c r="R655" s="6">
        <v>0.29350000000000032</v>
      </c>
      <c r="S655" s="6">
        <v>0.14675000000000016</v>
      </c>
      <c r="T655" s="7">
        <f t="shared" si="121"/>
        <v>1.9077500000000021</v>
      </c>
      <c r="U655" s="6" t="e">
        <f>SUMIFS([1]Sheet1!$L:$L,[1]Sheet1!$I:$I,AJ655,[1]Sheet1!$C:$C,A655)</f>
        <v>#VALUE!</v>
      </c>
      <c r="V655" s="6"/>
      <c r="W655" s="6"/>
      <c r="X655" s="7" t="e">
        <f t="shared" si="116"/>
        <v>#VALUE!</v>
      </c>
      <c r="Y655" s="6"/>
      <c r="AJ655" s="5" t="str">
        <f t="shared" si="111"/>
        <v>NM 1120 - C Corporation</v>
      </c>
      <c r="AK655" s="5" t="str">
        <f t="shared" si="117"/>
        <v>NM-Tax Services-ANN-1120 - C Corporation_Basic</v>
      </c>
      <c r="AL655" s="5" t="str">
        <f t="shared" si="118"/>
        <v>Signs an_1120C_26-1908731_NM 1120 - C Corporation</v>
      </c>
      <c r="AM655" s="5" t="str">
        <f t="shared" si="119"/>
        <v>Signs an_1120C_26-1908731_NM-Tax Services-ANN-1120 - C Corporation_Basic</v>
      </c>
    </row>
    <row r="656" spans="1:39" x14ac:dyDescent="0.25">
      <c r="A656" s="2" t="s">
        <v>213</v>
      </c>
      <c r="B656" s="2" t="s">
        <v>214</v>
      </c>
      <c r="C656" s="2" t="s">
        <v>1196</v>
      </c>
      <c r="D656" s="8">
        <v>43831</v>
      </c>
      <c r="E656" s="5" t="str">
        <f t="shared" si="120"/>
        <v>Signs and Banners Inc._01-01-20</v>
      </c>
      <c r="F656" s="2" t="s">
        <v>1200</v>
      </c>
      <c r="G656" s="2" t="s">
        <v>1241</v>
      </c>
      <c r="H656" s="2" t="s">
        <v>1220</v>
      </c>
      <c r="I656" s="2" t="s">
        <v>1223</v>
      </c>
      <c r="J656" s="2" t="s">
        <v>1234</v>
      </c>
      <c r="M656" s="5" t="str">
        <f t="shared" si="112"/>
        <v>Basic</v>
      </c>
      <c r="N656" s="5" t="str">
        <f t="shared" si="113"/>
        <v>Tax-Staff-Basic</v>
      </c>
      <c r="O656" s="5" t="str">
        <f t="shared" si="114"/>
        <v>Tax-Reviewer-Basic</v>
      </c>
      <c r="P656" s="5" t="str">
        <f t="shared" si="115"/>
        <v>Tax-Signer-Basic</v>
      </c>
      <c r="Q656" s="6">
        <v>0.5</v>
      </c>
      <c r="R656" s="6">
        <v>0.1</v>
      </c>
      <c r="S656" s="6">
        <v>0.05</v>
      </c>
      <c r="T656" s="7">
        <f t="shared" si="121"/>
        <v>0.65</v>
      </c>
      <c r="U656" s="6" t="e">
        <f>SUMIFS([1]Sheet1!$L:$L,[1]Sheet1!$I:$I,AJ656,[1]Sheet1!$C:$C,A656)</f>
        <v>#VALUE!</v>
      </c>
      <c r="V656" s="6"/>
      <c r="W656" s="6"/>
      <c r="X656" s="7" t="e">
        <f t="shared" si="116"/>
        <v>#VALUE!</v>
      </c>
      <c r="Y656" s="6"/>
      <c r="AJ656" s="5" t="str">
        <f t="shared" si="111"/>
        <v>NM Texas Franchise Tax Return</v>
      </c>
      <c r="AK656" s="5" t="str">
        <f t="shared" si="117"/>
        <v>NM-Tax Services-ANN-Texas Franchise Tax Return_Basic</v>
      </c>
      <c r="AL656" s="5" t="str">
        <f t="shared" si="118"/>
        <v>Signs an_1120C_26-1908731_NM Texas Franchise Tax Return</v>
      </c>
      <c r="AM656" s="5" t="str">
        <f t="shared" si="119"/>
        <v>Signs an_1120C_26-1908731_NM-Tax Services-ANN-Texas Franchise Tax Return_Basic</v>
      </c>
    </row>
    <row r="657" spans="1:39" x14ac:dyDescent="0.25">
      <c r="A657" s="2" t="s">
        <v>878</v>
      </c>
      <c r="B657" s="2" t="s">
        <v>879</v>
      </c>
      <c r="C657" s="2" t="s">
        <v>1197</v>
      </c>
      <c r="D657" s="8">
        <v>43831</v>
      </c>
      <c r="E657" s="5" t="str">
        <f t="shared" si="120"/>
        <v>Sinno, Tarek J &amp; Lauren N_01-01-20</v>
      </c>
      <c r="F657" s="2" t="s">
        <v>1203</v>
      </c>
      <c r="G657" s="2" t="s">
        <v>1241</v>
      </c>
      <c r="H657" s="2" t="s">
        <v>1220</v>
      </c>
      <c r="I657" s="2" t="s">
        <v>1221</v>
      </c>
      <c r="J657" s="2" t="s">
        <v>1234</v>
      </c>
      <c r="M657" s="5" t="str">
        <f t="shared" si="112"/>
        <v>Mid</v>
      </c>
      <c r="N657" s="5" t="str">
        <f t="shared" si="113"/>
        <v>Tax-Staff-Mid</v>
      </c>
      <c r="O657" s="5" t="str">
        <f t="shared" si="114"/>
        <v>Tax-Reviewer-Mid</v>
      </c>
      <c r="P657" s="5" t="str">
        <f t="shared" si="115"/>
        <v>Tax-Signer-Mid</v>
      </c>
      <c r="Q657" s="6">
        <v>2.7401969696969677</v>
      </c>
      <c r="R657" s="6">
        <v>0.5480393939393936</v>
      </c>
      <c r="S657" s="6">
        <v>0.2740196969696968</v>
      </c>
      <c r="T657" s="7">
        <f t="shared" si="121"/>
        <v>3.562256060606058</v>
      </c>
      <c r="U657" s="6" t="e">
        <f>SUMIFS([1]Sheet1!$L:$L,[1]Sheet1!$I:$I,AJ657,[1]Sheet1!$C:$C,A657)</f>
        <v>#VALUE!</v>
      </c>
      <c r="V657" s="6"/>
      <c r="W657" s="6"/>
      <c r="X657" s="7" t="e">
        <f t="shared" si="116"/>
        <v>#VALUE!</v>
      </c>
      <c r="Y657" s="6"/>
      <c r="AJ657" s="5" t="str">
        <f t="shared" si="111"/>
        <v>MO 1040 - Personal</v>
      </c>
      <c r="AK657" s="5" t="str">
        <f t="shared" si="117"/>
        <v>MO-Tax Services-ANN-1040 - Personal_Mid</v>
      </c>
      <c r="AL657" s="5" t="str">
        <f t="shared" si="118"/>
        <v>Sinno, T_1040_2182_MO 1040 - Personal</v>
      </c>
      <c r="AM657" s="5" t="str">
        <f t="shared" si="119"/>
        <v>Sinno, T_1040_2182_MO-Tax Services-ANN-1040 - Personal_Mid</v>
      </c>
    </row>
    <row r="658" spans="1:39" x14ac:dyDescent="0.25">
      <c r="A658" s="2" t="s">
        <v>289</v>
      </c>
      <c r="B658" s="2" t="s">
        <v>290</v>
      </c>
      <c r="C658" s="2" t="s">
        <v>1196</v>
      </c>
      <c r="D658" s="8">
        <v>43831</v>
      </c>
      <c r="E658" s="5" t="str">
        <f t="shared" si="120"/>
        <v>Sky Wood Working, LLC_01-01-20</v>
      </c>
      <c r="F658" s="2" t="s">
        <v>1204</v>
      </c>
      <c r="G658" s="2" t="s">
        <v>1241</v>
      </c>
      <c r="H658" s="2" t="s">
        <v>1220</v>
      </c>
      <c r="I658" s="2" t="s">
        <v>1221</v>
      </c>
      <c r="J658" s="2" t="s">
        <v>1234</v>
      </c>
      <c r="M658" s="5" t="str">
        <f t="shared" si="112"/>
        <v>Mid</v>
      </c>
      <c r="N658" s="5" t="str">
        <f t="shared" si="113"/>
        <v>Tax-Staff-Mid</v>
      </c>
      <c r="O658" s="5" t="str">
        <f t="shared" si="114"/>
        <v>Tax-Reviewer-Mid</v>
      </c>
      <c r="P658" s="5" t="str">
        <f t="shared" si="115"/>
        <v>Tax-Signer-Mid</v>
      </c>
      <c r="Q658" s="6">
        <v>2.7401969696969677</v>
      </c>
      <c r="R658" s="6">
        <v>0.5480393939393936</v>
      </c>
      <c r="S658" s="6">
        <v>0.2740196969696968</v>
      </c>
      <c r="T658" s="7">
        <f t="shared" si="121"/>
        <v>3.562256060606058</v>
      </c>
      <c r="U658" s="6" t="e">
        <f>SUMIFS([1]Sheet1!$L:$L,[1]Sheet1!$I:$I,AJ658,[1]Sheet1!$C:$C,A658)</f>
        <v>#VALUE!</v>
      </c>
      <c r="V658" s="6"/>
      <c r="W658" s="6"/>
      <c r="X658" s="7" t="e">
        <f t="shared" si="116"/>
        <v>#VALUE!</v>
      </c>
      <c r="Y658" s="6"/>
      <c r="AJ658" s="5" t="str">
        <f t="shared" si="111"/>
        <v>NM 1120S - S Corporation</v>
      </c>
      <c r="AK658" s="5" t="str">
        <f t="shared" si="117"/>
        <v>NM-Tax Services-ANN-1120S - S Corporation_Mid</v>
      </c>
      <c r="AL658" s="5" t="str">
        <f t="shared" si="118"/>
        <v>Sky Wood_1120S_82-5107879_NM 1120S - S Corporation</v>
      </c>
      <c r="AM658" s="5" t="str">
        <f t="shared" si="119"/>
        <v>Sky Wood_1120S_82-5107879_NM-Tax Services-ANN-1120S - S Corporation_Mid</v>
      </c>
    </row>
    <row r="659" spans="1:39" x14ac:dyDescent="0.25">
      <c r="A659" s="2" t="s">
        <v>1137</v>
      </c>
      <c r="B659" s="2" t="s">
        <v>1138</v>
      </c>
      <c r="C659" s="2" t="s">
        <v>1196</v>
      </c>
      <c r="D659" s="8">
        <v>43831</v>
      </c>
      <c r="E659" s="5" t="str">
        <f t="shared" si="120"/>
        <v>Smiley, Clay_01-01-20</v>
      </c>
      <c r="F659" s="2" t="s">
        <v>1203</v>
      </c>
      <c r="G659" s="2" t="s">
        <v>1241</v>
      </c>
      <c r="H659" s="2" t="s">
        <v>1220</v>
      </c>
      <c r="I659" s="2" t="s">
        <v>1223</v>
      </c>
      <c r="J659" s="2" t="s">
        <v>1234</v>
      </c>
      <c r="M659" s="5" t="str">
        <f t="shared" si="112"/>
        <v>Basic</v>
      </c>
      <c r="N659" s="5" t="str">
        <f t="shared" si="113"/>
        <v>Tax-Staff-Basic</v>
      </c>
      <c r="O659" s="5" t="str">
        <f t="shared" si="114"/>
        <v>Tax-Reviewer-Basic</v>
      </c>
      <c r="P659" s="5" t="str">
        <f t="shared" si="115"/>
        <v>Tax-Signer-Basic</v>
      </c>
      <c r="Q659" s="6">
        <v>1.4675000000000016</v>
      </c>
      <c r="R659" s="6">
        <v>0.29350000000000032</v>
      </c>
      <c r="S659" s="6">
        <v>0.14675000000000016</v>
      </c>
      <c r="T659" s="7">
        <f t="shared" si="121"/>
        <v>1.9077500000000021</v>
      </c>
      <c r="U659" s="6" t="e">
        <f>SUMIFS([1]Sheet1!$L:$L,[1]Sheet1!$I:$I,AJ659,[1]Sheet1!$C:$C,A659)</f>
        <v>#VALUE!</v>
      </c>
      <c r="V659" s="6"/>
      <c r="W659" s="6"/>
      <c r="X659" s="7" t="e">
        <f t="shared" si="116"/>
        <v>#VALUE!</v>
      </c>
      <c r="Y659" s="6"/>
      <c r="AJ659" s="5" t="str">
        <f t="shared" si="111"/>
        <v>NM 1040 - Personal</v>
      </c>
      <c r="AK659" s="5" t="str">
        <f t="shared" si="117"/>
        <v>NM-Tax Services-ANN-1040 - Personal_Basic</v>
      </c>
      <c r="AL659" s="5" t="str">
        <f t="shared" si="118"/>
        <v>Smiley_1_NM 1040 - Personal</v>
      </c>
      <c r="AM659" s="5" t="str">
        <f t="shared" si="119"/>
        <v>Smiley_1_NM-Tax Services-ANN-1040 - Personal_Basic</v>
      </c>
    </row>
    <row r="660" spans="1:39" x14ac:dyDescent="0.25">
      <c r="A660" s="2" t="s">
        <v>886</v>
      </c>
      <c r="B660" s="2" t="s">
        <v>887</v>
      </c>
      <c r="C660" s="2" t="s">
        <v>1197</v>
      </c>
      <c r="D660" s="8">
        <v>43831</v>
      </c>
      <c r="E660" s="5" t="str">
        <f t="shared" si="120"/>
        <v>Smith, Tracey_01-01-20</v>
      </c>
      <c r="F660" s="2" t="s">
        <v>1203</v>
      </c>
      <c r="G660" s="2" t="s">
        <v>1241</v>
      </c>
      <c r="H660" s="2" t="s">
        <v>1220</v>
      </c>
      <c r="I660" s="2" t="s">
        <v>1223</v>
      </c>
      <c r="J660" s="2" t="s">
        <v>1234</v>
      </c>
      <c r="M660" s="5" t="str">
        <f t="shared" si="112"/>
        <v>Basic</v>
      </c>
      <c r="N660" s="5" t="str">
        <f t="shared" si="113"/>
        <v>Tax-Staff-Basic</v>
      </c>
      <c r="O660" s="5" t="str">
        <f t="shared" si="114"/>
        <v>Tax-Reviewer-Basic</v>
      </c>
      <c r="P660" s="5" t="str">
        <f t="shared" si="115"/>
        <v>Tax-Signer-Basic</v>
      </c>
      <c r="Q660" s="6">
        <v>1.4675000000000016</v>
      </c>
      <c r="R660" s="6">
        <v>0.29350000000000032</v>
      </c>
      <c r="S660" s="6">
        <v>0.14675000000000016</v>
      </c>
      <c r="T660" s="7">
        <f t="shared" si="121"/>
        <v>1.9077500000000021</v>
      </c>
      <c r="U660" s="6" t="e">
        <f>SUMIFS([1]Sheet1!$L:$L,[1]Sheet1!$I:$I,AJ660,[1]Sheet1!$C:$C,A660)</f>
        <v>#VALUE!</v>
      </c>
      <c r="V660" s="6"/>
      <c r="W660" s="6"/>
      <c r="X660" s="7" t="e">
        <f t="shared" si="116"/>
        <v>#VALUE!</v>
      </c>
      <c r="Y660" s="6"/>
      <c r="AJ660" s="5" t="str">
        <f t="shared" si="111"/>
        <v>MO 1040 - Personal</v>
      </c>
      <c r="AK660" s="5" t="str">
        <f t="shared" si="117"/>
        <v>MO-Tax Services-ANN-1040 - Personal_Basic</v>
      </c>
      <c r="AL660" s="5" t="str">
        <f t="shared" si="118"/>
        <v>Smith,_1519_MO 1040 - Personal</v>
      </c>
      <c r="AM660" s="5" t="str">
        <f t="shared" si="119"/>
        <v>Smith,_1519_MO-Tax Services-ANN-1040 - Personal_Basic</v>
      </c>
    </row>
    <row r="661" spans="1:39" x14ac:dyDescent="0.25">
      <c r="A661" s="2" t="s">
        <v>1099</v>
      </c>
      <c r="B661" s="2" t="s">
        <v>1100</v>
      </c>
      <c r="C661" s="2" t="s">
        <v>1196</v>
      </c>
      <c r="D661" s="8">
        <v>43831</v>
      </c>
      <c r="E661" s="5" t="str">
        <f t="shared" si="120"/>
        <v>Smith, Gardner_01-01-20</v>
      </c>
      <c r="F661" s="2" t="s">
        <v>1203</v>
      </c>
      <c r="G661" s="2" t="s">
        <v>1241</v>
      </c>
      <c r="H661" s="2" t="s">
        <v>1220</v>
      </c>
      <c r="I661" s="2" t="s">
        <v>1222</v>
      </c>
      <c r="J661" s="2" t="s">
        <v>1234</v>
      </c>
      <c r="M661" s="5" t="str">
        <f t="shared" si="112"/>
        <v>Adv</v>
      </c>
      <c r="N661" s="5" t="str">
        <f t="shared" si="113"/>
        <v>Tax-Staff-Adv</v>
      </c>
      <c r="O661" s="5" t="str">
        <f t="shared" si="114"/>
        <v>Tax-Reviewer-Adv</v>
      </c>
      <c r="P661" s="5" t="str">
        <f t="shared" si="115"/>
        <v>Tax-Signer-Adv</v>
      </c>
      <c r="Q661" s="6">
        <v>4.5832500000000005</v>
      </c>
      <c r="R661" s="6">
        <v>0.91665000000000019</v>
      </c>
      <c r="S661" s="6">
        <v>0.45832500000000009</v>
      </c>
      <c r="T661" s="7">
        <f t="shared" si="121"/>
        <v>5.9582250000000005</v>
      </c>
      <c r="U661" s="6" t="e">
        <f>SUMIFS([1]Sheet1!$L:$L,[1]Sheet1!$I:$I,AJ661,[1]Sheet1!$C:$C,A661)</f>
        <v>#VALUE!</v>
      </c>
      <c r="V661" s="6"/>
      <c r="W661" s="6"/>
      <c r="X661" s="7" t="e">
        <f t="shared" si="116"/>
        <v>#VALUE!</v>
      </c>
      <c r="Y661" s="6"/>
      <c r="AJ661" s="5" t="str">
        <f t="shared" si="111"/>
        <v>NM 1040 - Personal</v>
      </c>
      <c r="AK661" s="5" t="str">
        <f t="shared" si="117"/>
        <v>NM-Tax Services-ANN-1040 - Personal_Adv</v>
      </c>
      <c r="AL661" s="5" t="str">
        <f t="shared" si="118"/>
        <v>Smith,_3034_NM 1040 - Personal</v>
      </c>
      <c r="AM661" s="5" t="str">
        <f t="shared" si="119"/>
        <v>Smith,_3034_NM-Tax Services-ANN-1040 - Personal_Adv</v>
      </c>
    </row>
    <row r="662" spans="1:39" x14ac:dyDescent="0.25">
      <c r="A662" s="2" t="s">
        <v>1119</v>
      </c>
      <c r="B662" s="2" t="s">
        <v>1120</v>
      </c>
      <c r="C662" s="2" t="s">
        <v>1196</v>
      </c>
      <c r="D662" s="8">
        <v>43831</v>
      </c>
      <c r="E662" s="5" t="str">
        <f t="shared" si="120"/>
        <v>Smith, Kim_01-01-20</v>
      </c>
      <c r="F662" s="2" t="s">
        <v>1203</v>
      </c>
      <c r="G662" s="2" t="s">
        <v>1241</v>
      </c>
      <c r="H662" s="2" t="s">
        <v>1220</v>
      </c>
      <c r="I662" s="2" t="s">
        <v>1223</v>
      </c>
      <c r="J662" s="2" t="s">
        <v>1234</v>
      </c>
      <c r="M662" s="5" t="str">
        <f t="shared" si="112"/>
        <v>Basic</v>
      </c>
      <c r="N662" s="5" t="str">
        <f t="shared" si="113"/>
        <v>Tax-Staff-Basic</v>
      </c>
      <c r="O662" s="5" t="str">
        <f t="shared" si="114"/>
        <v>Tax-Reviewer-Basic</v>
      </c>
      <c r="P662" s="5" t="str">
        <f t="shared" si="115"/>
        <v>Tax-Signer-Basic</v>
      </c>
      <c r="Q662" s="6">
        <v>1.4675000000000016</v>
      </c>
      <c r="R662" s="6">
        <v>0.29350000000000032</v>
      </c>
      <c r="S662" s="6">
        <v>0.14675000000000016</v>
      </c>
      <c r="T662" s="7">
        <f t="shared" si="121"/>
        <v>1.9077500000000021</v>
      </c>
      <c r="U662" s="6" t="e">
        <f>SUMIFS([1]Sheet1!$L:$L,[1]Sheet1!$I:$I,AJ662,[1]Sheet1!$C:$C,A662)</f>
        <v>#VALUE!</v>
      </c>
      <c r="V662" s="6"/>
      <c r="W662" s="6"/>
      <c r="X662" s="7" t="e">
        <f t="shared" si="116"/>
        <v>#VALUE!</v>
      </c>
      <c r="Y662" s="6"/>
      <c r="AJ662" s="5" t="str">
        <f t="shared" si="111"/>
        <v>NM 1040 - Personal</v>
      </c>
      <c r="AK662" s="5" t="str">
        <f t="shared" si="117"/>
        <v>NM-Tax Services-ANN-1040 - Personal_Basic</v>
      </c>
      <c r="AL662" s="5" t="str">
        <f t="shared" si="118"/>
        <v>Smith,_6412_NM 1040 - Personal</v>
      </c>
      <c r="AM662" s="5" t="str">
        <f t="shared" si="119"/>
        <v>Smith,_6412_NM-Tax Services-ANN-1040 - Personal_Basic</v>
      </c>
    </row>
    <row r="663" spans="1:39" x14ac:dyDescent="0.25">
      <c r="A663" s="2" t="s">
        <v>882</v>
      </c>
      <c r="B663" s="2" t="s">
        <v>883</v>
      </c>
      <c r="C663" s="2" t="s">
        <v>1197</v>
      </c>
      <c r="D663" s="8">
        <v>43831</v>
      </c>
      <c r="E663" s="5" t="str">
        <f t="shared" si="120"/>
        <v>Smith, Robert R. &amp; Ann B._01-01-20</v>
      </c>
      <c r="F663" s="2" t="s">
        <v>1203</v>
      </c>
      <c r="G663" s="2" t="s">
        <v>1241</v>
      </c>
      <c r="H663" s="2" t="s">
        <v>1220</v>
      </c>
      <c r="I663" s="2" t="s">
        <v>1221</v>
      </c>
      <c r="J663" s="2" t="s">
        <v>1234</v>
      </c>
      <c r="M663" s="5" t="str">
        <f t="shared" si="112"/>
        <v>Mid</v>
      </c>
      <c r="N663" s="5" t="str">
        <f t="shared" si="113"/>
        <v>Tax-Staff-Mid</v>
      </c>
      <c r="O663" s="5" t="str">
        <f t="shared" si="114"/>
        <v>Tax-Reviewer-Mid</v>
      </c>
      <c r="P663" s="5" t="str">
        <f t="shared" si="115"/>
        <v>Tax-Signer-Mid</v>
      </c>
      <c r="Q663" s="6">
        <v>2.7401969696969677</v>
      </c>
      <c r="R663" s="6">
        <v>0.5480393939393936</v>
      </c>
      <c r="S663" s="6">
        <v>0.2740196969696968</v>
      </c>
      <c r="T663" s="7">
        <f t="shared" si="121"/>
        <v>3.562256060606058</v>
      </c>
      <c r="U663" s="6" t="e">
        <f>SUMIFS([1]Sheet1!$L:$L,[1]Sheet1!$I:$I,AJ663,[1]Sheet1!$C:$C,A663)</f>
        <v>#VALUE!</v>
      </c>
      <c r="V663" s="6"/>
      <c r="W663" s="6"/>
      <c r="X663" s="7" t="e">
        <f t="shared" si="116"/>
        <v>#VALUE!</v>
      </c>
      <c r="Y663" s="6"/>
      <c r="AJ663" s="5" t="str">
        <f t="shared" si="111"/>
        <v>MO 1040 - Personal</v>
      </c>
      <c r="AK663" s="5" t="str">
        <f t="shared" si="117"/>
        <v>MO-Tax Services-ANN-1040 - Personal_Mid</v>
      </c>
      <c r="AL663" s="5" t="str">
        <f t="shared" si="118"/>
        <v>Smith,_7874_MO 1040 - Personal</v>
      </c>
      <c r="AM663" s="5" t="str">
        <f t="shared" si="119"/>
        <v>Smith,_7874_MO-Tax Services-ANN-1040 - Personal_Mid</v>
      </c>
    </row>
    <row r="664" spans="1:39" x14ac:dyDescent="0.25">
      <c r="A664" s="2" t="s">
        <v>880</v>
      </c>
      <c r="B664" s="2" t="s">
        <v>881</v>
      </c>
      <c r="C664" s="2" t="s">
        <v>1196</v>
      </c>
      <c r="D664" s="8">
        <v>43831</v>
      </c>
      <c r="E664" s="5" t="str">
        <f t="shared" si="120"/>
        <v>Smith, Josh_01-01-20</v>
      </c>
      <c r="F664" s="2" t="s">
        <v>1203</v>
      </c>
      <c r="G664" s="2" t="s">
        <v>1241</v>
      </c>
      <c r="H664" s="2" t="s">
        <v>1220</v>
      </c>
      <c r="I664" s="2" t="s">
        <v>1223</v>
      </c>
      <c r="J664" s="2" t="s">
        <v>1234</v>
      </c>
      <c r="M664" s="5" t="str">
        <f t="shared" si="112"/>
        <v>Basic</v>
      </c>
      <c r="N664" s="5" t="str">
        <f t="shared" si="113"/>
        <v>Tax-Staff-Basic</v>
      </c>
      <c r="O664" s="5" t="str">
        <f t="shared" si="114"/>
        <v>Tax-Reviewer-Basic</v>
      </c>
      <c r="P664" s="5" t="str">
        <f t="shared" si="115"/>
        <v>Tax-Signer-Basic</v>
      </c>
      <c r="Q664" s="6">
        <v>1.4675000000000016</v>
      </c>
      <c r="R664" s="6">
        <v>0.29350000000000032</v>
      </c>
      <c r="S664" s="6">
        <v>0.14675000000000016</v>
      </c>
      <c r="T664" s="7">
        <f t="shared" si="121"/>
        <v>1.9077500000000021</v>
      </c>
      <c r="U664" s="6" t="e">
        <f>SUMIFS([1]Sheet1!$L:$L,[1]Sheet1!$I:$I,AJ664,[1]Sheet1!$C:$C,A664)</f>
        <v>#VALUE!</v>
      </c>
      <c r="V664" s="6"/>
      <c r="W664" s="6"/>
      <c r="X664" s="7" t="e">
        <f t="shared" si="116"/>
        <v>#VALUE!</v>
      </c>
      <c r="Y664" s="6"/>
      <c r="AJ664" s="5" t="str">
        <f t="shared" si="111"/>
        <v>NM 1040 - Personal</v>
      </c>
      <c r="AK664" s="5" t="str">
        <f t="shared" si="117"/>
        <v>NM-Tax Services-ANN-1040 - Personal_Basic</v>
      </c>
      <c r="AL664" s="5" t="str">
        <f t="shared" si="118"/>
        <v>Smith,_8727_NM 1040 - Personal</v>
      </c>
      <c r="AM664" s="5" t="str">
        <f t="shared" si="119"/>
        <v>Smith,_8727_NM-Tax Services-ANN-1040 - Personal_Basic</v>
      </c>
    </row>
    <row r="665" spans="1:39" x14ac:dyDescent="0.25">
      <c r="A665" s="2" t="s">
        <v>884</v>
      </c>
      <c r="B665" s="2" t="s">
        <v>885</v>
      </c>
      <c r="C665" s="2" t="s">
        <v>1197</v>
      </c>
      <c r="D665" s="8">
        <v>43831</v>
      </c>
      <c r="E665" s="5" t="str">
        <f t="shared" si="120"/>
        <v>Smith, Ryan B &amp; Jayme A_01-01-20</v>
      </c>
      <c r="F665" s="2" t="s">
        <v>1203</v>
      </c>
      <c r="G665" s="2" t="s">
        <v>1241</v>
      </c>
      <c r="H665" s="2" t="s">
        <v>1220</v>
      </c>
      <c r="I665" s="2" t="s">
        <v>1221</v>
      </c>
      <c r="J665" s="2" t="s">
        <v>1234</v>
      </c>
      <c r="M665" s="5" t="str">
        <f t="shared" si="112"/>
        <v>Mid</v>
      </c>
      <c r="N665" s="5" t="str">
        <f t="shared" si="113"/>
        <v>Tax-Staff-Mid</v>
      </c>
      <c r="O665" s="5" t="str">
        <f t="shared" si="114"/>
        <v>Tax-Reviewer-Mid</v>
      </c>
      <c r="P665" s="5" t="str">
        <f t="shared" si="115"/>
        <v>Tax-Signer-Mid</v>
      </c>
      <c r="Q665" s="6">
        <v>2.7401969696969677</v>
      </c>
      <c r="R665" s="6">
        <v>0.5480393939393936</v>
      </c>
      <c r="S665" s="6">
        <v>0.2740196969696968</v>
      </c>
      <c r="T665" s="7">
        <f t="shared" si="121"/>
        <v>3.562256060606058</v>
      </c>
      <c r="U665" s="6" t="e">
        <f>SUMIFS([1]Sheet1!$L:$L,[1]Sheet1!$I:$I,AJ665,[1]Sheet1!$C:$C,A665)</f>
        <v>#VALUE!</v>
      </c>
      <c r="V665" s="6"/>
      <c r="W665" s="6"/>
      <c r="X665" s="7" t="e">
        <f t="shared" si="116"/>
        <v>#VALUE!</v>
      </c>
      <c r="Y665" s="6"/>
      <c r="AJ665" s="5" t="str">
        <f t="shared" si="111"/>
        <v>MO 1040 - Personal</v>
      </c>
      <c r="AK665" s="5" t="str">
        <f t="shared" si="117"/>
        <v>MO-Tax Services-ANN-1040 - Personal_Mid</v>
      </c>
      <c r="AL665" s="5" t="str">
        <f t="shared" si="118"/>
        <v>Smith,_9664_MO 1040 - Personal</v>
      </c>
      <c r="AM665" s="5" t="str">
        <f t="shared" si="119"/>
        <v>Smith,_9664_MO-Tax Services-ANN-1040 - Personal_Mid</v>
      </c>
    </row>
    <row r="666" spans="1:39" x14ac:dyDescent="0.25">
      <c r="A666" s="2" t="s">
        <v>888</v>
      </c>
      <c r="B666" s="2" t="s">
        <v>889</v>
      </c>
      <c r="C666" s="2" t="s">
        <v>1197</v>
      </c>
      <c r="D666" s="8">
        <v>43831</v>
      </c>
      <c r="E666" s="5" t="str">
        <f t="shared" si="120"/>
        <v>Solis, Roque_01-01-20</v>
      </c>
      <c r="F666" s="2" t="s">
        <v>1203</v>
      </c>
      <c r="G666" s="2" t="s">
        <v>1241</v>
      </c>
      <c r="H666" s="2" t="s">
        <v>1220</v>
      </c>
      <c r="I666" s="2" t="s">
        <v>1221</v>
      </c>
      <c r="J666" s="2" t="s">
        <v>1234</v>
      </c>
      <c r="M666" s="5" t="str">
        <f t="shared" si="112"/>
        <v>Mid</v>
      </c>
      <c r="N666" s="5" t="str">
        <f t="shared" si="113"/>
        <v>Tax-Staff-Mid</v>
      </c>
      <c r="O666" s="5" t="str">
        <f t="shared" si="114"/>
        <v>Tax-Reviewer-Mid</v>
      </c>
      <c r="P666" s="5" t="str">
        <f t="shared" si="115"/>
        <v>Tax-Signer-Mid</v>
      </c>
      <c r="Q666" s="6">
        <v>2.7401969696969677</v>
      </c>
      <c r="R666" s="6">
        <v>0.5480393939393936</v>
      </c>
      <c r="S666" s="6">
        <v>0.2740196969696968</v>
      </c>
      <c r="T666" s="7">
        <f t="shared" si="121"/>
        <v>3.562256060606058</v>
      </c>
      <c r="U666" s="6" t="e">
        <f>SUMIFS([1]Sheet1!$L:$L,[1]Sheet1!$I:$I,AJ666,[1]Sheet1!$C:$C,A666)</f>
        <v>#VALUE!</v>
      </c>
      <c r="V666" s="6"/>
      <c r="W666" s="6"/>
      <c r="X666" s="7" t="e">
        <f t="shared" si="116"/>
        <v>#VALUE!</v>
      </c>
      <c r="Y666" s="6"/>
      <c r="AJ666" s="5" t="str">
        <f t="shared" si="111"/>
        <v>MO 1040 - Personal</v>
      </c>
      <c r="AK666" s="5" t="str">
        <f t="shared" si="117"/>
        <v>MO-Tax Services-ANN-1040 - Personal_Mid</v>
      </c>
      <c r="AL666" s="5" t="str">
        <f t="shared" si="118"/>
        <v>Solis,_8425_MO 1040 - Personal</v>
      </c>
      <c r="AM666" s="5" t="str">
        <f t="shared" si="119"/>
        <v>Solis,_8425_MO-Tax Services-ANN-1040 - Personal_Mid</v>
      </c>
    </row>
    <row r="667" spans="1:39" x14ac:dyDescent="0.25">
      <c r="A667" s="2" t="s">
        <v>144</v>
      </c>
      <c r="B667" s="2" t="s">
        <v>145</v>
      </c>
      <c r="C667" s="2" t="s">
        <v>1197</v>
      </c>
      <c r="D667" s="8">
        <v>43831</v>
      </c>
      <c r="E667" s="5" t="str">
        <f t="shared" si="120"/>
        <v>Solisystems Corp_01-01-20</v>
      </c>
      <c r="F667" s="2" t="s">
        <v>1201</v>
      </c>
      <c r="G667" s="2" t="s">
        <v>1201</v>
      </c>
      <c r="H667" s="2" t="s">
        <v>1197</v>
      </c>
      <c r="I667" s="2" t="s">
        <v>1221</v>
      </c>
      <c r="J667" s="2" t="s">
        <v>1235</v>
      </c>
      <c r="M667" s="5" t="str">
        <f t="shared" si="112"/>
        <v>Mid</v>
      </c>
      <c r="N667" s="5" t="str">
        <f t="shared" si="113"/>
        <v>Accountant-Staff-Mid</v>
      </c>
      <c r="O667" s="5" t="str">
        <f t="shared" si="114"/>
        <v>Accountant-Reviewer-Mid</v>
      </c>
      <c r="P667" s="5" t="str">
        <f t="shared" si="115"/>
        <v>Accountant-Signer-Mid</v>
      </c>
      <c r="Q667" s="6">
        <v>1.47</v>
      </c>
      <c r="R667" s="6">
        <v>0.29399999999999998</v>
      </c>
      <c r="S667" s="6">
        <v>0.14699999999999999</v>
      </c>
      <c r="T667" s="7">
        <f t="shared" si="121"/>
        <v>1.911</v>
      </c>
      <c r="U667" s="6" t="e">
        <f>SUMIFS([1]Sheet1!$L:$L,[1]Sheet1!$I:$I,AJ667,[1]Sheet1!$C:$C,A667)</f>
        <v>#VALUE!</v>
      </c>
      <c r="V667" s="6"/>
      <c r="W667" s="6"/>
      <c r="X667" s="7" t="e">
        <f t="shared" si="116"/>
        <v>#VALUE!</v>
      </c>
      <c r="Y667" s="6"/>
      <c r="AJ667" s="5" t="str">
        <f t="shared" si="111"/>
        <v>MO Accounting Services</v>
      </c>
      <c r="AK667" s="5" t="str">
        <f t="shared" si="117"/>
        <v>MO-Accounting Services-MO-Accounting Services_Mid</v>
      </c>
      <c r="AL667" s="5" t="str">
        <f t="shared" si="118"/>
        <v>Solisyst_1120S_75-2961419_MO Accounting Services</v>
      </c>
      <c r="AM667" s="5" t="str">
        <f t="shared" si="119"/>
        <v>Solisyst_1120S_75-2961419_MO-Accounting Services-MO-Accounting Services_Mid</v>
      </c>
    </row>
    <row r="668" spans="1:39" x14ac:dyDescent="0.25">
      <c r="A668" s="2" t="s">
        <v>144</v>
      </c>
      <c r="B668" s="2" t="s">
        <v>145</v>
      </c>
      <c r="C668" s="2" t="s">
        <v>1197</v>
      </c>
      <c r="D668" s="8">
        <v>43831</v>
      </c>
      <c r="E668" s="5" t="str">
        <f t="shared" si="120"/>
        <v>Solisystems Corp_01-01-20</v>
      </c>
      <c r="F668" s="2" t="s">
        <v>1202</v>
      </c>
      <c r="G668" s="2" t="s">
        <v>1201</v>
      </c>
      <c r="H668" s="2" t="s">
        <v>1197</v>
      </c>
      <c r="I668" s="2" t="s">
        <v>1221</v>
      </c>
      <c r="J668" s="2" t="s">
        <v>1235</v>
      </c>
      <c r="M668" s="5" t="str">
        <f t="shared" si="112"/>
        <v>Mid</v>
      </c>
      <c r="N668" s="5" t="str">
        <f t="shared" si="113"/>
        <v>Accountant-Staff-Mid</v>
      </c>
      <c r="O668" s="5" t="str">
        <f t="shared" si="114"/>
        <v>Accountant-Reviewer-Mid</v>
      </c>
      <c r="P668" s="5" t="str">
        <f t="shared" si="115"/>
        <v>Accountant-Signer-Mid</v>
      </c>
      <c r="Q668" s="6">
        <v>1</v>
      </c>
      <c r="R668" s="6">
        <v>0.2</v>
      </c>
      <c r="S668" s="6">
        <v>0.1</v>
      </c>
      <c r="T668" s="7">
        <f t="shared" si="121"/>
        <v>1.3</v>
      </c>
      <c r="U668" s="6" t="e">
        <f>SUMIFS([1]Sheet1!$L:$L,[1]Sheet1!$I:$I,AJ668,[1]Sheet1!$C:$C,A668)</f>
        <v>#VALUE!</v>
      </c>
      <c r="V668" s="6"/>
      <c r="W668" s="6"/>
      <c r="X668" s="7" t="e">
        <f t="shared" si="116"/>
        <v>#VALUE!</v>
      </c>
      <c r="Y668" s="6"/>
      <c r="AJ668" s="5" t="str">
        <f t="shared" ref="AJ668:AJ699" si="122">C668&amp;" "&amp;F668</f>
        <v>MO Sales Tax Services</v>
      </c>
      <c r="AK668" s="5" t="str">
        <f t="shared" si="117"/>
        <v>MO-Accounting Services-MO-Sales Tax Services_Mid</v>
      </c>
      <c r="AL668" s="5" t="str">
        <f t="shared" si="118"/>
        <v>Solisyst_1120S_75-2961419_MO Sales Tax Services</v>
      </c>
      <c r="AM668" s="5" t="str">
        <f t="shared" si="119"/>
        <v>Solisyst_1120S_75-2961419_MO-Accounting Services-MO-Sales Tax Services_Mid</v>
      </c>
    </row>
    <row r="669" spans="1:39" x14ac:dyDescent="0.25">
      <c r="A669" s="2" t="s">
        <v>144</v>
      </c>
      <c r="B669" s="2" t="s">
        <v>145</v>
      </c>
      <c r="C669" s="2" t="s">
        <v>1197</v>
      </c>
      <c r="D669" s="8">
        <v>43831</v>
      </c>
      <c r="E669" s="5" t="str">
        <f t="shared" si="120"/>
        <v>Solisystems Corp_01-01-20</v>
      </c>
      <c r="F669" s="2" t="s">
        <v>1204</v>
      </c>
      <c r="G669" s="2" t="s">
        <v>1241</v>
      </c>
      <c r="H669" s="2" t="s">
        <v>1220</v>
      </c>
      <c r="I669" s="2" t="s">
        <v>1221</v>
      </c>
      <c r="J669" s="2" t="s">
        <v>1234</v>
      </c>
      <c r="M669" s="5" t="str">
        <f t="shared" si="112"/>
        <v>Mid</v>
      </c>
      <c r="N669" s="5" t="str">
        <f t="shared" si="113"/>
        <v>Tax-Staff-Mid</v>
      </c>
      <c r="O669" s="5" t="str">
        <f t="shared" si="114"/>
        <v>Tax-Reviewer-Mid</v>
      </c>
      <c r="P669" s="5" t="str">
        <f t="shared" si="115"/>
        <v>Tax-Signer-Mid</v>
      </c>
      <c r="Q669" s="6">
        <v>2.7401969696969677</v>
      </c>
      <c r="R669" s="6">
        <v>0.5480393939393936</v>
      </c>
      <c r="S669" s="6">
        <v>0.2740196969696968</v>
      </c>
      <c r="T669" s="7">
        <f t="shared" si="121"/>
        <v>3.562256060606058</v>
      </c>
      <c r="U669" s="6" t="e">
        <f>SUMIFS([1]Sheet1!$L:$L,[1]Sheet1!$I:$I,AJ669,[1]Sheet1!$C:$C,A669)</f>
        <v>#VALUE!</v>
      </c>
      <c r="V669" s="6"/>
      <c r="W669" s="6"/>
      <c r="X669" s="7" t="e">
        <f t="shared" si="116"/>
        <v>#VALUE!</v>
      </c>
      <c r="Y669" s="6"/>
      <c r="AJ669" s="5" t="str">
        <f t="shared" si="122"/>
        <v>MO 1120S - S Corporation</v>
      </c>
      <c r="AK669" s="5" t="str">
        <f t="shared" si="117"/>
        <v>MO-Tax Services-ANN-1120S - S Corporation_Mid</v>
      </c>
      <c r="AL669" s="5" t="str">
        <f t="shared" si="118"/>
        <v>Solisyst_1120S_75-2961419_MO 1120S - S Corporation</v>
      </c>
      <c r="AM669" s="5" t="str">
        <f t="shared" si="119"/>
        <v>Solisyst_1120S_75-2961419_MO-Tax Services-ANN-1120S - S Corporation_Mid</v>
      </c>
    </row>
    <row r="670" spans="1:39" x14ac:dyDescent="0.25">
      <c r="A670" s="2" t="s">
        <v>890</v>
      </c>
      <c r="B670" s="2" t="s">
        <v>891</v>
      </c>
      <c r="C670" s="2" t="s">
        <v>1196</v>
      </c>
      <c r="D670" s="8">
        <v>43831</v>
      </c>
      <c r="E670" s="5" t="str">
        <f t="shared" si="120"/>
        <v>Somarriba, Noel &amp; Heather_01-01-20</v>
      </c>
      <c r="F670" s="2" t="s">
        <v>1203</v>
      </c>
      <c r="G670" s="2" t="s">
        <v>1241</v>
      </c>
      <c r="H670" s="2" t="s">
        <v>1220</v>
      </c>
      <c r="I670" s="2" t="s">
        <v>1221</v>
      </c>
      <c r="J670" s="2" t="s">
        <v>1234</v>
      </c>
      <c r="M670" s="5" t="str">
        <f t="shared" si="112"/>
        <v>Mid</v>
      </c>
      <c r="N670" s="5" t="str">
        <f t="shared" si="113"/>
        <v>Tax-Staff-Mid</v>
      </c>
      <c r="O670" s="5" t="str">
        <f t="shared" si="114"/>
        <v>Tax-Reviewer-Mid</v>
      </c>
      <c r="P670" s="5" t="str">
        <f t="shared" si="115"/>
        <v>Tax-Signer-Mid</v>
      </c>
      <c r="Q670" s="6">
        <v>2.7401969696969677</v>
      </c>
      <c r="R670" s="6">
        <v>0.5480393939393936</v>
      </c>
      <c r="S670" s="6">
        <v>0.2740196969696968</v>
      </c>
      <c r="T670" s="7">
        <f t="shared" si="121"/>
        <v>3.562256060606058</v>
      </c>
      <c r="U670" s="6" t="e">
        <f>SUMIFS([1]Sheet1!$L:$L,[1]Sheet1!$I:$I,AJ670,[1]Sheet1!$C:$C,A670)</f>
        <v>#VALUE!</v>
      </c>
      <c r="V670" s="6"/>
      <c r="W670" s="6"/>
      <c r="X670" s="7" t="e">
        <f t="shared" si="116"/>
        <v>#VALUE!</v>
      </c>
      <c r="Y670" s="6"/>
      <c r="AJ670" s="5" t="str">
        <f t="shared" si="122"/>
        <v>NM 1040 - Personal</v>
      </c>
      <c r="AK670" s="5" t="str">
        <f t="shared" si="117"/>
        <v>NM-Tax Services-ANN-1040 - Personal_Mid</v>
      </c>
      <c r="AL670" s="5" t="str">
        <f t="shared" si="118"/>
        <v>Somarr_1985_NM 1040 - Personal</v>
      </c>
      <c r="AM670" s="5" t="str">
        <f t="shared" si="119"/>
        <v>Somarr_1985_NM-Tax Services-ANN-1040 - Personal_Mid</v>
      </c>
    </row>
    <row r="671" spans="1:39" x14ac:dyDescent="0.25">
      <c r="A671" s="2" t="s">
        <v>892</v>
      </c>
      <c r="B671" s="2" t="s">
        <v>146</v>
      </c>
      <c r="C671" s="2" t="s">
        <v>1197</v>
      </c>
      <c r="D671" s="8">
        <v>43831</v>
      </c>
      <c r="E671" s="5" t="str">
        <f t="shared" si="120"/>
        <v>Sorrell Designs_01-01-20</v>
      </c>
      <c r="F671" s="2" t="s">
        <v>1201</v>
      </c>
      <c r="G671" s="2" t="s">
        <v>1201</v>
      </c>
      <c r="H671" s="2" t="s">
        <v>1197</v>
      </c>
      <c r="I671" s="2" t="s">
        <v>1223</v>
      </c>
      <c r="J671" s="2" t="s">
        <v>1235</v>
      </c>
      <c r="M671" s="5" t="str">
        <f t="shared" si="112"/>
        <v>Basic</v>
      </c>
      <c r="N671" s="5" t="str">
        <f t="shared" si="113"/>
        <v>Accountant-Staff-Basic</v>
      </c>
      <c r="O671" s="5" t="str">
        <f t="shared" si="114"/>
        <v>Accountant-Reviewer-Basic</v>
      </c>
      <c r="P671" s="5" t="str">
        <f t="shared" si="115"/>
        <v>Accountant-Signer-Basic</v>
      </c>
      <c r="Q671" s="6">
        <v>1.47</v>
      </c>
      <c r="R671" s="6">
        <v>0.29399999999999998</v>
      </c>
      <c r="S671" s="6">
        <v>0.14699999999999999</v>
      </c>
      <c r="T671" s="7">
        <f t="shared" si="121"/>
        <v>1.911</v>
      </c>
      <c r="U671" s="6" t="e">
        <f>SUMIFS([1]Sheet1!$L:$L,[1]Sheet1!$I:$I,AJ671,[1]Sheet1!$C:$C,A671)</f>
        <v>#VALUE!</v>
      </c>
      <c r="V671" s="6"/>
      <c r="W671" s="6"/>
      <c r="X671" s="7" t="e">
        <f t="shared" si="116"/>
        <v>#VALUE!</v>
      </c>
      <c r="Y671" s="6"/>
      <c r="AJ671" s="5" t="str">
        <f t="shared" si="122"/>
        <v>MO Accounting Services</v>
      </c>
      <c r="AK671" s="5" t="str">
        <f t="shared" si="117"/>
        <v>MO-Accounting Services-MO-Accounting Services_Basic</v>
      </c>
      <c r="AL671" s="5" t="str">
        <f t="shared" si="118"/>
        <v>Sorrel_9706_MO Accounting Services</v>
      </c>
      <c r="AM671" s="5" t="str">
        <f t="shared" si="119"/>
        <v>Sorrel_9706_MO-Accounting Services-MO-Accounting Services_Basic</v>
      </c>
    </row>
    <row r="672" spans="1:39" x14ac:dyDescent="0.25">
      <c r="A672" s="2" t="s">
        <v>892</v>
      </c>
      <c r="B672" s="2" t="s">
        <v>893</v>
      </c>
      <c r="C672" s="2" t="s">
        <v>1197</v>
      </c>
      <c r="D672" s="8">
        <v>43831</v>
      </c>
      <c r="E672" s="5" t="str">
        <f t="shared" si="120"/>
        <v>Sorrell, Sharon_01-01-20</v>
      </c>
      <c r="F672" s="2" t="s">
        <v>1203</v>
      </c>
      <c r="G672" s="2" t="s">
        <v>1241</v>
      </c>
      <c r="H672" s="2" t="s">
        <v>1220</v>
      </c>
      <c r="I672" s="2" t="s">
        <v>1221</v>
      </c>
      <c r="J672" s="2" t="s">
        <v>1234</v>
      </c>
      <c r="M672" s="5" t="str">
        <f t="shared" si="112"/>
        <v>Mid</v>
      </c>
      <c r="N672" s="5" t="str">
        <f t="shared" si="113"/>
        <v>Tax-Staff-Mid</v>
      </c>
      <c r="O672" s="5" t="str">
        <f t="shared" si="114"/>
        <v>Tax-Reviewer-Mid</v>
      </c>
      <c r="P672" s="5" t="str">
        <f t="shared" si="115"/>
        <v>Tax-Signer-Mid</v>
      </c>
      <c r="Q672" s="6">
        <v>2.7401969696969677</v>
      </c>
      <c r="R672" s="6">
        <v>0.5480393939393936</v>
      </c>
      <c r="S672" s="6">
        <v>0.2740196969696968</v>
      </c>
      <c r="T672" s="7">
        <f t="shared" si="121"/>
        <v>3.562256060606058</v>
      </c>
      <c r="U672" s="6" t="e">
        <f>SUMIFS([1]Sheet1!$L:$L,[1]Sheet1!$I:$I,AJ672,[1]Sheet1!$C:$C,A672)</f>
        <v>#VALUE!</v>
      </c>
      <c r="V672" s="6"/>
      <c r="W672" s="6"/>
      <c r="X672" s="7" t="e">
        <f t="shared" si="116"/>
        <v>#VALUE!</v>
      </c>
      <c r="Y672" s="6"/>
      <c r="AJ672" s="5" t="str">
        <f t="shared" si="122"/>
        <v>MO 1040 - Personal</v>
      </c>
      <c r="AK672" s="5" t="str">
        <f t="shared" si="117"/>
        <v>MO-Tax Services-ANN-1040 - Personal_Mid</v>
      </c>
      <c r="AL672" s="5" t="str">
        <f t="shared" si="118"/>
        <v>Sorrel_9706_MO 1040 - Personal</v>
      </c>
      <c r="AM672" s="5" t="str">
        <f t="shared" si="119"/>
        <v>Sorrel_9706_MO-Tax Services-ANN-1040 - Personal_Mid</v>
      </c>
    </row>
    <row r="673" spans="1:39" x14ac:dyDescent="0.25">
      <c r="A673" s="2" t="s">
        <v>892</v>
      </c>
      <c r="B673" s="2" t="s">
        <v>146</v>
      </c>
      <c r="C673" s="2" t="s">
        <v>1197</v>
      </c>
      <c r="D673" s="8">
        <v>43831</v>
      </c>
      <c r="E673" s="5" t="str">
        <f t="shared" si="120"/>
        <v>Sorrell Designs_01-01-20</v>
      </c>
      <c r="F673" s="2" t="s">
        <v>1200</v>
      </c>
      <c r="G673" s="2" t="s">
        <v>1241</v>
      </c>
      <c r="H673" s="2" t="s">
        <v>1220</v>
      </c>
      <c r="I673" s="2" t="s">
        <v>1223</v>
      </c>
      <c r="J673" s="2" t="s">
        <v>1234</v>
      </c>
      <c r="M673" s="5" t="str">
        <f t="shared" si="112"/>
        <v>Basic</v>
      </c>
      <c r="N673" s="5" t="str">
        <f t="shared" si="113"/>
        <v>Tax-Staff-Basic</v>
      </c>
      <c r="O673" s="5" t="str">
        <f t="shared" si="114"/>
        <v>Tax-Reviewer-Basic</v>
      </c>
      <c r="P673" s="5" t="str">
        <f t="shared" si="115"/>
        <v>Tax-Signer-Basic</v>
      </c>
      <c r="Q673" s="6">
        <v>0.5</v>
      </c>
      <c r="R673" s="6">
        <v>0.1</v>
      </c>
      <c r="S673" s="6">
        <v>0.05</v>
      </c>
      <c r="T673" s="7">
        <f t="shared" si="121"/>
        <v>0.65</v>
      </c>
      <c r="U673" s="6" t="e">
        <f>SUMIFS([1]Sheet1!$L:$L,[1]Sheet1!$I:$I,AJ673,[1]Sheet1!$C:$C,A673)</f>
        <v>#VALUE!</v>
      </c>
      <c r="V673" s="6"/>
      <c r="W673" s="6"/>
      <c r="X673" s="7" t="e">
        <f t="shared" si="116"/>
        <v>#VALUE!</v>
      </c>
      <c r="Y673" s="6"/>
      <c r="AJ673" s="5" t="str">
        <f t="shared" si="122"/>
        <v>MO Texas Franchise Tax Return</v>
      </c>
      <c r="AK673" s="5" t="str">
        <f t="shared" si="117"/>
        <v>MO-Tax Services-ANN-Texas Franchise Tax Return_Basic</v>
      </c>
      <c r="AL673" s="5" t="str">
        <f t="shared" si="118"/>
        <v>Sorrel_9706_MO Texas Franchise Tax Return</v>
      </c>
      <c r="AM673" s="5" t="str">
        <f t="shared" si="119"/>
        <v>Sorrel_9706_MO-Tax Services-ANN-Texas Franchise Tax Return_Basic</v>
      </c>
    </row>
    <row r="674" spans="1:39" x14ac:dyDescent="0.25">
      <c r="A674" s="2" t="s">
        <v>147</v>
      </c>
      <c r="B674" s="2" t="s">
        <v>148</v>
      </c>
      <c r="C674" s="2" t="s">
        <v>1197</v>
      </c>
      <c r="D674" s="8">
        <v>43831</v>
      </c>
      <c r="E674" s="5" t="str">
        <f t="shared" si="120"/>
        <v>Sovereign General Contracting,_01-01-20</v>
      </c>
      <c r="F674" s="2" t="s">
        <v>1204</v>
      </c>
      <c r="G674" s="2" t="s">
        <v>1241</v>
      </c>
      <c r="H674" s="2" t="s">
        <v>1220</v>
      </c>
      <c r="I674" s="2" t="s">
        <v>1223</v>
      </c>
      <c r="J674" s="2" t="s">
        <v>1234</v>
      </c>
      <c r="M674" s="5" t="str">
        <f t="shared" si="112"/>
        <v>Basic</v>
      </c>
      <c r="N674" s="5" t="str">
        <f t="shared" si="113"/>
        <v>Tax-Staff-Basic</v>
      </c>
      <c r="O674" s="5" t="str">
        <f t="shared" si="114"/>
        <v>Tax-Reviewer-Basic</v>
      </c>
      <c r="P674" s="5" t="str">
        <f t="shared" si="115"/>
        <v>Tax-Signer-Basic</v>
      </c>
      <c r="Q674" s="6">
        <v>1.4675000000000016</v>
      </c>
      <c r="R674" s="6">
        <v>0.29350000000000032</v>
      </c>
      <c r="S674" s="6">
        <v>0.14675000000000016</v>
      </c>
      <c r="T674" s="7">
        <f t="shared" si="121"/>
        <v>1.9077500000000021</v>
      </c>
      <c r="U674" s="6" t="e">
        <f>SUMIFS([1]Sheet1!$L:$L,[1]Sheet1!$I:$I,AJ674,[1]Sheet1!$C:$C,A674)</f>
        <v>#VALUE!</v>
      </c>
      <c r="V674" s="6"/>
      <c r="W674" s="6"/>
      <c r="X674" s="7" t="e">
        <f t="shared" si="116"/>
        <v>#VALUE!</v>
      </c>
      <c r="Y674" s="6"/>
      <c r="AJ674" s="5" t="str">
        <f t="shared" si="122"/>
        <v>MO 1120S - S Corporation</v>
      </c>
      <c r="AK674" s="5" t="str">
        <f t="shared" si="117"/>
        <v>MO-Tax Services-ANN-1120S - S Corporation_Basic</v>
      </c>
      <c r="AL674" s="5" t="str">
        <f t="shared" si="118"/>
        <v>Sovereig_1120S_81-3934649_MO 1120S - S Corporation</v>
      </c>
      <c r="AM674" s="5" t="str">
        <f t="shared" si="119"/>
        <v>Sovereig_1120S_81-3934649_MO-Tax Services-ANN-1120S - S Corporation_Basic</v>
      </c>
    </row>
    <row r="675" spans="1:39" x14ac:dyDescent="0.25">
      <c r="A675" s="2" t="s">
        <v>147</v>
      </c>
      <c r="B675" s="2" t="s">
        <v>148</v>
      </c>
      <c r="C675" s="2" t="s">
        <v>1197</v>
      </c>
      <c r="D675" s="8">
        <v>43831</v>
      </c>
      <c r="E675" s="5" t="str">
        <f t="shared" si="120"/>
        <v>Sovereign General Contracting,_01-01-20</v>
      </c>
      <c r="F675" s="2" t="s">
        <v>1201</v>
      </c>
      <c r="G675" s="2" t="s">
        <v>1201</v>
      </c>
      <c r="H675" s="2" t="s">
        <v>1197</v>
      </c>
      <c r="I675" s="2" t="s">
        <v>1221</v>
      </c>
      <c r="J675" s="2" t="s">
        <v>1235</v>
      </c>
      <c r="M675" s="5" t="str">
        <f t="shared" si="112"/>
        <v>Mid</v>
      </c>
      <c r="N675" s="5" t="str">
        <f t="shared" si="113"/>
        <v>Accountant-Staff-Mid</v>
      </c>
      <c r="O675" s="5" t="str">
        <f t="shared" si="114"/>
        <v>Accountant-Reviewer-Mid</v>
      </c>
      <c r="P675" s="5" t="str">
        <f t="shared" si="115"/>
        <v>Accountant-Signer-Mid</v>
      </c>
      <c r="Q675" s="6">
        <v>1.47</v>
      </c>
      <c r="R675" s="6">
        <v>0.29399999999999998</v>
      </c>
      <c r="S675" s="6">
        <v>0.14699999999999999</v>
      </c>
      <c r="T675" s="7">
        <f t="shared" si="121"/>
        <v>1.911</v>
      </c>
      <c r="U675" s="6" t="e">
        <f>SUMIFS([1]Sheet1!$L:$L,[1]Sheet1!$I:$I,AJ675,[1]Sheet1!$C:$C,A675)</f>
        <v>#VALUE!</v>
      </c>
      <c r="V675" s="6"/>
      <c r="W675" s="6"/>
      <c r="X675" s="7" t="e">
        <f t="shared" si="116"/>
        <v>#VALUE!</v>
      </c>
      <c r="Y675" s="6"/>
      <c r="AJ675" s="5" t="str">
        <f t="shared" si="122"/>
        <v>MO Accounting Services</v>
      </c>
      <c r="AK675" s="5" t="str">
        <f t="shared" si="117"/>
        <v>MO-Accounting Services-MO-Accounting Services_Mid</v>
      </c>
      <c r="AL675" s="5" t="str">
        <f t="shared" si="118"/>
        <v>Sovereig_1120S_81-3934649_MO Accounting Services</v>
      </c>
      <c r="AM675" s="5" t="str">
        <f t="shared" si="119"/>
        <v>Sovereig_1120S_81-3934649_MO-Accounting Services-MO-Accounting Services_Mid</v>
      </c>
    </row>
    <row r="676" spans="1:39" x14ac:dyDescent="0.25">
      <c r="A676" s="2" t="s">
        <v>147</v>
      </c>
      <c r="B676" s="2" t="s">
        <v>148</v>
      </c>
      <c r="C676" s="2" t="s">
        <v>1197</v>
      </c>
      <c r="D676" s="8">
        <v>43831</v>
      </c>
      <c r="E676" s="5" t="str">
        <f t="shared" si="120"/>
        <v>Sovereign General Contracting,_01-01-20</v>
      </c>
      <c r="F676" s="2" t="s">
        <v>1202</v>
      </c>
      <c r="G676" s="2" t="s">
        <v>1201</v>
      </c>
      <c r="H676" s="2" t="s">
        <v>1197</v>
      </c>
      <c r="I676" s="2" t="s">
        <v>1223</v>
      </c>
      <c r="J676" s="2" t="s">
        <v>1235</v>
      </c>
      <c r="M676" s="5" t="str">
        <f t="shared" si="112"/>
        <v>Basic</v>
      </c>
      <c r="N676" s="5" t="str">
        <f t="shared" si="113"/>
        <v>Accountant-Staff-Basic</v>
      </c>
      <c r="O676" s="5" t="str">
        <f t="shared" si="114"/>
        <v>Accountant-Reviewer-Basic</v>
      </c>
      <c r="P676" s="5" t="str">
        <f t="shared" si="115"/>
        <v>Accountant-Signer-Basic</v>
      </c>
      <c r="Q676" s="6">
        <v>0.5</v>
      </c>
      <c r="R676" s="6">
        <v>0.1</v>
      </c>
      <c r="S676" s="6">
        <v>0.05</v>
      </c>
      <c r="T676" s="7">
        <f t="shared" si="121"/>
        <v>0.65</v>
      </c>
      <c r="U676" s="6" t="e">
        <f>SUMIFS([1]Sheet1!$L:$L,[1]Sheet1!$I:$I,AJ676,[1]Sheet1!$C:$C,A676)</f>
        <v>#VALUE!</v>
      </c>
      <c r="V676" s="6"/>
      <c r="W676" s="6"/>
      <c r="X676" s="7" t="e">
        <f t="shared" si="116"/>
        <v>#VALUE!</v>
      </c>
      <c r="Y676" s="6"/>
      <c r="AJ676" s="5" t="str">
        <f t="shared" si="122"/>
        <v>MO Sales Tax Services</v>
      </c>
      <c r="AK676" s="5" t="str">
        <f t="shared" si="117"/>
        <v>MO-Accounting Services-MO-Sales Tax Services_Basic</v>
      </c>
      <c r="AL676" s="5" t="str">
        <f t="shared" si="118"/>
        <v>Sovereig_1120S_81-3934649_MO Sales Tax Services</v>
      </c>
      <c r="AM676" s="5" t="str">
        <f t="shared" si="119"/>
        <v>Sovereig_1120S_81-3934649_MO-Accounting Services-MO-Sales Tax Services_Basic</v>
      </c>
    </row>
    <row r="677" spans="1:39" x14ac:dyDescent="0.25">
      <c r="A677" s="2" t="s">
        <v>147</v>
      </c>
      <c r="B677" s="2" t="s">
        <v>148</v>
      </c>
      <c r="C677" s="2" t="s">
        <v>1197</v>
      </c>
      <c r="D677" s="8">
        <v>43831</v>
      </c>
      <c r="E677" s="5" t="str">
        <f t="shared" si="120"/>
        <v>Sovereign General Contracting,_01-01-20</v>
      </c>
      <c r="F677" s="2" t="s">
        <v>1200</v>
      </c>
      <c r="G677" s="2" t="s">
        <v>1241</v>
      </c>
      <c r="H677" s="2" t="s">
        <v>1220</v>
      </c>
      <c r="I677" s="2" t="s">
        <v>1223</v>
      </c>
      <c r="J677" s="2" t="s">
        <v>1234</v>
      </c>
      <c r="M677" s="5" t="str">
        <f t="shared" si="112"/>
        <v>Basic</v>
      </c>
      <c r="N677" s="5" t="str">
        <f t="shared" si="113"/>
        <v>Tax-Staff-Basic</v>
      </c>
      <c r="O677" s="5" t="str">
        <f t="shared" si="114"/>
        <v>Tax-Reviewer-Basic</v>
      </c>
      <c r="P677" s="5" t="str">
        <f t="shared" si="115"/>
        <v>Tax-Signer-Basic</v>
      </c>
      <c r="Q677" s="6">
        <v>0.5</v>
      </c>
      <c r="R677" s="6">
        <v>0.1</v>
      </c>
      <c r="S677" s="6">
        <v>0.05</v>
      </c>
      <c r="T677" s="7">
        <f t="shared" si="121"/>
        <v>0.65</v>
      </c>
      <c r="U677" s="6" t="e">
        <f>SUMIFS([1]Sheet1!$L:$L,[1]Sheet1!$I:$I,AJ677,[1]Sheet1!$C:$C,A677)</f>
        <v>#VALUE!</v>
      </c>
      <c r="V677" s="6"/>
      <c r="W677" s="6"/>
      <c r="X677" s="7" t="e">
        <f t="shared" si="116"/>
        <v>#VALUE!</v>
      </c>
      <c r="Y677" s="6"/>
      <c r="AJ677" s="5" t="str">
        <f t="shared" si="122"/>
        <v>MO Texas Franchise Tax Return</v>
      </c>
      <c r="AK677" s="5" t="str">
        <f t="shared" si="117"/>
        <v>MO-Tax Services-ANN-Texas Franchise Tax Return_Basic</v>
      </c>
      <c r="AL677" s="5" t="str">
        <f t="shared" si="118"/>
        <v>Sovereig_1120S_81-3934649_MO Texas Franchise Tax Return</v>
      </c>
      <c r="AM677" s="5" t="str">
        <f t="shared" si="119"/>
        <v>Sovereig_1120S_81-3934649_MO-Tax Services-ANN-Texas Franchise Tax Return_Basic</v>
      </c>
    </row>
    <row r="678" spans="1:39" x14ac:dyDescent="0.25">
      <c r="A678" s="2" t="s">
        <v>149</v>
      </c>
      <c r="B678" s="2" t="s">
        <v>150</v>
      </c>
      <c r="C678" s="2" t="s">
        <v>1197</v>
      </c>
      <c r="D678" s="8">
        <v>43831</v>
      </c>
      <c r="E678" s="5" t="str">
        <f t="shared" si="120"/>
        <v>Spartan Oilfield Solutions LLC_01-01-20</v>
      </c>
      <c r="F678" s="2" t="s">
        <v>1204</v>
      </c>
      <c r="G678" s="2" t="s">
        <v>1241</v>
      </c>
      <c r="H678" s="2" t="s">
        <v>1220</v>
      </c>
      <c r="I678" s="2" t="s">
        <v>1222</v>
      </c>
      <c r="J678" s="2" t="s">
        <v>1234</v>
      </c>
      <c r="M678" s="5" t="str">
        <f t="shared" si="112"/>
        <v>Adv</v>
      </c>
      <c r="N678" s="5" t="str">
        <f t="shared" si="113"/>
        <v>Tax-Staff-Adv</v>
      </c>
      <c r="O678" s="5" t="str">
        <f t="shared" si="114"/>
        <v>Tax-Reviewer-Adv</v>
      </c>
      <c r="P678" s="5" t="str">
        <f t="shared" si="115"/>
        <v>Tax-Signer-Adv</v>
      </c>
      <c r="Q678" s="6">
        <v>4.5832500000000005</v>
      </c>
      <c r="R678" s="6">
        <v>0.91665000000000019</v>
      </c>
      <c r="S678" s="6">
        <v>0.45832500000000009</v>
      </c>
      <c r="T678" s="7">
        <f t="shared" si="121"/>
        <v>5.9582250000000005</v>
      </c>
      <c r="U678" s="6" t="e">
        <f>SUMIFS([1]Sheet1!$L:$L,[1]Sheet1!$I:$I,AJ678,[1]Sheet1!$C:$C,A678)</f>
        <v>#VALUE!</v>
      </c>
      <c r="V678" s="6"/>
      <c r="W678" s="6"/>
      <c r="X678" s="7" t="e">
        <f t="shared" si="116"/>
        <v>#VALUE!</v>
      </c>
      <c r="Y678" s="6"/>
      <c r="AJ678" s="5" t="str">
        <f t="shared" si="122"/>
        <v>MO 1120S - S Corporation</v>
      </c>
      <c r="AK678" s="5" t="str">
        <f t="shared" si="117"/>
        <v>MO-Tax Services-ANN-1120S - S Corporation_Adv</v>
      </c>
      <c r="AL678" s="5" t="str">
        <f t="shared" si="118"/>
        <v>Spartan _1065_32-0436717_MO 1120S - S Corporation</v>
      </c>
      <c r="AM678" s="5" t="str">
        <f t="shared" si="119"/>
        <v>Spartan _1065_32-0436717_MO-Tax Services-ANN-1120S - S Corporation_Adv</v>
      </c>
    </row>
    <row r="679" spans="1:39" x14ac:dyDescent="0.25">
      <c r="A679" s="2" t="s">
        <v>149</v>
      </c>
      <c r="B679" s="2" t="s">
        <v>150</v>
      </c>
      <c r="C679" s="2" t="s">
        <v>1197</v>
      </c>
      <c r="D679" s="8">
        <v>43831</v>
      </c>
      <c r="E679" s="5" t="str">
        <f t="shared" si="120"/>
        <v>Spartan Oilfield Solutions LLC_01-01-20</v>
      </c>
      <c r="F679" s="2" t="s">
        <v>1201</v>
      </c>
      <c r="G679" s="2" t="s">
        <v>1201</v>
      </c>
      <c r="H679" s="2" t="s">
        <v>1197</v>
      </c>
      <c r="I679" s="2" t="s">
        <v>1223</v>
      </c>
      <c r="J679" s="2" t="s">
        <v>1235</v>
      </c>
      <c r="M679" s="5" t="str">
        <f t="shared" si="112"/>
        <v>Basic</v>
      </c>
      <c r="N679" s="5" t="str">
        <f t="shared" si="113"/>
        <v>Accountant-Staff-Basic</v>
      </c>
      <c r="O679" s="5" t="str">
        <f t="shared" si="114"/>
        <v>Accountant-Reviewer-Basic</v>
      </c>
      <c r="P679" s="5" t="str">
        <f t="shared" si="115"/>
        <v>Accountant-Signer-Basic</v>
      </c>
      <c r="Q679" s="6">
        <v>1.47</v>
      </c>
      <c r="R679" s="6">
        <v>0.29399999999999998</v>
      </c>
      <c r="S679" s="6">
        <v>0.14699999999999999</v>
      </c>
      <c r="T679" s="7">
        <f t="shared" si="121"/>
        <v>1.911</v>
      </c>
      <c r="U679" s="6" t="e">
        <f>SUMIFS([1]Sheet1!$L:$L,[1]Sheet1!$I:$I,AJ679,[1]Sheet1!$C:$C,A679)</f>
        <v>#VALUE!</v>
      </c>
      <c r="V679" s="6"/>
      <c r="W679" s="6"/>
      <c r="X679" s="7" t="e">
        <f t="shared" si="116"/>
        <v>#VALUE!</v>
      </c>
      <c r="Y679" s="6"/>
      <c r="AJ679" s="5" t="str">
        <f t="shared" si="122"/>
        <v>MO Accounting Services</v>
      </c>
      <c r="AK679" s="5" t="str">
        <f t="shared" si="117"/>
        <v>MO-Accounting Services-MO-Accounting Services_Basic</v>
      </c>
      <c r="AL679" s="5" t="str">
        <f t="shared" si="118"/>
        <v>Spartan _1065_32-0436717_MO Accounting Services</v>
      </c>
      <c r="AM679" s="5" t="str">
        <f t="shared" si="119"/>
        <v>Spartan _1065_32-0436717_MO-Accounting Services-MO-Accounting Services_Basic</v>
      </c>
    </row>
    <row r="680" spans="1:39" x14ac:dyDescent="0.25">
      <c r="A680" s="2" t="s">
        <v>149</v>
      </c>
      <c r="B680" s="2" t="s">
        <v>150</v>
      </c>
      <c r="C680" s="2" t="s">
        <v>1197</v>
      </c>
      <c r="D680" s="8">
        <v>43831</v>
      </c>
      <c r="E680" s="5" t="str">
        <f t="shared" si="120"/>
        <v>Spartan Oilfield Solutions LLC_01-01-20</v>
      </c>
      <c r="F680" s="2" t="s">
        <v>1200</v>
      </c>
      <c r="G680" s="2" t="s">
        <v>1241</v>
      </c>
      <c r="H680" s="2" t="s">
        <v>1220</v>
      </c>
      <c r="I680" s="2" t="s">
        <v>1222</v>
      </c>
      <c r="J680" s="2" t="s">
        <v>1234</v>
      </c>
      <c r="M680" s="5" t="str">
        <f t="shared" si="112"/>
        <v>Adv</v>
      </c>
      <c r="N680" s="5" t="str">
        <f t="shared" si="113"/>
        <v>Tax-Staff-Adv</v>
      </c>
      <c r="O680" s="5" t="str">
        <f t="shared" si="114"/>
        <v>Tax-Reviewer-Adv</v>
      </c>
      <c r="P680" s="5" t="str">
        <f t="shared" si="115"/>
        <v>Tax-Signer-Adv</v>
      </c>
      <c r="Q680" s="6">
        <v>1.5</v>
      </c>
      <c r="R680" s="6">
        <v>0.30000000000000004</v>
      </c>
      <c r="S680" s="6">
        <v>0.15000000000000002</v>
      </c>
      <c r="T680" s="7">
        <f t="shared" si="121"/>
        <v>1.9500000000000002</v>
      </c>
      <c r="U680" s="6" t="e">
        <f>SUMIFS([1]Sheet1!$L:$L,[1]Sheet1!$I:$I,AJ680,[1]Sheet1!$C:$C,A680)</f>
        <v>#VALUE!</v>
      </c>
      <c r="V680" s="6"/>
      <c r="W680" s="6"/>
      <c r="X680" s="7" t="e">
        <f t="shared" si="116"/>
        <v>#VALUE!</v>
      </c>
      <c r="Y680" s="6"/>
      <c r="AJ680" s="5" t="str">
        <f t="shared" si="122"/>
        <v>MO Texas Franchise Tax Return</v>
      </c>
      <c r="AK680" s="5" t="str">
        <f t="shared" si="117"/>
        <v>MO-Tax Services-ANN-Texas Franchise Tax Return_Adv</v>
      </c>
      <c r="AL680" s="5" t="str">
        <f t="shared" si="118"/>
        <v>Spartan _1065_32-0436717_MO Texas Franchise Tax Return</v>
      </c>
      <c r="AM680" s="5" t="str">
        <f t="shared" si="119"/>
        <v>Spartan _1065_32-0436717_MO-Tax Services-ANN-Texas Franchise Tax Return_Adv</v>
      </c>
    </row>
    <row r="681" spans="1:39" x14ac:dyDescent="0.25">
      <c r="A681" s="2" t="s">
        <v>151</v>
      </c>
      <c r="B681" s="2" t="s">
        <v>152</v>
      </c>
      <c r="C681" s="2" t="s">
        <v>1197</v>
      </c>
      <c r="D681" s="8">
        <v>43831</v>
      </c>
      <c r="E681" s="5" t="str">
        <f t="shared" si="120"/>
        <v>Spectrum VoIP, Inc._01-01-20</v>
      </c>
      <c r="F681" s="2" t="s">
        <v>1201</v>
      </c>
      <c r="G681" s="2" t="s">
        <v>1201</v>
      </c>
      <c r="H681" s="2" t="s">
        <v>1197</v>
      </c>
      <c r="I681" s="2" t="s">
        <v>1222</v>
      </c>
      <c r="J681" s="2" t="s">
        <v>1235</v>
      </c>
      <c r="M681" s="5" t="str">
        <f t="shared" si="112"/>
        <v>Adv</v>
      </c>
      <c r="N681" s="5" t="str">
        <f t="shared" si="113"/>
        <v>Accountant-Staff-Adv</v>
      </c>
      <c r="O681" s="5" t="str">
        <f t="shared" si="114"/>
        <v>Accountant-Reviewer-Adv</v>
      </c>
      <c r="P681" s="5" t="str">
        <f t="shared" si="115"/>
        <v>Accountant-Signer-Adv</v>
      </c>
      <c r="Q681" s="6">
        <v>1.47</v>
      </c>
      <c r="R681" s="6">
        <v>0.29399999999999998</v>
      </c>
      <c r="S681" s="6">
        <v>0.14699999999999999</v>
      </c>
      <c r="T681" s="7">
        <f t="shared" si="121"/>
        <v>1.911</v>
      </c>
      <c r="U681" s="6" t="e">
        <f>SUMIFS([1]Sheet1!$L:$L,[1]Sheet1!$I:$I,AJ681,[1]Sheet1!$C:$C,A681)</f>
        <v>#VALUE!</v>
      </c>
      <c r="V681" s="6"/>
      <c r="W681" s="6"/>
      <c r="X681" s="7" t="e">
        <f t="shared" si="116"/>
        <v>#VALUE!</v>
      </c>
      <c r="Y681" s="6"/>
      <c r="AJ681" s="5" t="str">
        <f t="shared" si="122"/>
        <v>MO Accounting Services</v>
      </c>
      <c r="AK681" s="5" t="str">
        <f t="shared" si="117"/>
        <v>MO-Accounting Services-MO-Accounting Services_Adv</v>
      </c>
      <c r="AL681" s="5" t="str">
        <f t="shared" si="118"/>
        <v>Spectrum_1120C_26-4657666_MO Accounting Services</v>
      </c>
      <c r="AM681" s="5" t="str">
        <f t="shared" si="119"/>
        <v>Spectrum_1120C_26-4657666_MO-Accounting Services-MO-Accounting Services_Adv</v>
      </c>
    </row>
    <row r="682" spans="1:39" x14ac:dyDescent="0.25">
      <c r="A682" s="2" t="s">
        <v>151</v>
      </c>
      <c r="B682" s="2" t="s">
        <v>152</v>
      </c>
      <c r="C682" s="2" t="s">
        <v>1197</v>
      </c>
      <c r="D682" s="8">
        <v>43831</v>
      </c>
      <c r="E682" s="5" t="str">
        <f t="shared" si="120"/>
        <v>Spectrum VoIP, Inc._01-01-20</v>
      </c>
      <c r="F682" s="2" t="s">
        <v>1206</v>
      </c>
      <c r="G682" s="2" t="s">
        <v>1241</v>
      </c>
      <c r="H682" s="2" t="s">
        <v>1220</v>
      </c>
      <c r="I682" s="2" t="s">
        <v>1222</v>
      </c>
      <c r="J682" s="2" t="s">
        <v>1234</v>
      </c>
      <c r="M682" s="5" t="str">
        <f t="shared" si="112"/>
        <v>Adv</v>
      </c>
      <c r="N682" s="5" t="str">
        <f t="shared" si="113"/>
        <v>Tax-Staff-Adv</v>
      </c>
      <c r="O682" s="5" t="str">
        <f t="shared" si="114"/>
        <v>Tax-Reviewer-Adv</v>
      </c>
      <c r="P682" s="5" t="str">
        <f t="shared" si="115"/>
        <v>Tax-Signer-Adv</v>
      </c>
      <c r="Q682" s="6">
        <v>4.5832500000000005</v>
      </c>
      <c r="R682" s="6">
        <v>0.91665000000000019</v>
      </c>
      <c r="S682" s="6">
        <v>0.45832500000000009</v>
      </c>
      <c r="T682" s="7">
        <f t="shared" si="121"/>
        <v>5.9582250000000005</v>
      </c>
      <c r="U682" s="6" t="e">
        <f>SUMIFS([1]Sheet1!$L:$L,[1]Sheet1!$I:$I,AJ682,[1]Sheet1!$C:$C,A682)</f>
        <v>#VALUE!</v>
      </c>
      <c r="V682" s="6"/>
      <c r="W682" s="6"/>
      <c r="X682" s="7" t="e">
        <f t="shared" si="116"/>
        <v>#VALUE!</v>
      </c>
      <c r="Y682" s="6"/>
      <c r="AJ682" s="5" t="str">
        <f t="shared" si="122"/>
        <v>MO 1120 - C Corporation</v>
      </c>
      <c r="AK682" s="5" t="str">
        <f t="shared" si="117"/>
        <v>MO-Tax Services-ANN-1120 - C Corporation_Adv</v>
      </c>
      <c r="AL682" s="5" t="str">
        <f t="shared" si="118"/>
        <v>Spectrum_1120C_26-4657666_MO 1120 - C Corporation</v>
      </c>
      <c r="AM682" s="5" t="str">
        <f t="shared" si="119"/>
        <v>Spectrum_1120C_26-4657666_MO-Tax Services-ANN-1120 - C Corporation_Adv</v>
      </c>
    </row>
    <row r="683" spans="1:39" x14ac:dyDescent="0.25">
      <c r="A683" s="2" t="s">
        <v>151</v>
      </c>
      <c r="B683" s="2" t="s">
        <v>152</v>
      </c>
      <c r="C683" s="2" t="s">
        <v>1197</v>
      </c>
      <c r="D683" s="8">
        <v>43831</v>
      </c>
      <c r="E683" s="5" t="str">
        <f t="shared" si="120"/>
        <v>Spectrum VoIP, Inc._01-01-20</v>
      </c>
      <c r="F683" s="2" t="s">
        <v>1200</v>
      </c>
      <c r="G683" s="2" t="s">
        <v>1241</v>
      </c>
      <c r="H683" s="2" t="s">
        <v>1220</v>
      </c>
      <c r="I683" s="2" t="s">
        <v>1222</v>
      </c>
      <c r="J683" s="2" t="s">
        <v>1234</v>
      </c>
      <c r="M683" s="5" t="str">
        <f t="shared" si="112"/>
        <v>Adv</v>
      </c>
      <c r="N683" s="5" t="str">
        <f t="shared" si="113"/>
        <v>Tax-Staff-Adv</v>
      </c>
      <c r="O683" s="5" t="str">
        <f t="shared" si="114"/>
        <v>Tax-Reviewer-Adv</v>
      </c>
      <c r="P683" s="5" t="str">
        <f t="shared" si="115"/>
        <v>Tax-Signer-Adv</v>
      </c>
      <c r="Q683" s="6">
        <v>1.5</v>
      </c>
      <c r="R683" s="6">
        <v>0.30000000000000004</v>
      </c>
      <c r="S683" s="6">
        <v>0.15000000000000002</v>
      </c>
      <c r="T683" s="7">
        <f t="shared" si="121"/>
        <v>1.9500000000000002</v>
      </c>
      <c r="U683" s="6" t="e">
        <f>SUMIFS([1]Sheet1!$L:$L,[1]Sheet1!$I:$I,AJ683,[1]Sheet1!$C:$C,A683)</f>
        <v>#VALUE!</v>
      </c>
      <c r="V683" s="6"/>
      <c r="W683" s="6"/>
      <c r="X683" s="7" t="e">
        <f t="shared" si="116"/>
        <v>#VALUE!</v>
      </c>
      <c r="Y683" s="6"/>
      <c r="AJ683" s="5" t="str">
        <f t="shared" si="122"/>
        <v>MO Texas Franchise Tax Return</v>
      </c>
      <c r="AK683" s="5" t="str">
        <f t="shared" si="117"/>
        <v>MO-Tax Services-ANN-Texas Franchise Tax Return_Adv</v>
      </c>
      <c r="AL683" s="5" t="str">
        <f t="shared" si="118"/>
        <v>Spectrum_1120C_26-4657666_MO Texas Franchise Tax Return</v>
      </c>
      <c r="AM683" s="5" t="str">
        <f t="shared" si="119"/>
        <v>Spectrum_1120C_26-4657666_MO-Tax Services-ANN-Texas Franchise Tax Return_Adv</v>
      </c>
    </row>
    <row r="684" spans="1:39" x14ac:dyDescent="0.25">
      <c r="A684" s="2" t="s">
        <v>1145</v>
      </c>
      <c r="B684" s="2" t="s">
        <v>1146</v>
      </c>
      <c r="C684" s="2" t="s">
        <v>1196</v>
      </c>
      <c r="D684" s="8">
        <v>43831</v>
      </c>
      <c r="E684" s="5" t="str">
        <f t="shared" si="120"/>
        <v>Stanton, Michael_01-01-20</v>
      </c>
      <c r="F684" s="2" t="s">
        <v>1203</v>
      </c>
      <c r="G684" s="2" t="s">
        <v>1241</v>
      </c>
      <c r="H684" s="2" t="s">
        <v>1220</v>
      </c>
      <c r="I684" s="2" t="s">
        <v>1221</v>
      </c>
      <c r="J684" s="2" t="s">
        <v>1234</v>
      </c>
      <c r="M684" s="5" t="str">
        <f t="shared" si="112"/>
        <v>Mid</v>
      </c>
      <c r="N684" s="5" t="str">
        <f t="shared" si="113"/>
        <v>Tax-Staff-Mid</v>
      </c>
      <c r="O684" s="5" t="str">
        <f t="shared" si="114"/>
        <v>Tax-Reviewer-Mid</v>
      </c>
      <c r="P684" s="5" t="str">
        <f t="shared" si="115"/>
        <v>Tax-Signer-Mid</v>
      </c>
      <c r="Q684" s="6">
        <v>2.7401969696969677</v>
      </c>
      <c r="R684" s="6">
        <v>0.5480393939393936</v>
      </c>
      <c r="S684" s="6">
        <v>0.2740196969696968</v>
      </c>
      <c r="T684" s="7">
        <f t="shared" si="121"/>
        <v>3.562256060606058</v>
      </c>
      <c r="U684" s="6" t="e">
        <f>SUMIFS([1]Sheet1!$L:$L,[1]Sheet1!$I:$I,AJ684,[1]Sheet1!$C:$C,A684)</f>
        <v>#VALUE!</v>
      </c>
      <c r="V684" s="6"/>
      <c r="W684" s="6"/>
      <c r="X684" s="7" t="e">
        <f t="shared" si="116"/>
        <v>#VALUE!</v>
      </c>
      <c r="Y684" s="6"/>
      <c r="AJ684" s="5" t="str">
        <f t="shared" si="122"/>
        <v>NM 1040 - Personal</v>
      </c>
      <c r="AK684" s="5" t="str">
        <f t="shared" si="117"/>
        <v>NM-Tax Services-ANN-1040 - Personal_Mid</v>
      </c>
      <c r="AL684" s="5" t="str">
        <f t="shared" si="118"/>
        <v>Stanto_2832_NM 1040 - Personal</v>
      </c>
      <c r="AM684" s="5" t="str">
        <f t="shared" si="119"/>
        <v>Stanto_2832_NM-Tax Services-ANN-1040 - Personal_Mid</v>
      </c>
    </row>
    <row r="685" spans="1:39" x14ac:dyDescent="0.25">
      <c r="A685" s="2" t="s">
        <v>321</v>
      </c>
      <c r="B685" s="2" t="s">
        <v>322</v>
      </c>
      <c r="C685" s="2" t="s">
        <v>1197</v>
      </c>
      <c r="D685" s="8">
        <v>43831</v>
      </c>
      <c r="E685" s="5" t="str">
        <f t="shared" si="120"/>
        <v>Stephen Kyle Callaway, CPA LLC_01-01-20</v>
      </c>
      <c r="F685" s="2" t="s">
        <v>1204</v>
      </c>
      <c r="G685" s="2" t="s">
        <v>1241</v>
      </c>
      <c r="H685" s="2" t="s">
        <v>1220</v>
      </c>
      <c r="I685" s="2" t="s">
        <v>1221</v>
      </c>
      <c r="J685" s="2" t="s">
        <v>1234</v>
      </c>
      <c r="M685" s="5" t="str">
        <f t="shared" si="112"/>
        <v>Mid</v>
      </c>
      <c r="N685" s="5" t="str">
        <f t="shared" si="113"/>
        <v>Tax-Staff-Mid</v>
      </c>
      <c r="O685" s="5" t="str">
        <f t="shared" si="114"/>
        <v>Tax-Reviewer-Mid</v>
      </c>
      <c r="P685" s="5" t="str">
        <f t="shared" si="115"/>
        <v>Tax-Signer-Mid</v>
      </c>
      <c r="Q685" s="6">
        <v>2.7401969696969677</v>
      </c>
      <c r="R685" s="6">
        <v>0.5480393939393936</v>
      </c>
      <c r="S685" s="6">
        <v>0.2740196969696968</v>
      </c>
      <c r="T685" s="7">
        <f t="shared" si="121"/>
        <v>3.562256060606058</v>
      </c>
      <c r="U685" s="6" t="e">
        <f>SUMIFS([1]Sheet1!$L:$L,[1]Sheet1!$I:$I,AJ685,[1]Sheet1!$C:$C,A685)</f>
        <v>#VALUE!</v>
      </c>
      <c r="V685" s="6"/>
      <c r="W685" s="6"/>
      <c r="X685" s="7" t="e">
        <f t="shared" si="116"/>
        <v>#VALUE!</v>
      </c>
      <c r="Y685" s="6"/>
      <c r="AJ685" s="5" t="str">
        <f t="shared" si="122"/>
        <v>MO 1120S - S Corporation</v>
      </c>
      <c r="AK685" s="5" t="str">
        <f t="shared" si="117"/>
        <v>MO-Tax Services-ANN-1120S - S Corporation_Mid</v>
      </c>
      <c r="AL685" s="5" t="str">
        <f t="shared" si="118"/>
        <v>Stephen _1120S_45-5525672_MO 1120S - S Corporation</v>
      </c>
      <c r="AM685" s="5" t="str">
        <f t="shared" si="119"/>
        <v>Stephen _1120S_45-5525672_MO-Tax Services-ANN-1120S - S Corporation_Mid</v>
      </c>
    </row>
    <row r="686" spans="1:39" x14ac:dyDescent="0.25">
      <c r="A686" s="2" t="s">
        <v>1183</v>
      </c>
      <c r="B686" s="2" t="s">
        <v>1184</v>
      </c>
      <c r="C686" s="2" t="s">
        <v>1196</v>
      </c>
      <c r="D686" s="8">
        <v>43831</v>
      </c>
      <c r="E686" s="5" t="str">
        <f t="shared" si="120"/>
        <v>Stewart, Adam_01-01-20</v>
      </c>
      <c r="F686" s="2" t="s">
        <v>1203</v>
      </c>
      <c r="G686" s="2" t="s">
        <v>1241</v>
      </c>
      <c r="H686" s="2" t="s">
        <v>1220</v>
      </c>
      <c r="I686" s="2" t="s">
        <v>1223</v>
      </c>
      <c r="J686" s="2" t="s">
        <v>1234</v>
      </c>
      <c r="M686" s="5" t="str">
        <f t="shared" si="112"/>
        <v>Basic</v>
      </c>
      <c r="N686" s="5" t="str">
        <f t="shared" si="113"/>
        <v>Tax-Staff-Basic</v>
      </c>
      <c r="O686" s="5" t="str">
        <f t="shared" si="114"/>
        <v>Tax-Reviewer-Basic</v>
      </c>
      <c r="P686" s="5" t="str">
        <f t="shared" si="115"/>
        <v>Tax-Signer-Basic</v>
      </c>
      <c r="Q686" s="6">
        <v>1.4675000000000016</v>
      </c>
      <c r="R686" s="6">
        <v>0.29350000000000032</v>
      </c>
      <c r="S686" s="6">
        <v>0.14675000000000016</v>
      </c>
      <c r="T686" s="7">
        <f t="shared" si="121"/>
        <v>1.9077500000000021</v>
      </c>
      <c r="U686" s="6" t="e">
        <f>SUMIFS([1]Sheet1!$L:$L,[1]Sheet1!$I:$I,AJ686,[1]Sheet1!$C:$C,A686)</f>
        <v>#VALUE!</v>
      </c>
      <c r="V686" s="6"/>
      <c r="W686" s="6"/>
      <c r="X686" s="7" t="e">
        <f t="shared" si="116"/>
        <v>#VALUE!</v>
      </c>
      <c r="Y686" s="6"/>
      <c r="AJ686" s="5" t="str">
        <f t="shared" si="122"/>
        <v>NM 1040 - Personal</v>
      </c>
      <c r="AK686" s="5" t="str">
        <f t="shared" si="117"/>
        <v>NM-Tax Services-ANN-1040 - Personal_Basic</v>
      </c>
      <c r="AL686" s="5" t="str">
        <f t="shared" si="118"/>
        <v>Stewar_6551_NM 1040 - Personal</v>
      </c>
      <c r="AM686" s="5" t="str">
        <f t="shared" si="119"/>
        <v>Stewar_6551_NM-Tax Services-ANN-1040 - Personal_Basic</v>
      </c>
    </row>
    <row r="687" spans="1:39" x14ac:dyDescent="0.25">
      <c r="A687" s="2" t="s">
        <v>1081</v>
      </c>
      <c r="B687" s="2" t="s">
        <v>1082</v>
      </c>
      <c r="C687" s="2" t="s">
        <v>1196</v>
      </c>
      <c r="D687" s="8">
        <v>43831</v>
      </c>
      <c r="E687" s="5" t="str">
        <f t="shared" si="120"/>
        <v>Stiller, Daniel &amp; Laura_01-01-20</v>
      </c>
      <c r="F687" s="2" t="s">
        <v>1203</v>
      </c>
      <c r="G687" s="2" t="s">
        <v>1241</v>
      </c>
      <c r="H687" s="2" t="s">
        <v>1220</v>
      </c>
      <c r="I687" s="2" t="s">
        <v>1223</v>
      </c>
      <c r="J687" s="2" t="s">
        <v>1234</v>
      </c>
      <c r="M687" s="5" t="str">
        <f t="shared" si="112"/>
        <v>Basic</v>
      </c>
      <c r="N687" s="5" t="str">
        <f t="shared" si="113"/>
        <v>Tax-Staff-Basic</v>
      </c>
      <c r="O687" s="5" t="str">
        <f t="shared" si="114"/>
        <v>Tax-Reviewer-Basic</v>
      </c>
      <c r="P687" s="5" t="str">
        <f t="shared" si="115"/>
        <v>Tax-Signer-Basic</v>
      </c>
      <c r="Q687" s="6">
        <v>1.4675000000000016</v>
      </c>
      <c r="R687" s="6">
        <v>0.29350000000000032</v>
      </c>
      <c r="S687" s="6">
        <v>0.14675000000000016</v>
      </c>
      <c r="T687" s="7">
        <f t="shared" si="121"/>
        <v>1.9077500000000021</v>
      </c>
      <c r="U687" s="6" t="e">
        <f>SUMIFS([1]Sheet1!$L:$L,[1]Sheet1!$I:$I,AJ687,[1]Sheet1!$C:$C,A687)</f>
        <v>#VALUE!</v>
      </c>
      <c r="V687" s="6"/>
      <c r="W687" s="6"/>
      <c r="X687" s="7" t="e">
        <f t="shared" si="116"/>
        <v>#VALUE!</v>
      </c>
      <c r="Y687" s="6"/>
      <c r="AJ687" s="5" t="str">
        <f t="shared" si="122"/>
        <v>NM 1040 - Personal</v>
      </c>
      <c r="AK687" s="5" t="str">
        <f t="shared" si="117"/>
        <v>NM-Tax Services-ANN-1040 - Personal_Basic</v>
      </c>
      <c r="AL687" s="5" t="str">
        <f t="shared" si="118"/>
        <v>Stille_1468_NM 1040 - Personal</v>
      </c>
      <c r="AM687" s="5" t="str">
        <f t="shared" si="119"/>
        <v>Stille_1468_NM-Tax Services-ANN-1040 - Personal_Basic</v>
      </c>
    </row>
    <row r="688" spans="1:39" x14ac:dyDescent="0.25">
      <c r="A688" s="2" t="s">
        <v>920</v>
      </c>
      <c r="B688" s="2" t="s">
        <v>921</v>
      </c>
      <c r="C688" s="2" t="s">
        <v>1196</v>
      </c>
      <c r="D688" s="8">
        <v>43831</v>
      </c>
      <c r="E688" s="5" t="str">
        <f t="shared" si="120"/>
        <v>Stone, Rhett_01-01-20</v>
      </c>
      <c r="F688" s="2" t="s">
        <v>1203</v>
      </c>
      <c r="G688" s="2" t="s">
        <v>1241</v>
      </c>
      <c r="H688" s="2" t="s">
        <v>1220</v>
      </c>
      <c r="I688" s="2" t="s">
        <v>1221</v>
      </c>
      <c r="J688" s="2" t="s">
        <v>1234</v>
      </c>
      <c r="M688" s="5" t="str">
        <f t="shared" si="112"/>
        <v>Mid</v>
      </c>
      <c r="N688" s="5" t="str">
        <f t="shared" si="113"/>
        <v>Tax-Staff-Mid</v>
      </c>
      <c r="O688" s="5" t="str">
        <f t="shared" si="114"/>
        <v>Tax-Reviewer-Mid</v>
      </c>
      <c r="P688" s="5" t="str">
        <f t="shared" si="115"/>
        <v>Tax-Signer-Mid</v>
      </c>
      <c r="Q688" s="6">
        <v>2.7401969696969677</v>
      </c>
      <c r="R688" s="6">
        <v>0.5480393939393936</v>
      </c>
      <c r="S688" s="6">
        <v>0.2740196969696968</v>
      </c>
      <c r="T688" s="7">
        <f t="shared" si="121"/>
        <v>3.562256060606058</v>
      </c>
      <c r="U688" s="6" t="e">
        <f>SUMIFS([1]Sheet1!$L:$L,[1]Sheet1!$I:$I,AJ688,[1]Sheet1!$C:$C,A688)</f>
        <v>#VALUE!</v>
      </c>
      <c r="V688" s="6"/>
      <c r="W688" s="6"/>
      <c r="X688" s="7" t="e">
        <f t="shared" si="116"/>
        <v>#VALUE!</v>
      </c>
      <c r="Y688" s="6"/>
      <c r="AJ688" s="5" t="str">
        <f t="shared" si="122"/>
        <v>NM 1040 - Personal</v>
      </c>
      <c r="AK688" s="5" t="str">
        <f t="shared" si="117"/>
        <v>NM-Tax Services-ANN-1040 - Personal_Mid</v>
      </c>
      <c r="AL688" s="5" t="str">
        <f t="shared" si="118"/>
        <v>Stone,_0198_NM 1040 - Personal</v>
      </c>
      <c r="AM688" s="5" t="str">
        <f t="shared" si="119"/>
        <v>Stone,_0198_NM-Tax Services-ANN-1040 - Personal_Mid</v>
      </c>
    </row>
    <row r="689" spans="1:39" x14ac:dyDescent="0.25">
      <c r="A689" s="2" t="s">
        <v>323</v>
      </c>
      <c r="B689" s="2" t="s">
        <v>153</v>
      </c>
      <c r="C689" s="2" t="s">
        <v>1197</v>
      </c>
      <c r="D689" s="8">
        <v>43831</v>
      </c>
      <c r="E689" s="5" t="str">
        <f t="shared" si="120"/>
        <v>Stonebridge Financial_01-01-20</v>
      </c>
      <c r="F689" s="2" t="s">
        <v>1201</v>
      </c>
      <c r="G689" s="2" t="s">
        <v>1201</v>
      </c>
      <c r="H689" s="2" t="s">
        <v>1197</v>
      </c>
      <c r="I689" s="2" t="s">
        <v>1222</v>
      </c>
      <c r="J689" s="2" t="s">
        <v>1235</v>
      </c>
      <c r="M689" s="5" t="str">
        <f t="shared" si="112"/>
        <v>Adv</v>
      </c>
      <c r="N689" s="5" t="str">
        <f t="shared" si="113"/>
        <v>Accountant-Staff-Adv</v>
      </c>
      <c r="O689" s="5" t="str">
        <f t="shared" si="114"/>
        <v>Accountant-Reviewer-Adv</v>
      </c>
      <c r="P689" s="5" t="str">
        <f t="shared" si="115"/>
        <v>Accountant-Signer-Adv</v>
      </c>
      <c r="Q689" s="6">
        <v>1.47</v>
      </c>
      <c r="R689" s="6">
        <v>0.29399999999999998</v>
      </c>
      <c r="S689" s="6">
        <v>0.14699999999999999</v>
      </c>
      <c r="T689" s="7">
        <f t="shared" si="121"/>
        <v>1.911</v>
      </c>
      <c r="U689" s="6" t="e">
        <f>SUMIFS([1]Sheet1!$L:$L,[1]Sheet1!$I:$I,AJ689,[1]Sheet1!$C:$C,A689)</f>
        <v>#VALUE!</v>
      </c>
      <c r="V689" s="6"/>
      <c r="W689" s="6"/>
      <c r="X689" s="7" t="e">
        <f t="shared" si="116"/>
        <v>#VALUE!</v>
      </c>
      <c r="Y689" s="6"/>
      <c r="AJ689" s="5" t="str">
        <f t="shared" si="122"/>
        <v>MO Accounting Services</v>
      </c>
      <c r="AK689" s="5" t="str">
        <f t="shared" si="117"/>
        <v>MO-Accounting Services-MO-Accounting Services_Adv</v>
      </c>
      <c r="AL689" s="5" t="str">
        <f t="shared" si="118"/>
        <v>Stonebri_1120S_46-1730328_MO Accounting Services</v>
      </c>
      <c r="AM689" s="5" t="str">
        <f t="shared" si="119"/>
        <v>Stonebri_1120S_46-1730328_MO-Accounting Services-MO-Accounting Services_Adv</v>
      </c>
    </row>
    <row r="690" spans="1:39" x14ac:dyDescent="0.25">
      <c r="A690" s="2" t="s">
        <v>323</v>
      </c>
      <c r="B690" s="2" t="s">
        <v>324</v>
      </c>
      <c r="C690" s="2" t="s">
        <v>1197</v>
      </c>
      <c r="D690" s="8">
        <v>43831</v>
      </c>
      <c r="E690" s="5" t="str">
        <f t="shared" si="120"/>
        <v>Stonebridge Financial Group, LLC_01-01-20</v>
      </c>
      <c r="F690" s="2" t="s">
        <v>1204</v>
      </c>
      <c r="G690" s="2" t="s">
        <v>1241</v>
      </c>
      <c r="H690" s="2" t="s">
        <v>1220</v>
      </c>
      <c r="I690" s="2" t="s">
        <v>1221</v>
      </c>
      <c r="J690" s="2" t="s">
        <v>1234</v>
      </c>
      <c r="M690" s="5" t="str">
        <f t="shared" si="112"/>
        <v>Mid</v>
      </c>
      <c r="N690" s="5" t="str">
        <f t="shared" si="113"/>
        <v>Tax-Staff-Mid</v>
      </c>
      <c r="O690" s="5" t="str">
        <f t="shared" si="114"/>
        <v>Tax-Reviewer-Mid</v>
      </c>
      <c r="P690" s="5" t="str">
        <f t="shared" si="115"/>
        <v>Tax-Signer-Mid</v>
      </c>
      <c r="Q690" s="6">
        <v>2.7401969696969677</v>
      </c>
      <c r="R690" s="6">
        <v>0.5480393939393936</v>
      </c>
      <c r="S690" s="6">
        <v>0.2740196969696968</v>
      </c>
      <c r="T690" s="7">
        <f t="shared" si="121"/>
        <v>3.562256060606058</v>
      </c>
      <c r="U690" s="6" t="e">
        <f>SUMIFS([1]Sheet1!$L:$L,[1]Sheet1!$I:$I,AJ690,[1]Sheet1!$C:$C,A690)</f>
        <v>#VALUE!</v>
      </c>
      <c r="V690" s="6"/>
      <c r="W690" s="6"/>
      <c r="X690" s="7" t="e">
        <f t="shared" si="116"/>
        <v>#VALUE!</v>
      </c>
      <c r="Y690" s="6"/>
      <c r="AJ690" s="5" t="str">
        <f t="shared" si="122"/>
        <v>MO 1120S - S Corporation</v>
      </c>
      <c r="AK690" s="5" t="str">
        <f t="shared" si="117"/>
        <v>MO-Tax Services-ANN-1120S - S Corporation_Mid</v>
      </c>
      <c r="AL690" s="5" t="str">
        <f t="shared" si="118"/>
        <v>Stonebri_1120S_46-1730328_MO 1120S - S Corporation</v>
      </c>
      <c r="AM690" s="5" t="str">
        <f t="shared" si="119"/>
        <v>Stonebri_1120S_46-1730328_MO-Tax Services-ANN-1120S - S Corporation_Mid</v>
      </c>
    </row>
    <row r="691" spans="1:39" x14ac:dyDescent="0.25">
      <c r="A691" s="2" t="s">
        <v>1083</v>
      </c>
      <c r="B691" s="2" t="s">
        <v>1084</v>
      </c>
      <c r="C691" s="2" t="s">
        <v>1196</v>
      </c>
      <c r="D691" s="8">
        <v>43831</v>
      </c>
      <c r="E691" s="5" t="str">
        <f t="shared" si="120"/>
        <v>Storms, Steven &amp; Phyllis_01-01-20</v>
      </c>
      <c r="F691" s="2" t="s">
        <v>1203</v>
      </c>
      <c r="G691" s="2" t="s">
        <v>1241</v>
      </c>
      <c r="H691" s="2" t="s">
        <v>1220</v>
      </c>
      <c r="I691" s="2" t="s">
        <v>1223</v>
      </c>
      <c r="J691" s="2" t="s">
        <v>1234</v>
      </c>
      <c r="M691" s="5" t="str">
        <f t="shared" si="112"/>
        <v>Basic</v>
      </c>
      <c r="N691" s="5" t="str">
        <f t="shared" si="113"/>
        <v>Tax-Staff-Basic</v>
      </c>
      <c r="O691" s="5" t="str">
        <f t="shared" si="114"/>
        <v>Tax-Reviewer-Basic</v>
      </c>
      <c r="P691" s="5" t="str">
        <f t="shared" si="115"/>
        <v>Tax-Signer-Basic</v>
      </c>
      <c r="Q691" s="6">
        <v>1.4675000000000016</v>
      </c>
      <c r="R691" s="6">
        <v>0.29350000000000032</v>
      </c>
      <c r="S691" s="6">
        <v>0.14675000000000016</v>
      </c>
      <c r="T691" s="7">
        <f t="shared" si="121"/>
        <v>1.9077500000000021</v>
      </c>
      <c r="U691" s="6" t="e">
        <f>SUMIFS([1]Sheet1!$L:$L,[1]Sheet1!$I:$I,AJ691,[1]Sheet1!$C:$C,A691)</f>
        <v>#VALUE!</v>
      </c>
      <c r="V691" s="6"/>
      <c r="W691" s="6"/>
      <c r="X691" s="7" t="e">
        <f t="shared" si="116"/>
        <v>#VALUE!</v>
      </c>
      <c r="Y691" s="6"/>
      <c r="AJ691" s="5" t="str">
        <f t="shared" si="122"/>
        <v>NM 1040 - Personal</v>
      </c>
      <c r="AK691" s="5" t="str">
        <f t="shared" si="117"/>
        <v>NM-Tax Services-ANN-1040 - Personal_Basic</v>
      </c>
      <c r="AL691" s="5" t="str">
        <f t="shared" si="118"/>
        <v>Storms_9161_NM 1040 - Personal</v>
      </c>
      <c r="AM691" s="5" t="str">
        <f t="shared" si="119"/>
        <v>Storms_9161_NM-Tax Services-ANN-1040 - Personal_Basic</v>
      </c>
    </row>
    <row r="692" spans="1:39" x14ac:dyDescent="0.25">
      <c r="A692" s="2" t="s">
        <v>1026</v>
      </c>
      <c r="B692" s="2" t="s">
        <v>1027</v>
      </c>
      <c r="C692" s="2" t="s">
        <v>1196</v>
      </c>
      <c r="D692" s="8">
        <v>43831</v>
      </c>
      <c r="E692" s="5" t="str">
        <f t="shared" si="120"/>
        <v>Stringer Trevor &amp; Lauren_01-01-20</v>
      </c>
      <c r="F692" s="2" t="s">
        <v>1203</v>
      </c>
      <c r="G692" s="2" t="s">
        <v>1241</v>
      </c>
      <c r="H692" s="2" t="s">
        <v>1220</v>
      </c>
      <c r="I692" s="2" t="s">
        <v>1223</v>
      </c>
      <c r="J692" s="2" t="s">
        <v>1234</v>
      </c>
      <c r="M692" s="5" t="str">
        <f t="shared" si="112"/>
        <v>Basic</v>
      </c>
      <c r="N692" s="5" t="str">
        <f t="shared" si="113"/>
        <v>Tax-Staff-Basic</v>
      </c>
      <c r="O692" s="5" t="str">
        <f t="shared" si="114"/>
        <v>Tax-Reviewer-Basic</v>
      </c>
      <c r="P692" s="5" t="str">
        <f t="shared" si="115"/>
        <v>Tax-Signer-Basic</v>
      </c>
      <c r="Q692" s="6">
        <v>1.4675000000000016</v>
      </c>
      <c r="R692" s="6">
        <v>0.29350000000000032</v>
      </c>
      <c r="S692" s="6">
        <v>0.14675000000000016</v>
      </c>
      <c r="T692" s="7">
        <f t="shared" si="121"/>
        <v>1.9077500000000021</v>
      </c>
      <c r="U692" s="6" t="e">
        <f>SUMIFS([1]Sheet1!$L:$L,[1]Sheet1!$I:$I,AJ692,[1]Sheet1!$C:$C,A692)</f>
        <v>#VALUE!</v>
      </c>
      <c r="V692" s="6"/>
      <c r="W692" s="6"/>
      <c r="X692" s="7" t="e">
        <f t="shared" si="116"/>
        <v>#VALUE!</v>
      </c>
      <c r="Y692" s="6"/>
      <c r="AJ692" s="5" t="str">
        <f t="shared" si="122"/>
        <v>NM 1040 - Personal</v>
      </c>
      <c r="AK692" s="5" t="str">
        <f t="shared" si="117"/>
        <v>NM-Tax Services-ANN-1040 - Personal_Basic</v>
      </c>
      <c r="AL692" s="5" t="str">
        <f t="shared" si="118"/>
        <v>String_1075_NM 1040 - Personal</v>
      </c>
      <c r="AM692" s="5" t="str">
        <f t="shared" si="119"/>
        <v>String_1075_NM-Tax Services-ANN-1040 - Personal_Basic</v>
      </c>
    </row>
    <row r="693" spans="1:39" x14ac:dyDescent="0.25">
      <c r="A693" s="2" t="s">
        <v>896</v>
      </c>
      <c r="B693" s="2" t="s">
        <v>897</v>
      </c>
      <c r="C693" s="2" t="s">
        <v>1197</v>
      </c>
      <c r="D693" s="8">
        <v>43831</v>
      </c>
      <c r="E693" s="5" t="str">
        <f t="shared" si="120"/>
        <v>Sullivan, Tina M_01-01-20</v>
      </c>
      <c r="F693" s="2" t="s">
        <v>1203</v>
      </c>
      <c r="G693" s="2" t="s">
        <v>1241</v>
      </c>
      <c r="H693" s="2" t="s">
        <v>1220</v>
      </c>
      <c r="I693" s="2" t="s">
        <v>1222</v>
      </c>
      <c r="J693" s="2" t="s">
        <v>1234</v>
      </c>
      <c r="M693" s="5" t="str">
        <f t="shared" si="112"/>
        <v>Adv</v>
      </c>
      <c r="N693" s="5" t="str">
        <f t="shared" si="113"/>
        <v>Tax-Staff-Adv</v>
      </c>
      <c r="O693" s="5" t="str">
        <f t="shared" si="114"/>
        <v>Tax-Reviewer-Adv</v>
      </c>
      <c r="P693" s="5" t="str">
        <f t="shared" si="115"/>
        <v>Tax-Signer-Adv</v>
      </c>
      <c r="Q693" s="6">
        <v>4.5832500000000005</v>
      </c>
      <c r="R693" s="6">
        <v>0.91665000000000019</v>
      </c>
      <c r="S693" s="6">
        <v>0.45832500000000009</v>
      </c>
      <c r="T693" s="7">
        <f t="shared" si="121"/>
        <v>5.9582250000000005</v>
      </c>
      <c r="U693" s="6" t="e">
        <f>SUMIFS([1]Sheet1!$L:$L,[1]Sheet1!$I:$I,AJ693,[1]Sheet1!$C:$C,A693)</f>
        <v>#VALUE!</v>
      </c>
      <c r="V693" s="6"/>
      <c r="W693" s="6"/>
      <c r="X693" s="7" t="e">
        <f t="shared" si="116"/>
        <v>#VALUE!</v>
      </c>
      <c r="Y693" s="6"/>
      <c r="AJ693" s="5" t="str">
        <f t="shared" si="122"/>
        <v>MO 1040 - Personal</v>
      </c>
      <c r="AK693" s="5" t="str">
        <f t="shared" si="117"/>
        <v>MO-Tax Services-ANN-1040 - Personal_Adv</v>
      </c>
      <c r="AL693" s="5" t="str">
        <f t="shared" si="118"/>
        <v>Sulliv_2663_MO 1040 - Personal</v>
      </c>
      <c r="AM693" s="5" t="str">
        <f t="shared" si="119"/>
        <v>Sulliv_2663_MO-Tax Services-ANN-1040 - Personal_Adv</v>
      </c>
    </row>
    <row r="694" spans="1:39" x14ac:dyDescent="0.25">
      <c r="A694" s="2" t="s">
        <v>894</v>
      </c>
      <c r="B694" s="2" t="s">
        <v>895</v>
      </c>
      <c r="C694" s="2" t="s">
        <v>1197</v>
      </c>
      <c r="D694" s="8">
        <v>43831</v>
      </c>
      <c r="E694" s="5" t="str">
        <f t="shared" si="120"/>
        <v>Sullivan, Diane E._01-01-20</v>
      </c>
      <c r="F694" s="2" t="s">
        <v>1203</v>
      </c>
      <c r="G694" s="2" t="s">
        <v>1241</v>
      </c>
      <c r="H694" s="2" t="s">
        <v>1220</v>
      </c>
      <c r="I694" s="2" t="s">
        <v>1221</v>
      </c>
      <c r="J694" s="2" t="s">
        <v>1234</v>
      </c>
      <c r="M694" s="5" t="str">
        <f t="shared" si="112"/>
        <v>Mid</v>
      </c>
      <c r="N694" s="5" t="str">
        <f t="shared" si="113"/>
        <v>Tax-Staff-Mid</v>
      </c>
      <c r="O694" s="5" t="str">
        <f t="shared" si="114"/>
        <v>Tax-Reviewer-Mid</v>
      </c>
      <c r="P694" s="5" t="str">
        <f t="shared" si="115"/>
        <v>Tax-Signer-Mid</v>
      </c>
      <c r="Q694" s="6">
        <v>2.7401969696969677</v>
      </c>
      <c r="R694" s="6">
        <v>0.5480393939393936</v>
      </c>
      <c r="S694" s="6">
        <v>0.2740196969696968</v>
      </c>
      <c r="T694" s="7">
        <f t="shared" si="121"/>
        <v>3.562256060606058</v>
      </c>
      <c r="U694" s="6" t="e">
        <f>SUMIFS([1]Sheet1!$L:$L,[1]Sheet1!$I:$I,AJ694,[1]Sheet1!$C:$C,A694)</f>
        <v>#VALUE!</v>
      </c>
      <c r="V694" s="6"/>
      <c r="W694" s="6"/>
      <c r="X694" s="7" t="e">
        <f t="shared" si="116"/>
        <v>#VALUE!</v>
      </c>
      <c r="Y694" s="6"/>
      <c r="AJ694" s="5" t="str">
        <f t="shared" si="122"/>
        <v>MO 1040 - Personal</v>
      </c>
      <c r="AK694" s="5" t="str">
        <f t="shared" si="117"/>
        <v>MO-Tax Services-ANN-1040 - Personal_Mid</v>
      </c>
      <c r="AL694" s="5" t="str">
        <f t="shared" si="118"/>
        <v>Sulliv_5883_MO 1040 - Personal</v>
      </c>
      <c r="AM694" s="5" t="str">
        <f t="shared" si="119"/>
        <v>Sulliv_5883_MO-Tax Services-ANN-1040 - Personal_Mid</v>
      </c>
    </row>
    <row r="695" spans="1:39" x14ac:dyDescent="0.25">
      <c r="A695" s="2" t="s">
        <v>154</v>
      </c>
      <c r="B695" s="2" t="s">
        <v>155</v>
      </c>
      <c r="C695" s="2" t="s">
        <v>1197</v>
      </c>
      <c r="D695" s="8">
        <v>43831</v>
      </c>
      <c r="E695" s="5" t="str">
        <f t="shared" si="120"/>
        <v>Sullivan Technology Associates_01-01-20</v>
      </c>
      <c r="F695" s="2" t="s">
        <v>1201</v>
      </c>
      <c r="G695" s="2" t="s">
        <v>1201</v>
      </c>
      <c r="H695" s="2" t="s">
        <v>1197</v>
      </c>
      <c r="I695" s="2" t="s">
        <v>1223</v>
      </c>
      <c r="J695" s="2" t="s">
        <v>1235</v>
      </c>
      <c r="M695" s="5" t="str">
        <f t="shared" si="112"/>
        <v>Basic</v>
      </c>
      <c r="N695" s="5" t="str">
        <f t="shared" si="113"/>
        <v>Accountant-Staff-Basic</v>
      </c>
      <c r="O695" s="5" t="str">
        <f t="shared" si="114"/>
        <v>Accountant-Reviewer-Basic</v>
      </c>
      <c r="P695" s="5" t="str">
        <f t="shared" si="115"/>
        <v>Accountant-Signer-Basic</v>
      </c>
      <c r="Q695" s="6">
        <v>1.47</v>
      </c>
      <c r="R695" s="6">
        <v>0.29399999999999998</v>
      </c>
      <c r="S695" s="6">
        <v>0.14699999999999999</v>
      </c>
      <c r="T695" s="7">
        <f t="shared" si="121"/>
        <v>1.911</v>
      </c>
      <c r="U695" s="6" t="e">
        <f>SUMIFS([1]Sheet1!$L:$L,[1]Sheet1!$I:$I,AJ695,[1]Sheet1!$C:$C,A695)</f>
        <v>#VALUE!</v>
      </c>
      <c r="V695" s="6"/>
      <c r="W695" s="6"/>
      <c r="X695" s="7" t="e">
        <f t="shared" si="116"/>
        <v>#VALUE!</v>
      </c>
      <c r="Y695" s="6"/>
      <c r="AJ695" s="5" t="str">
        <f t="shared" si="122"/>
        <v>MO Accounting Services</v>
      </c>
      <c r="AK695" s="5" t="str">
        <f t="shared" si="117"/>
        <v>MO-Accounting Services-MO-Accounting Services_Basic</v>
      </c>
      <c r="AL695" s="5" t="str">
        <f t="shared" si="118"/>
        <v>Sullivan_1120S_75-2861628_MO Accounting Services</v>
      </c>
      <c r="AM695" s="5" t="str">
        <f t="shared" si="119"/>
        <v>Sullivan_1120S_75-2861628_MO-Accounting Services-MO-Accounting Services_Basic</v>
      </c>
    </row>
    <row r="696" spans="1:39" x14ac:dyDescent="0.25">
      <c r="A696" s="2" t="s">
        <v>154</v>
      </c>
      <c r="B696" s="2" t="s">
        <v>155</v>
      </c>
      <c r="C696" s="2" t="s">
        <v>1197</v>
      </c>
      <c r="D696" s="8">
        <v>43831</v>
      </c>
      <c r="E696" s="5" t="str">
        <f t="shared" si="120"/>
        <v>Sullivan Technology Associates_01-01-20</v>
      </c>
      <c r="F696" s="2" t="s">
        <v>1204</v>
      </c>
      <c r="G696" s="2" t="s">
        <v>1241</v>
      </c>
      <c r="H696" s="2" t="s">
        <v>1220</v>
      </c>
      <c r="I696" s="2" t="s">
        <v>1223</v>
      </c>
      <c r="J696" s="2" t="s">
        <v>1234</v>
      </c>
      <c r="M696" s="5" t="str">
        <f t="shared" si="112"/>
        <v>Basic</v>
      </c>
      <c r="N696" s="5" t="str">
        <f t="shared" si="113"/>
        <v>Tax-Staff-Basic</v>
      </c>
      <c r="O696" s="5" t="str">
        <f t="shared" si="114"/>
        <v>Tax-Reviewer-Basic</v>
      </c>
      <c r="P696" s="5" t="str">
        <f t="shared" si="115"/>
        <v>Tax-Signer-Basic</v>
      </c>
      <c r="Q696" s="6">
        <v>1.4675000000000016</v>
      </c>
      <c r="R696" s="6">
        <v>0.29350000000000032</v>
      </c>
      <c r="S696" s="6">
        <v>0.14675000000000016</v>
      </c>
      <c r="T696" s="7">
        <f t="shared" si="121"/>
        <v>1.9077500000000021</v>
      </c>
      <c r="U696" s="6" t="e">
        <f>SUMIFS([1]Sheet1!$L:$L,[1]Sheet1!$I:$I,AJ696,[1]Sheet1!$C:$C,A696)</f>
        <v>#VALUE!</v>
      </c>
      <c r="V696" s="6"/>
      <c r="W696" s="6"/>
      <c r="X696" s="7" t="e">
        <f t="shared" si="116"/>
        <v>#VALUE!</v>
      </c>
      <c r="Y696" s="6"/>
      <c r="AJ696" s="5" t="str">
        <f t="shared" si="122"/>
        <v>MO 1120S - S Corporation</v>
      </c>
      <c r="AK696" s="5" t="str">
        <f t="shared" si="117"/>
        <v>MO-Tax Services-ANN-1120S - S Corporation_Basic</v>
      </c>
      <c r="AL696" s="5" t="str">
        <f t="shared" si="118"/>
        <v>Sullivan_1120S_75-2861628_MO 1120S - S Corporation</v>
      </c>
      <c r="AM696" s="5" t="str">
        <f t="shared" si="119"/>
        <v>Sullivan_1120S_75-2861628_MO-Tax Services-ANN-1120S - S Corporation_Basic</v>
      </c>
    </row>
    <row r="697" spans="1:39" x14ac:dyDescent="0.25">
      <c r="A697" s="2" t="s">
        <v>154</v>
      </c>
      <c r="B697" s="2" t="s">
        <v>155</v>
      </c>
      <c r="C697" s="2" t="s">
        <v>1197</v>
      </c>
      <c r="D697" s="8">
        <v>43831</v>
      </c>
      <c r="E697" s="5" t="str">
        <f t="shared" si="120"/>
        <v>Sullivan Technology Associates_01-01-20</v>
      </c>
      <c r="F697" s="2" t="s">
        <v>1200</v>
      </c>
      <c r="G697" s="2" t="s">
        <v>1241</v>
      </c>
      <c r="H697" s="2" t="s">
        <v>1220</v>
      </c>
      <c r="I697" s="2" t="s">
        <v>1223</v>
      </c>
      <c r="J697" s="2" t="s">
        <v>1234</v>
      </c>
      <c r="M697" s="5" t="str">
        <f t="shared" si="112"/>
        <v>Basic</v>
      </c>
      <c r="N697" s="5" t="str">
        <f t="shared" si="113"/>
        <v>Tax-Staff-Basic</v>
      </c>
      <c r="O697" s="5" t="str">
        <f t="shared" si="114"/>
        <v>Tax-Reviewer-Basic</v>
      </c>
      <c r="P697" s="5" t="str">
        <f t="shared" si="115"/>
        <v>Tax-Signer-Basic</v>
      </c>
      <c r="Q697" s="6">
        <v>0.5</v>
      </c>
      <c r="R697" s="6">
        <v>0.1</v>
      </c>
      <c r="S697" s="6">
        <v>0.05</v>
      </c>
      <c r="T697" s="7">
        <f t="shared" si="121"/>
        <v>0.65</v>
      </c>
      <c r="U697" s="6" t="e">
        <f>SUMIFS([1]Sheet1!$L:$L,[1]Sheet1!$I:$I,AJ697,[1]Sheet1!$C:$C,A697)</f>
        <v>#VALUE!</v>
      </c>
      <c r="V697" s="6"/>
      <c r="W697" s="6"/>
      <c r="X697" s="7" t="e">
        <f t="shared" si="116"/>
        <v>#VALUE!</v>
      </c>
      <c r="Y697" s="6"/>
      <c r="AJ697" s="5" t="str">
        <f t="shared" si="122"/>
        <v>MO Texas Franchise Tax Return</v>
      </c>
      <c r="AK697" s="5" t="str">
        <f t="shared" si="117"/>
        <v>MO-Tax Services-ANN-Texas Franchise Tax Return_Basic</v>
      </c>
      <c r="AL697" s="5" t="str">
        <f t="shared" si="118"/>
        <v>Sullivan_1120S_75-2861628_MO Texas Franchise Tax Return</v>
      </c>
      <c r="AM697" s="5" t="str">
        <f t="shared" si="119"/>
        <v>Sullivan_1120S_75-2861628_MO-Tax Services-ANN-Texas Franchise Tax Return_Basic</v>
      </c>
    </row>
    <row r="698" spans="1:39" x14ac:dyDescent="0.25">
      <c r="A698" s="2" t="s">
        <v>1169</v>
      </c>
      <c r="B698" s="2" t="s">
        <v>1170</v>
      </c>
      <c r="C698" s="2" t="s">
        <v>1196</v>
      </c>
      <c r="D698" s="8">
        <v>43831</v>
      </c>
      <c r="E698" s="5" t="str">
        <f t="shared" si="120"/>
        <v>Summers, Sean O. &amp; Nikki M._01-01-20</v>
      </c>
      <c r="F698" s="2" t="s">
        <v>1203</v>
      </c>
      <c r="G698" s="2" t="s">
        <v>1241</v>
      </c>
      <c r="H698" s="2" t="s">
        <v>1220</v>
      </c>
      <c r="I698" s="2" t="s">
        <v>1223</v>
      </c>
      <c r="J698" s="2" t="s">
        <v>1234</v>
      </c>
      <c r="M698" s="5" t="str">
        <f t="shared" si="112"/>
        <v>Basic</v>
      </c>
      <c r="N698" s="5" t="str">
        <f t="shared" si="113"/>
        <v>Tax-Staff-Basic</v>
      </c>
      <c r="O698" s="5" t="str">
        <f t="shared" si="114"/>
        <v>Tax-Reviewer-Basic</v>
      </c>
      <c r="P698" s="5" t="str">
        <f t="shared" si="115"/>
        <v>Tax-Signer-Basic</v>
      </c>
      <c r="Q698" s="6">
        <v>1.4675000000000016</v>
      </c>
      <c r="R698" s="6">
        <v>0.29350000000000032</v>
      </c>
      <c r="S698" s="6">
        <v>0.14675000000000016</v>
      </c>
      <c r="T698" s="7">
        <f t="shared" si="121"/>
        <v>1.9077500000000021</v>
      </c>
      <c r="U698" s="6" t="e">
        <f>SUMIFS([1]Sheet1!$L:$L,[1]Sheet1!$I:$I,AJ698,[1]Sheet1!$C:$C,A698)</f>
        <v>#VALUE!</v>
      </c>
      <c r="V698" s="6"/>
      <c r="W698" s="6"/>
      <c r="X698" s="7" t="e">
        <f t="shared" si="116"/>
        <v>#VALUE!</v>
      </c>
      <c r="Y698" s="6"/>
      <c r="AJ698" s="5" t="str">
        <f t="shared" si="122"/>
        <v>NM 1040 - Personal</v>
      </c>
      <c r="AK698" s="5" t="str">
        <f t="shared" si="117"/>
        <v>NM-Tax Services-ANN-1040 - Personal_Basic</v>
      </c>
      <c r="AL698" s="5" t="str">
        <f t="shared" si="118"/>
        <v>Summer_1916_NM 1040 - Personal</v>
      </c>
      <c r="AM698" s="5" t="str">
        <f t="shared" si="119"/>
        <v>Summer_1916_NM-Tax Services-ANN-1040 - Personal_Basic</v>
      </c>
    </row>
    <row r="699" spans="1:39" x14ac:dyDescent="0.25">
      <c r="A699" s="2" t="s">
        <v>156</v>
      </c>
      <c r="B699" s="2" t="s">
        <v>157</v>
      </c>
      <c r="C699" s="2" t="s">
        <v>1197</v>
      </c>
      <c r="D699" s="8">
        <v>43831</v>
      </c>
      <c r="E699" s="5" t="str">
        <f t="shared" si="120"/>
        <v>Sure Shot Labs, LLC_01-01-20</v>
      </c>
      <c r="F699" s="2" t="s">
        <v>1201</v>
      </c>
      <c r="G699" s="2" t="s">
        <v>1201</v>
      </c>
      <c r="H699" s="2" t="s">
        <v>1197</v>
      </c>
      <c r="I699" s="2" t="s">
        <v>1223</v>
      </c>
      <c r="J699" s="2" t="s">
        <v>1235</v>
      </c>
      <c r="M699" s="5" t="str">
        <f t="shared" si="112"/>
        <v>Basic</v>
      </c>
      <c r="N699" s="5" t="str">
        <f t="shared" si="113"/>
        <v>Accountant-Staff-Basic</v>
      </c>
      <c r="O699" s="5" t="str">
        <f t="shared" si="114"/>
        <v>Accountant-Reviewer-Basic</v>
      </c>
      <c r="P699" s="5" t="str">
        <f t="shared" si="115"/>
        <v>Accountant-Signer-Basic</v>
      </c>
      <c r="Q699" s="6">
        <v>1.47</v>
      </c>
      <c r="R699" s="6">
        <v>0.29399999999999998</v>
      </c>
      <c r="S699" s="6">
        <v>0.14699999999999999</v>
      </c>
      <c r="T699" s="7">
        <f t="shared" si="121"/>
        <v>1.911</v>
      </c>
      <c r="U699" s="6" t="e">
        <f>SUMIFS([1]Sheet1!$L:$L,[1]Sheet1!$I:$I,AJ699,[1]Sheet1!$C:$C,A699)</f>
        <v>#VALUE!</v>
      </c>
      <c r="V699" s="6"/>
      <c r="W699" s="6"/>
      <c r="X699" s="7" t="e">
        <f t="shared" si="116"/>
        <v>#VALUE!</v>
      </c>
      <c r="Y699" s="6"/>
      <c r="AJ699" s="5" t="str">
        <f t="shared" si="122"/>
        <v>MO Accounting Services</v>
      </c>
      <c r="AK699" s="5" t="str">
        <f t="shared" si="117"/>
        <v>MO-Accounting Services-MO-Accounting Services_Basic</v>
      </c>
      <c r="AL699" s="5" t="str">
        <f t="shared" si="118"/>
        <v>Sure Sho_1065_47-5371628_MO Accounting Services</v>
      </c>
      <c r="AM699" s="5" t="str">
        <f t="shared" si="119"/>
        <v>Sure Sho_1065_47-5371628_MO-Accounting Services-MO-Accounting Services_Basic</v>
      </c>
    </row>
    <row r="700" spans="1:39" x14ac:dyDescent="0.25">
      <c r="A700" s="2" t="s">
        <v>156</v>
      </c>
      <c r="B700" s="2" t="s">
        <v>157</v>
      </c>
      <c r="C700" s="2" t="s">
        <v>1197</v>
      </c>
      <c r="D700" s="8">
        <v>43831</v>
      </c>
      <c r="E700" s="5" t="str">
        <f t="shared" si="120"/>
        <v>Sure Shot Labs, LLC_01-01-20</v>
      </c>
      <c r="F700" s="2" t="s">
        <v>1205</v>
      </c>
      <c r="G700" s="2" t="s">
        <v>1201</v>
      </c>
      <c r="H700" s="2" t="s">
        <v>1224</v>
      </c>
      <c r="I700" s="2" t="s">
        <v>1223</v>
      </c>
      <c r="J700" s="2" t="s">
        <v>1235</v>
      </c>
      <c r="M700" s="5" t="str">
        <f t="shared" si="112"/>
        <v>Basic</v>
      </c>
      <c r="N700" s="5" t="str">
        <f t="shared" si="113"/>
        <v>Accountant-Staff-Basic</v>
      </c>
      <c r="O700" s="5" t="str">
        <f t="shared" si="114"/>
        <v>Accountant-Reviewer-Basic</v>
      </c>
      <c r="P700" s="5" t="str">
        <f t="shared" si="115"/>
        <v>Accountant-Signer-Basic</v>
      </c>
      <c r="Q700" s="6">
        <v>0.5</v>
      </c>
      <c r="R700" s="6">
        <v>0.1</v>
      </c>
      <c r="S700" s="6">
        <v>0.05</v>
      </c>
      <c r="T700" s="7">
        <f t="shared" si="121"/>
        <v>0.65</v>
      </c>
      <c r="U700" s="6" t="e">
        <f>SUMIFS([1]Sheet1!$L:$L,[1]Sheet1!$I:$I,AJ700,[1]Sheet1!$C:$C,A700)</f>
        <v>#VALUE!</v>
      </c>
      <c r="V700" s="6"/>
      <c r="W700" s="6"/>
      <c r="X700" s="7" t="e">
        <f t="shared" si="116"/>
        <v>#VALUE!</v>
      </c>
      <c r="Y700" s="6"/>
      <c r="AJ700" s="5" t="str">
        <f t="shared" ref="AJ700:AJ731" si="123">C700&amp;" "&amp;F700</f>
        <v>MO Payroll Services</v>
      </c>
      <c r="AK700" s="5" t="str">
        <f t="shared" si="117"/>
        <v>MO-Accounting Services-QTR-Payroll Services_Basic</v>
      </c>
      <c r="AL700" s="5" t="str">
        <f t="shared" si="118"/>
        <v>Sure Sho_1065_47-5371628_MO Payroll Services</v>
      </c>
      <c r="AM700" s="5" t="str">
        <f t="shared" si="119"/>
        <v>Sure Sho_1065_47-5371628_MO-Accounting Services-QTR-Payroll Services_Basic</v>
      </c>
    </row>
    <row r="701" spans="1:39" x14ac:dyDescent="0.25">
      <c r="A701" s="2" t="s">
        <v>156</v>
      </c>
      <c r="B701" s="2" t="s">
        <v>157</v>
      </c>
      <c r="C701" s="2" t="s">
        <v>1197</v>
      </c>
      <c r="D701" s="8">
        <v>43831</v>
      </c>
      <c r="E701" s="5" t="str">
        <f t="shared" si="120"/>
        <v>Sure Shot Labs, LLC_01-01-20</v>
      </c>
      <c r="F701" s="2" t="s">
        <v>1199</v>
      </c>
      <c r="G701" s="2" t="s">
        <v>1241</v>
      </c>
      <c r="H701" s="2" t="s">
        <v>1220</v>
      </c>
      <c r="I701" s="2" t="s">
        <v>1222</v>
      </c>
      <c r="J701" s="2" t="s">
        <v>1234</v>
      </c>
      <c r="M701" s="5" t="str">
        <f t="shared" si="112"/>
        <v>Adv</v>
      </c>
      <c r="N701" s="5" t="str">
        <f t="shared" si="113"/>
        <v>Tax-Staff-Adv</v>
      </c>
      <c r="O701" s="5" t="str">
        <f t="shared" si="114"/>
        <v>Tax-Reviewer-Adv</v>
      </c>
      <c r="P701" s="5" t="str">
        <f t="shared" si="115"/>
        <v>Tax-Signer-Adv</v>
      </c>
      <c r="Q701" s="6">
        <v>4.5832500000000005</v>
      </c>
      <c r="R701" s="6">
        <v>0.91665000000000019</v>
      </c>
      <c r="S701" s="6">
        <v>0.45832500000000009</v>
      </c>
      <c r="T701" s="7">
        <f t="shared" si="121"/>
        <v>5.9582250000000005</v>
      </c>
      <c r="U701" s="6" t="e">
        <f>SUMIFS([1]Sheet1!$L:$L,[1]Sheet1!$I:$I,AJ701,[1]Sheet1!$C:$C,A701)</f>
        <v>#VALUE!</v>
      </c>
      <c r="V701" s="6"/>
      <c r="W701" s="6"/>
      <c r="X701" s="7" t="e">
        <f t="shared" si="116"/>
        <v>#VALUE!</v>
      </c>
      <c r="Y701" s="6"/>
      <c r="AJ701" s="5" t="str">
        <f t="shared" si="123"/>
        <v>MO 1065 - Partnership</v>
      </c>
      <c r="AK701" s="5" t="str">
        <f t="shared" si="117"/>
        <v>MO-Tax Services-ANN-1065 - Partnership_Adv</v>
      </c>
      <c r="AL701" s="5" t="str">
        <f t="shared" si="118"/>
        <v>Sure Sho_1065_47-5371628_MO 1065 - Partnership</v>
      </c>
      <c r="AM701" s="5" t="str">
        <f t="shared" si="119"/>
        <v>Sure Sho_1065_47-5371628_MO-Tax Services-ANN-1065 - Partnership_Adv</v>
      </c>
    </row>
    <row r="702" spans="1:39" x14ac:dyDescent="0.25">
      <c r="A702" s="2" t="s">
        <v>156</v>
      </c>
      <c r="B702" s="2" t="s">
        <v>157</v>
      </c>
      <c r="C702" s="2" t="s">
        <v>1197</v>
      </c>
      <c r="D702" s="8">
        <v>43831</v>
      </c>
      <c r="E702" s="5" t="str">
        <f t="shared" si="120"/>
        <v>Sure Shot Labs, LLC_01-01-20</v>
      </c>
      <c r="F702" s="2" t="s">
        <v>1200</v>
      </c>
      <c r="G702" s="2" t="s">
        <v>1241</v>
      </c>
      <c r="H702" s="2" t="s">
        <v>1220</v>
      </c>
      <c r="I702" s="2" t="s">
        <v>1223</v>
      </c>
      <c r="J702" s="2" t="s">
        <v>1234</v>
      </c>
      <c r="M702" s="5" t="str">
        <f t="shared" si="112"/>
        <v>Basic</v>
      </c>
      <c r="N702" s="5" t="str">
        <f t="shared" si="113"/>
        <v>Tax-Staff-Basic</v>
      </c>
      <c r="O702" s="5" t="str">
        <f t="shared" si="114"/>
        <v>Tax-Reviewer-Basic</v>
      </c>
      <c r="P702" s="5" t="str">
        <f t="shared" si="115"/>
        <v>Tax-Signer-Basic</v>
      </c>
      <c r="Q702" s="6">
        <v>0.5</v>
      </c>
      <c r="R702" s="6">
        <v>0.1</v>
      </c>
      <c r="S702" s="6">
        <v>0.05</v>
      </c>
      <c r="T702" s="7">
        <f t="shared" si="121"/>
        <v>0.65</v>
      </c>
      <c r="U702" s="6" t="e">
        <f>SUMIFS([1]Sheet1!$L:$L,[1]Sheet1!$I:$I,AJ702,[1]Sheet1!$C:$C,A702)</f>
        <v>#VALUE!</v>
      </c>
      <c r="V702" s="6"/>
      <c r="W702" s="6"/>
      <c r="X702" s="7" t="e">
        <f t="shared" si="116"/>
        <v>#VALUE!</v>
      </c>
      <c r="Y702" s="6"/>
      <c r="AJ702" s="5" t="str">
        <f t="shared" si="123"/>
        <v>MO Texas Franchise Tax Return</v>
      </c>
      <c r="AK702" s="5" t="str">
        <f t="shared" si="117"/>
        <v>MO-Tax Services-ANN-Texas Franchise Tax Return_Basic</v>
      </c>
      <c r="AL702" s="5" t="str">
        <f t="shared" si="118"/>
        <v>Sure Sho_1065_47-5371628_MO Texas Franchise Tax Return</v>
      </c>
      <c r="AM702" s="5" t="str">
        <f t="shared" si="119"/>
        <v>Sure Sho_1065_47-5371628_MO-Tax Services-ANN-Texas Franchise Tax Return_Basic</v>
      </c>
    </row>
    <row r="703" spans="1:39" x14ac:dyDescent="0.25">
      <c r="A703" s="2" t="s">
        <v>325</v>
      </c>
      <c r="B703" s="2" t="s">
        <v>326</v>
      </c>
      <c r="C703" s="2" t="s">
        <v>1197</v>
      </c>
      <c r="D703" s="8">
        <v>43831</v>
      </c>
      <c r="E703" s="5" t="str">
        <f t="shared" si="120"/>
        <v>Sure Shot Media &amp; Marketing, LLC_01-01-20</v>
      </c>
      <c r="F703" s="2" t="s">
        <v>1204</v>
      </c>
      <c r="G703" s="2" t="s">
        <v>1241</v>
      </c>
      <c r="H703" s="2" t="s">
        <v>1220</v>
      </c>
      <c r="I703" s="2" t="s">
        <v>1221</v>
      </c>
      <c r="J703" s="2" t="s">
        <v>1234</v>
      </c>
      <c r="M703" s="5" t="str">
        <f t="shared" si="112"/>
        <v>Mid</v>
      </c>
      <c r="N703" s="5" t="str">
        <f t="shared" si="113"/>
        <v>Tax-Staff-Mid</v>
      </c>
      <c r="O703" s="5" t="str">
        <f t="shared" si="114"/>
        <v>Tax-Reviewer-Mid</v>
      </c>
      <c r="P703" s="5" t="str">
        <f t="shared" si="115"/>
        <v>Tax-Signer-Mid</v>
      </c>
      <c r="Q703" s="6">
        <v>2.7401969696969677</v>
      </c>
      <c r="R703" s="6">
        <v>0.5480393939393936</v>
      </c>
      <c r="S703" s="6">
        <v>0.2740196969696968</v>
      </c>
      <c r="T703" s="7">
        <f t="shared" si="121"/>
        <v>3.562256060606058</v>
      </c>
      <c r="U703" s="6" t="e">
        <f>SUMIFS([1]Sheet1!$L:$L,[1]Sheet1!$I:$I,AJ703,[1]Sheet1!$C:$C,A703)</f>
        <v>#VALUE!</v>
      </c>
      <c r="V703" s="6"/>
      <c r="W703" s="6"/>
      <c r="X703" s="7" t="e">
        <f t="shared" si="116"/>
        <v>#VALUE!</v>
      </c>
      <c r="Y703" s="6"/>
      <c r="AJ703" s="5" t="str">
        <f t="shared" si="123"/>
        <v>MO 1120S - S Corporation</v>
      </c>
      <c r="AK703" s="5" t="str">
        <f t="shared" si="117"/>
        <v>MO-Tax Services-ANN-1120S - S Corporation_Mid</v>
      </c>
      <c r="AL703" s="5" t="str">
        <f t="shared" si="118"/>
        <v>Sure Sho_1120S_26-2708308_MO 1120S - S Corporation</v>
      </c>
      <c r="AM703" s="5" t="str">
        <f t="shared" si="119"/>
        <v>Sure Sho_1120S_26-2708308_MO-Tax Services-ANN-1120S - S Corporation_Mid</v>
      </c>
    </row>
    <row r="704" spans="1:39" x14ac:dyDescent="0.25">
      <c r="A704" s="2" t="s">
        <v>998</v>
      </c>
      <c r="B704" s="2" t="s">
        <v>999</v>
      </c>
      <c r="C704" s="2" t="s">
        <v>1196</v>
      </c>
      <c r="D704" s="8">
        <v>43831</v>
      </c>
      <c r="E704" s="5" t="str">
        <f t="shared" si="120"/>
        <v>Tac7 USA LLC_01-01-20</v>
      </c>
      <c r="F704" s="2" t="s">
        <v>1200</v>
      </c>
      <c r="G704" s="2" t="s">
        <v>1241</v>
      </c>
      <c r="H704" s="2" t="s">
        <v>1220</v>
      </c>
      <c r="I704" s="2" t="s">
        <v>1223</v>
      </c>
      <c r="J704" s="2" t="s">
        <v>1234</v>
      </c>
      <c r="M704" s="5" t="str">
        <f t="shared" si="112"/>
        <v>Basic</v>
      </c>
      <c r="N704" s="5" t="str">
        <f t="shared" si="113"/>
        <v>Tax-Staff-Basic</v>
      </c>
      <c r="O704" s="5" t="str">
        <f t="shared" si="114"/>
        <v>Tax-Reviewer-Basic</v>
      </c>
      <c r="P704" s="5" t="str">
        <f t="shared" si="115"/>
        <v>Tax-Signer-Basic</v>
      </c>
      <c r="Q704" s="6">
        <v>0.5</v>
      </c>
      <c r="R704" s="6">
        <v>0.1</v>
      </c>
      <c r="S704" s="6">
        <v>0.05</v>
      </c>
      <c r="T704" s="7">
        <f t="shared" si="121"/>
        <v>0.65</v>
      </c>
      <c r="U704" s="6" t="e">
        <f>SUMIFS([1]Sheet1!$L:$L,[1]Sheet1!$I:$I,AJ704,[1]Sheet1!$C:$C,A704)</f>
        <v>#VALUE!</v>
      </c>
      <c r="V704" s="6"/>
      <c r="W704" s="6"/>
      <c r="X704" s="7" t="e">
        <f t="shared" si="116"/>
        <v>#VALUE!</v>
      </c>
      <c r="Y704" s="6"/>
      <c r="AJ704" s="5" t="str">
        <f t="shared" si="123"/>
        <v>NM Texas Franchise Tax Return</v>
      </c>
      <c r="AK704" s="5" t="str">
        <f t="shared" si="117"/>
        <v>NM-Tax Services-ANN-Texas Franchise Tax Return_Basic</v>
      </c>
      <c r="AL704" s="5" t="str">
        <f t="shared" si="118"/>
        <v>Tac7 USA_TX-FTR_1_NM Texas Franchise Tax Return</v>
      </c>
      <c r="AM704" s="5" t="str">
        <f t="shared" si="119"/>
        <v>Tac7 USA_TX-FTR_1_NM-Tax Services-ANN-Texas Franchise Tax Return_Basic</v>
      </c>
    </row>
    <row r="705" spans="1:39" x14ac:dyDescent="0.25">
      <c r="A705" s="2" t="s">
        <v>291</v>
      </c>
      <c r="B705" s="2" t="s">
        <v>292</v>
      </c>
      <c r="C705" s="2" t="s">
        <v>1196</v>
      </c>
      <c r="D705" s="8">
        <v>43831</v>
      </c>
      <c r="E705" s="5" t="str">
        <f t="shared" si="120"/>
        <v>Team Offseason Productions, LLC_01-01-20</v>
      </c>
      <c r="F705" s="2" t="s">
        <v>1204</v>
      </c>
      <c r="G705" s="2" t="s">
        <v>1241</v>
      </c>
      <c r="H705" s="2" t="s">
        <v>1220</v>
      </c>
      <c r="I705" s="2" t="s">
        <v>1223</v>
      </c>
      <c r="J705" s="2" t="s">
        <v>1234</v>
      </c>
      <c r="M705" s="5" t="str">
        <f t="shared" si="112"/>
        <v>Basic</v>
      </c>
      <c r="N705" s="5" t="str">
        <f t="shared" si="113"/>
        <v>Tax-Staff-Basic</v>
      </c>
      <c r="O705" s="5" t="str">
        <f t="shared" si="114"/>
        <v>Tax-Reviewer-Basic</v>
      </c>
      <c r="P705" s="5" t="str">
        <f t="shared" si="115"/>
        <v>Tax-Signer-Basic</v>
      </c>
      <c r="Q705" s="6">
        <v>1.4675000000000016</v>
      </c>
      <c r="R705" s="6">
        <v>0.29350000000000032</v>
      </c>
      <c r="S705" s="6">
        <v>0.14675000000000016</v>
      </c>
      <c r="T705" s="7">
        <f t="shared" si="121"/>
        <v>1.9077500000000021</v>
      </c>
      <c r="U705" s="6" t="e">
        <f>SUMIFS([1]Sheet1!$L:$L,[1]Sheet1!$I:$I,AJ705,[1]Sheet1!$C:$C,A705)</f>
        <v>#VALUE!</v>
      </c>
      <c r="V705" s="6"/>
      <c r="W705" s="6"/>
      <c r="X705" s="7" t="e">
        <f t="shared" si="116"/>
        <v>#VALUE!</v>
      </c>
      <c r="Y705" s="6"/>
      <c r="AJ705" s="5" t="str">
        <f t="shared" si="123"/>
        <v>NM 1120S - S Corporation</v>
      </c>
      <c r="AK705" s="5" t="str">
        <f t="shared" si="117"/>
        <v>NM-Tax Services-ANN-1120S - S Corporation_Basic</v>
      </c>
      <c r="AL705" s="5" t="str">
        <f t="shared" si="118"/>
        <v>Team Off_1120S_81-1460119_NM 1120S - S Corporation</v>
      </c>
      <c r="AM705" s="5" t="str">
        <f t="shared" si="119"/>
        <v>Team Off_1120S_81-1460119_NM-Tax Services-ANN-1120S - S Corporation_Basic</v>
      </c>
    </row>
    <row r="706" spans="1:39" x14ac:dyDescent="0.25">
      <c r="A706" s="2" t="s">
        <v>158</v>
      </c>
      <c r="B706" s="2" t="s">
        <v>159</v>
      </c>
      <c r="C706" s="2" t="s">
        <v>1197</v>
      </c>
      <c r="D706" s="8">
        <v>43831</v>
      </c>
      <c r="E706" s="5" t="str">
        <f t="shared" si="120"/>
        <v>Techieconn, LLC_01-01-20</v>
      </c>
      <c r="F706" s="2" t="s">
        <v>1206</v>
      </c>
      <c r="G706" s="2" t="s">
        <v>1241</v>
      </c>
      <c r="H706" s="2" t="s">
        <v>1220</v>
      </c>
      <c r="I706" s="2" t="s">
        <v>1223</v>
      </c>
      <c r="J706" s="2" t="s">
        <v>1234</v>
      </c>
      <c r="M706" s="5" t="str">
        <f t="shared" ref="M706:M769" si="124">I706</f>
        <v>Basic</v>
      </c>
      <c r="N706" s="5" t="str">
        <f t="shared" ref="N706:N769" si="125">$J706&amp;"-"&amp;"Staff"&amp;"-"&amp;$M706</f>
        <v>Tax-Staff-Basic</v>
      </c>
      <c r="O706" s="5" t="str">
        <f t="shared" ref="O706:O769" si="126">$J706&amp;"-"&amp;"Reviewer"&amp;"-"&amp;$M706</f>
        <v>Tax-Reviewer-Basic</v>
      </c>
      <c r="P706" s="5" t="str">
        <f t="shared" ref="P706:P769" si="127">$J706&amp;"-"&amp;"Signer"&amp;"-"&amp;$M706</f>
        <v>Tax-Signer-Basic</v>
      </c>
      <c r="Q706" s="6">
        <v>1.4675000000000016</v>
      </c>
      <c r="R706" s="6">
        <v>0.29350000000000032</v>
      </c>
      <c r="S706" s="6">
        <v>0.14675000000000016</v>
      </c>
      <c r="T706" s="7">
        <f t="shared" si="121"/>
        <v>1.9077500000000021</v>
      </c>
      <c r="U706" s="6" t="e">
        <f>SUMIFS([1]Sheet1!$L:$L,[1]Sheet1!$I:$I,AJ706,[1]Sheet1!$C:$C,A706)</f>
        <v>#VALUE!</v>
      </c>
      <c r="V706" s="6"/>
      <c r="W706" s="6"/>
      <c r="X706" s="7" t="e">
        <f t="shared" ref="X706:X769" si="128">SUM(U706:W706)</f>
        <v>#VALUE!</v>
      </c>
      <c r="Y706" s="6"/>
      <c r="AJ706" s="5" t="str">
        <f t="shared" si="123"/>
        <v>MO 1120 - C Corporation</v>
      </c>
      <c r="AK706" s="5" t="str">
        <f t="shared" ref="AK706:AK769" si="129">C706&amp;"-"&amp;G706&amp;"-"&amp;H706&amp;"-"&amp;F706&amp;"_"&amp;I706</f>
        <v>MO-Tax Services-ANN-1120 - C Corporation_Basic</v>
      </c>
      <c r="AL706" s="5" t="str">
        <f t="shared" ref="AL706:AL769" si="130">A706&amp;"_"&amp;AJ706</f>
        <v>Techieco_1120S_45-5495183_MO 1120 - C Corporation</v>
      </c>
      <c r="AM706" s="5" t="str">
        <f t="shared" ref="AM706:AM769" si="131">A706&amp;"_"&amp;AK706</f>
        <v>Techieco_1120S_45-5495183_MO-Tax Services-ANN-1120 - C Corporation_Basic</v>
      </c>
    </row>
    <row r="707" spans="1:39" x14ac:dyDescent="0.25">
      <c r="A707" s="2" t="s">
        <v>158</v>
      </c>
      <c r="B707" s="2" t="s">
        <v>159</v>
      </c>
      <c r="C707" s="2" t="s">
        <v>1197</v>
      </c>
      <c r="D707" s="8">
        <v>43831</v>
      </c>
      <c r="E707" s="5" t="str">
        <f t="shared" ref="E707:E770" si="132">B707&amp;"_"&amp;TEXT(D707,"DD-MM-YY")</f>
        <v>Techieconn, LLC_01-01-20</v>
      </c>
      <c r="F707" s="2" t="s">
        <v>1201</v>
      </c>
      <c r="G707" s="2" t="s">
        <v>1201</v>
      </c>
      <c r="H707" s="2" t="s">
        <v>1197</v>
      </c>
      <c r="I707" s="2" t="s">
        <v>1223</v>
      </c>
      <c r="J707" s="2" t="s">
        <v>1235</v>
      </c>
      <c r="M707" s="5" t="str">
        <f t="shared" si="124"/>
        <v>Basic</v>
      </c>
      <c r="N707" s="5" t="str">
        <f t="shared" si="125"/>
        <v>Accountant-Staff-Basic</v>
      </c>
      <c r="O707" s="5" t="str">
        <f t="shared" si="126"/>
        <v>Accountant-Reviewer-Basic</v>
      </c>
      <c r="P707" s="5" t="str">
        <f t="shared" si="127"/>
        <v>Accountant-Signer-Basic</v>
      </c>
      <c r="Q707" s="6">
        <v>1.47</v>
      </c>
      <c r="R707" s="6">
        <v>0.29399999999999998</v>
      </c>
      <c r="S707" s="6">
        <v>0.14699999999999999</v>
      </c>
      <c r="T707" s="7">
        <f t="shared" ref="T707:T770" si="133">SUM(Q707:S707)</f>
        <v>1.911</v>
      </c>
      <c r="U707" s="6" t="e">
        <f>SUMIFS([1]Sheet1!$L:$L,[1]Sheet1!$I:$I,AJ707,[1]Sheet1!$C:$C,A707)</f>
        <v>#VALUE!</v>
      </c>
      <c r="V707" s="6"/>
      <c r="W707" s="6"/>
      <c r="X707" s="7" t="e">
        <f t="shared" si="128"/>
        <v>#VALUE!</v>
      </c>
      <c r="Y707" s="6"/>
      <c r="AJ707" s="5" t="str">
        <f t="shared" si="123"/>
        <v>MO Accounting Services</v>
      </c>
      <c r="AK707" s="5" t="str">
        <f t="shared" si="129"/>
        <v>MO-Accounting Services-MO-Accounting Services_Basic</v>
      </c>
      <c r="AL707" s="5" t="str">
        <f t="shared" si="130"/>
        <v>Techieco_1120S_45-5495183_MO Accounting Services</v>
      </c>
      <c r="AM707" s="5" t="str">
        <f t="shared" si="131"/>
        <v>Techieco_1120S_45-5495183_MO-Accounting Services-MO-Accounting Services_Basic</v>
      </c>
    </row>
    <row r="708" spans="1:39" x14ac:dyDescent="0.25">
      <c r="A708" s="2" t="s">
        <v>158</v>
      </c>
      <c r="B708" s="2" t="s">
        <v>159</v>
      </c>
      <c r="C708" s="2" t="s">
        <v>1197</v>
      </c>
      <c r="D708" s="8">
        <v>43831</v>
      </c>
      <c r="E708" s="5" t="str">
        <f t="shared" si="132"/>
        <v>Techieconn, LLC_01-01-20</v>
      </c>
      <c r="F708" s="2" t="s">
        <v>1204</v>
      </c>
      <c r="G708" s="2" t="s">
        <v>1241</v>
      </c>
      <c r="H708" s="2" t="s">
        <v>1220</v>
      </c>
      <c r="I708" s="2" t="s">
        <v>1222</v>
      </c>
      <c r="J708" s="2" t="s">
        <v>1234</v>
      </c>
      <c r="M708" s="5" t="str">
        <f t="shared" si="124"/>
        <v>Adv</v>
      </c>
      <c r="N708" s="5" t="str">
        <f t="shared" si="125"/>
        <v>Tax-Staff-Adv</v>
      </c>
      <c r="O708" s="5" t="str">
        <f t="shared" si="126"/>
        <v>Tax-Reviewer-Adv</v>
      </c>
      <c r="P708" s="5" t="str">
        <f t="shared" si="127"/>
        <v>Tax-Signer-Adv</v>
      </c>
      <c r="Q708" s="6">
        <v>4.5832500000000005</v>
      </c>
      <c r="R708" s="6">
        <v>0.91665000000000019</v>
      </c>
      <c r="S708" s="6">
        <v>0.45832500000000009</v>
      </c>
      <c r="T708" s="7">
        <f t="shared" si="133"/>
        <v>5.9582250000000005</v>
      </c>
      <c r="U708" s="6" t="e">
        <f>SUMIFS([1]Sheet1!$L:$L,[1]Sheet1!$I:$I,AJ708,[1]Sheet1!$C:$C,A708)</f>
        <v>#VALUE!</v>
      </c>
      <c r="V708" s="6"/>
      <c r="W708" s="6"/>
      <c r="X708" s="7" t="e">
        <f t="shared" si="128"/>
        <v>#VALUE!</v>
      </c>
      <c r="Y708" s="6"/>
      <c r="AJ708" s="5" t="str">
        <f t="shared" si="123"/>
        <v>MO 1120S - S Corporation</v>
      </c>
      <c r="AK708" s="5" t="str">
        <f t="shared" si="129"/>
        <v>MO-Tax Services-ANN-1120S - S Corporation_Adv</v>
      </c>
      <c r="AL708" s="5" t="str">
        <f t="shared" si="130"/>
        <v>Techieco_1120S_45-5495183_MO 1120S - S Corporation</v>
      </c>
      <c r="AM708" s="5" t="str">
        <f t="shared" si="131"/>
        <v>Techieco_1120S_45-5495183_MO-Tax Services-ANN-1120S - S Corporation_Adv</v>
      </c>
    </row>
    <row r="709" spans="1:39" x14ac:dyDescent="0.25">
      <c r="A709" s="2" t="s">
        <v>158</v>
      </c>
      <c r="B709" s="2" t="s">
        <v>159</v>
      </c>
      <c r="C709" s="2" t="s">
        <v>1197</v>
      </c>
      <c r="D709" s="8">
        <v>43831</v>
      </c>
      <c r="E709" s="5" t="str">
        <f t="shared" si="132"/>
        <v>Techieconn, LLC_01-01-20</v>
      </c>
      <c r="F709" s="2" t="s">
        <v>1200</v>
      </c>
      <c r="G709" s="2" t="s">
        <v>1241</v>
      </c>
      <c r="H709" s="2" t="s">
        <v>1220</v>
      </c>
      <c r="I709" s="2" t="s">
        <v>1222</v>
      </c>
      <c r="J709" s="2" t="s">
        <v>1234</v>
      </c>
      <c r="M709" s="5" t="str">
        <f t="shared" si="124"/>
        <v>Adv</v>
      </c>
      <c r="N709" s="5" t="str">
        <f t="shared" si="125"/>
        <v>Tax-Staff-Adv</v>
      </c>
      <c r="O709" s="5" t="str">
        <f t="shared" si="126"/>
        <v>Tax-Reviewer-Adv</v>
      </c>
      <c r="P709" s="5" t="str">
        <f t="shared" si="127"/>
        <v>Tax-Signer-Adv</v>
      </c>
      <c r="Q709" s="6">
        <v>1.5</v>
      </c>
      <c r="R709" s="6">
        <v>0.30000000000000004</v>
      </c>
      <c r="S709" s="6">
        <v>0.15000000000000002</v>
      </c>
      <c r="T709" s="7">
        <f t="shared" si="133"/>
        <v>1.9500000000000002</v>
      </c>
      <c r="U709" s="6" t="e">
        <f>SUMIFS([1]Sheet1!$L:$L,[1]Sheet1!$I:$I,AJ709,[1]Sheet1!$C:$C,A709)</f>
        <v>#VALUE!</v>
      </c>
      <c r="V709" s="6"/>
      <c r="W709" s="6"/>
      <c r="X709" s="7" t="e">
        <f t="shared" si="128"/>
        <v>#VALUE!</v>
      </c>
      <c r="Y709" s="6"/>
      <c r="AJ709" s="5" t="str">
        <f t="shared" si="123"/>
        <v>MO Texas Franchise Tax Return</v>
      </c>
      <c r="AK709" s="5" t="str">
        <f t="shared" si="129"/>
        <v>MO-Tax Services-ANN-Texas Franchise Tax Return_Adv</v>
      </c>
      <c r="AL709" s="5" t="str">
        <f t="shared" si="130"/>
        <v>Techieco_1120S_45-5495183_MO Texas Franchise Tax Return</v>
      </c>
      <c r="AM709" s="5" t="str">
        <f t="shared" si="131"/>
        <v>Techieco_1120S_45-5495183_MO-Tax Services-ANN-Texas Franchise Tax Return_Adv</v>
      </c>
    </row>
    <row r="710" spans="1:39" x14ac:dyDescent="0.25">
      <c r="A710" s="2" t="s">
        <v>982</v>
      </c>
      <c r="B710" s="2" t="s">
        <v>983</v>
      </c>
      <c r="C710" s="2" t="s">
        <v>1196</v>
      </c>
      <c r="D710" s="8">
        <v>43831</v>
      </c>
      <c r="E710" s="5" t="str">
        <f t="shared" si="132"/>
        <v>Techmen USA, LLC_01-01-20</v>
      </c>
      <c r="F710" s="2" t="s">
        <v>1200</v>
      </c>
      <c r="G710" s="2" t="s">
        <v>1241</v>
      </c>
      <c r="H710" s="2" t="s">
        <v>1220</v>
      </c>
      <c r="I710" s="2" t="s">
        <v>1223</v>
      </c>
      <c r="J710" s="2" t="s">
        <v>1234</v>
      </c>
      <c r="M710" s="5" t="str">
        <f t="shared" si="124"/>
        <v>Basic</v>
      </c>
      <c r="N710" s="5" t="str">
        <f t="shared" si="125"/>
        <v>Tax-Staff-Basic</v>
      </c>
      <c r="O710" s="5" t="str">
        <f t="shared" si="126"/>
        <v>Tax-Reviewer-Basic</v>
      </c>
      <c r="P710" s="5" t="str">
        <f t="shared" si="127"/>
        <v>Tax-Signer-Basic</v>
      </c>
      <c r="Q710" s="6">
        <v>0.5</v>
      </c>
      <c r="R710" s="6">
        <v>0.1</v>
      </c>
      <c r="S710" s="6">
        <v>0.05</v>
      </c>
      <c r="T710" s="7">
        <f t="shared" si="133"/>
        <v>0.65</v>
      </c>
      <c r="U710" s="6" t="e">
        <f>SUMIFS([1]Sheet1!$L:$L,[1]Sheet1!$I:$I,AJ710,[1]Sheet1!$C:$C,A710)</f>
        <v>#VALUE!</v>
      </c>
      <c r="V710" s="6"/>
      <c r="W710" s="6"/>
      <c r="X710" s="7" t="e">
        <f t="shared" si="128"/>
        <v>#VALUE!</v>
      </c>
      <c r="Y710" s="6"/>
      <c r="AJ710" s="5" t="str">
        <f t="shared" si="123"/>
        <v>NM Texas Franchise Tax Return</v>
      </c>
      <c r="AK710" s="5" t="str">
        <f t="shared" si="129"/>
        <v>NM-Tax Services-ANN-Texas Franchise Tax Return_Basic</v>
      </c>
      <c r="AL710" s="5" t="str">
        <f t="shared" si="130"/>
        <v>Techmen _1040_82-4964287_NM Texas Franchise Tax Return</v>
      </c>
      <c r="AM710" s="5" t="str">
        <f t="shared" si="131"/>
        <v>Techmen _1040_82-4964287_NM-Tax Services-ANN-Texas Franchise Tax Return_Basic</v>
      </c>
    </row>
    <row r="711" spans="1:39" x14ac:dyDescent="0.25">
      <c r="A711" s="2" t="s">
        <v>1117</v>
      </c>
      <c r="B711" s="2" t="s">
        <v>1118</v>
      </c>
      <c r="C711" s="2" t="s">
        <v>1196</v>
      </c>
      <c r="D711" s="8">
        <v>43831</v>
      </c>
      <c r="E711" s="5" t="str">
        <f t="shared" si="132"/>
        <v>Teodorescu, Cristian &amp; Ana-Marie_01-01-20</v>
      </c>
      <c r="F711" s="2" t="s">
        <v>1203</v>
      </c>
      <c r="G711" s="2" t="s">
        <v>1241</v>
      </c>
      <c r="H711" s="2" t="s">
        <v>1220</v>
      </c>
      <c r="I711" s="2" t="s">
        <v>1221</v>
      </c>
      <c r="J711" s="2" t="s">
        <v>1234</v>
      </c>
      <c r="M711" s="5" t="str">
        <f t="shared" si="124"/>
        <v>Mid</v>
      </c>
      <c r="N711" s="5" t="str">
        <f t="shared" si="125"/>
        <v>Tax-Staff-Mid</v>
      </c>
      <c r="O711" s="5" t="str">
        <f t="shared" si="126"/>
        <v>Tax-Reviewer-Mid</v>
      </c>
      <c r="P711" s="5" t="str">
        <f t="shared" si="127"/>
        <v>Tax-Signer-Mid</v>
      </c>
      <c r="Q711" s="6">
        <v>2.7401969696969677</v>
      </c>
      <c r="R711" s="6">
        <v>0.5480393939393936</v>
      </c>
      <c r="S711" s="6">
        <v>0.2740196969696968</v>
      </c>
      <c r="T711" s="7">
        <f t="shared" si="133"/>
        <v>3.562256060606058</v>
      </c>
      <c r="U711" s="6" t="e">
        <f>SUMIFS([1]Sheet1!$L:$L,[1]Sheet1!$I:$I,AJ711,[1]Sheet1!$C:$C,A711)</f>
        <v>#VALUE!</v>
      </c>
      <c r="V711" s="6"/>
      <c r="W711" s="6"/>
      <c r="X711" s="7" t="e">
        <f t="shared" si="128"/>
        <v>#VALUE!</v>
      </c>
      <c r="Y711" s="6"/>
      <c r="AJ711" s="5" t="str">
        <f t="shared" si="123"/>
        <v>NM 1040 - Personal</v>
      </c>
      <c r="AK711" s="5" t="str">
        <f t="shared" si="129"/>
        <v>NM-Tax Services-ANN-1040 - Personal_Mid</v>
      </c>
      <c r="AL711" s="5" t="str">
        <f t="shared" si="130"/>
        <v>Teodor_9951_NM 1040 - Personal</v>
      </c>
      <c r="AM711" s="5" t="str">
        <f t="shared" si="131"/>
        <v>Teodor_9951_NM-Tax Services-ANN-1040 - Personal_Mid</v>
      </c>
    </row>
    <row r="712" spans="1:39" x14ac:dyDescent="0.25">
      <c r="A712" s="2" t="s">
        <v>160</v>
      </c>
      <c r="B712" s="2" t="s">
        <v>161</v>
      </c>
      <c r="C712" s="2" t="s">
        <v>1197</v>
      </c>
      <c r="D712" s="8">
        <v>43831</v>
      </c>
      <c r="E712" s="5" t="str">
        <f t="shared" si="132"/>
        <v>Tevis Land Services, LLC_01-01-20</v>
      </c>
      <c r="F712" s="2" t="s">
        <v>1206</v>
      </c>
      <c r="G712" s="2" t="s">
        <v>1241</v>
      </c>
      <c r="H712" s="2" t="s">
        <v>1220</v>
      </c>
      <c r="I712" s="2" t="s">
        <v>1223</v>
      </c>
      <c r="J712" s="2" t="s">
        <v>1234</v>
      </c>
      <c r="M712" s="5" t="str">
        <f t="shared" si="124"/>
        <v>Basic</v>
      </c>
      <c r="N712" s="5" t="str">
        <f t="shared" si="125"/>
        <v>Tax-Staff-Basic</v>
      </c>
      <c r="O712" s="5" t="str">
        <f t="shared" si="126"/>
        <v>Tax-Reviewer-Basic</v>
      </c>
      <c r="P712" s="5" t="str">
        <f t="shared" si="127"/>
        <v>Tax-Signer-Basic</v>
      </c>
      <c r="Q712" s="6">
        <v>1.4675000000000016</v>
      </c>
      <c r="R712" s="6">
        <v>0.29350000000000032</v>
      </c>
      <c r="S712" s="6">
        <v>0.14675000000000016</v>
      </c>
      <c r="T712" s="7">
        <f t="shared" si="133"/>
        <v>1.9077500000000021</v>
      </c>
      <c r="U712" s="6" t="e">
        <f>SUMIFS([1]Sheet1!$L:$L,[1]Sheet1!$I:$I,AJ712,[1]Sheet1!$C:$C,A712)</f>
        <v>#VALUE!</v>
      </c>
      <c r="V712" s="6"/>
      <c r="W712" s="6"/>
      <c r="X712" s="7" t="e">
        <f t="shared" si="128"/>
        <v>#VALUE!</v>
      </c>
      <c r="Y712" s="6"/>
      <c r="AJ712" s="5" t="str">
        <f t="shared" si="123"/>
        <v>MO 1120 - C Corporation</v>
      </c>
      <c r="AK712" s="5" t="str">
        <f t="shared" si="129"/>
        <v>MO-Tax Services-ANN-1120 - C Corporation_Basic</v>
      </c>
      <c r="AL712" s="5" t="str">
        <f t="shared" si="130"/>
        <v>Tevis La_1120S_45-1669749_MO 1120 - C Corporation</v>
      </c>
      <c r="AM712" s="5" t="str">
        <f t="shared" si="131"/>
        <v>Tevis La_1120S_45-1669749_MO-Tax Services-ANN-1120 - C Corporation_Basic</v>
      </c>
    </row>
    <row r="713" spans="1:39" x14ac:dyDescent="0.25">
      <c r="A713" s="2" t="s">
        <v>160</v>
      </c>
      <c r="B713" s="2" t="s">
        <v>161</v>
      </c>
      <c r="C713" s="2" t="s">
        <v>1197</v>
      </c>
      <c r="D713" s="8">
        <v>43831</v>
      </c>
      <c r="E713" s="5" t="str">
        <f t="shared" si="132"/>
        <v>Tevis Land Services, LLC_01-01-20</v>
      </c>
      <c r="F713" s="2" t="s">
        <v>1201</v>
      </c>
      <c r="G713" s="2" t="s">
        <v>1201</v>
      </c>
      <c r="H713" s="2" t="s">
        <v>1197</v>
      </c>
      <c r="I713" s="2" t="s">
        <v>1223</v>
      </c>
      <c r="J713" s="2" t="s">
        <v>1235</v>
      </c>
      <c r="M713" s="5" t="str">
        <f t="shared" si="124"/>
        <v>Basic</v>
      </c>
      <c r="N713" s="5" t="str">
        <f t="shared" si="125"/>
        <v>Accountant-Staff-Basic</v>
      </c>
      <c r="O713" s="5" t="str">
        <f t="shared" si="126"/>
        <v>Accountant-Reviewer-Basic</v>
      </c>
      <c r="P713" s="5" t="str">
        <f t="shared" si="127"/>
        <v>Accountant-Signer-Basic</v>
      </c>
      <c r="Q713" s="6">
        <v>1.47</v>
      </c>
      <c r="R713" s="6">
        <v>0.29399999999999998</v>
      </c>
      <c r="S713" s="6">
        <v>0.14699999999999999</v>
      </c>
      <c r="T713" s="7">
        <f t="shared" si="133"/>
        <v>1.911</v>
      </c>
      <c r="U713" s="6" t="e">
        <f>SUMIFS([1]Sheet1!$L:$L,[1]Sheet1!$I:$I,AJ713,[1]Sheet1!$C:$C,A713)</f>
        <v>#VALUE!</v>
      </c>
      <c r="V713" s="6"/>
      <c r="W713" s="6"/>
      <c r="X713" s="7" t="e">
        <f t="shared" si="128"/>
        <v>#VALUE!</v>
      </c>
      <c r="Y713" s="6"/>
      <c r="AJ713" s="5" t="str">
        <f t="shared" si="123"/>
        <v>MO Accounting Services</v>
      </c>
      <c r="AK713" s="5" t="str">
        <f t="shared" si="129"/>
        <v>MO-Accounting Services-MO-Accounting Services_Basic</v>
      </c>
      <c r="AL713" s="5" t="str">
        <f t="shared" si="130"/>
        <v>Tevis La_1120S_45-1669749_MO Accounting Services</v>
      </c>
      <c r="AM713" s="5" t="str">
        <f t="shared" si="131"/>
        <v>Tevis La_1120S_45-1669749_MO-Accounting Services-MO-Accounting Services_Basic</v>
      </c>
    </row>
    <row r="714" spans="1:39" x14ac:dyDescent="0.25">
      <c r="A714" s="2" t="s">
        <v>898</v>
      </c>
      <c r="B714" s="2" t="s">
        <v>899</v>
      </c>
      <c r="C714" s="2" t="s">
        <v>1197</v>
      </c>
      <c r="D714" s="8">
        <v>43831</v>
      </c>
      <c r="E714" s="5" t="str">
        <f t="shared" si="132"/>
        <v>Tevis, Matthew A &amp; Lauren J_01-01-20</v>
      </c>
      <c r="F714" s="2" t="s">
        <v>1203</v>
      </c>
      <c r="G714" s="2" t="s">
        <v>1241</v>
      </c>
      <c r="H714" s="2" t="s">
        <v>1220</v>
      </c>
      <c r="I714" s="2" t="s">
        <v>1221</v>
      </c>
      <c r="J714" s="2" t="s">
        <v>1234</v>
      </c>
      <c r="M714" s="5" t="str">
        <f t="shared" si="124"/>
        <v>Mid</v>
      </c>
      <c r="N714" s="5" t="str">
        <f t="shared" si="125"/>
        <v>Tax-Staff-Mid</v>
      </c>
      <c r="O714" s="5" t="str">
        <f t="shared" si="126"/>
        <v>Tax-Reviewer-Mid</v>
      </c>
      <c r="P714" s="5" t="str">
        <f t="shared" si="127"/>
        <v>Tax-Signer-Mid</v>
      </c>
      <c r="Q714" s="6">
        <v>2.7401969696969677</v>
      </c>
      <c r="R714" s="6">
        <v>0.5480393939393936</v>
      </c>
      <c r="S714" s="6">
        <v>0.2740196969696968</v>
      </c>
      <c r="T714" s="7">
        <f t="shared" si="133"/>
        <v>3.562256060606058</v>
      </c>
      <c r="U714" s="6" t="e">
        <f>SUMIFS([1]Sheet1!$L:$L,[1]Sheet1!$I:$I,AJ714,[1]Sheet1!$C:$C,A714)</f>
        <v>#VALUE!</v>
      </c>
      <c r="V714" s="6"/>
      <c r="W714" s="6"/>
      <c r="X714" s="7" t="e">
        <f t="shared" si="128"/>
        <v>#VALUE!</v>
      </c>
      <c r="Y714" s="6"/>
      <c r="AJ714" s="5" t="str">
        <f t="shared" si="123"/>
        <v>MO 1040 - Personal</v>
      </c>
      <c r="AK714" s="5" t="str">
        <f t="shared" si="129"/>
        <v>MO-Tax Services-ANN-1040 - Personal_Mid</v>
      </c>
      <c r="AL714" s="5" t="str">
        <f t="shared" si="130"/>
        <v>Tevis,_7428_MO 1040 - Personal</v>
      </c>
      <c r="AM714" s="5" t="str">
        <f t="shared" si="131"/>
        <v>Tevis,_7428_MO-Tax Services-ANN-1040 - Personal_Mid</v>
      </c>
    </row>
    <row r="715" spans="1:39" x14ac:dyDescent="0.25">
      <c r="A715" s="2" t="s">
        <v>1211</v>
      </c>
      <c r="B715" s="2" t="s">
        <v>162</v>
      </c>
      <c r="C715" s="2" t="s">
        <v>1197</v>
      </c>
      <c r="D715" s="8">
        <v>43831</v>
      </c>
      <c r="E715" s="5" t="str">
        <f t="shared" si="132"/>
        <v>Texas Sports Institute_01-01-20</v>
      </c>
      <c r="F715" s="2" t="s">
        <v>1201</v>
      </c>
      <c r="G715" s="2" t="s">
        <v>1201</v>
      </c>
      <c r="H715" s="2" t="s">
        <v>1197</v>
      </c>
      <c r="I715" s="2" t="s">
        <v>1223</v>
      </c>
      <c r="J715" s="2" t="s">
        <v>1235</v>
      </c>
      <c r="M715" s="5" t="str">
        <f t="shared" si="124"/>
        <v>Basic</v>
      </c>
      <c r="N715" s="5" t="str">
        <f t="shared" si="125"/>
        <v>Accountant-Staff-Basic</v>
      </c>
      <c r="O715" s="5" t="str">
        <f t="shared" si="126"/>
        <v>Accountant-Reviewer-Basic</v>
      </c>
      <c r="P715" s="5" t="str">
        <f t="shared" si="127"/>
        <v>Accountant-Signer-Basic</v>
      </c>
      <c r="Q715" s="6">
        <v>1.47</v>
      </c>
      <c r="R715" s="6">
        <v>0.29399999999999998</v>
      </c>
      <c r="S715" s="6">
        <v>0.14699999999999999</v>
      </c>
      <c r="T715" s="7">
        <f t="shared" si="133"/>
        <v>1.911</v>
      </c>
      <c r="U715" s="6" t="e">
        <f>SUMIFS([1]Sheet1!$L:$L,[1]Sheet1!$I:$I,AJ715,[1]Sheet1!$C:$C,A715)</f>
        <v>#VALUE!</v>
      </c>
      <c r="V715" s="6"/>
      <c r="W715" s="6"/>
      <c r="X715" s="7" t="e">
        <f t="shared" si="128"/>
        <v>#VALUE!</v>
      </c>
      <c r="Y715" s="6"/>
      <c r="AJ715" s="5" t="str">
        <f t="shared" si="123"/>
        <v>MO Accounting Services</v>
      </c>
      <c r="AK715" s="5" t="str">
        <f t="shared" si="129"/>
        <v>MO-Accounting Services-MO-Accounting Services_Basic</v>
      </c>
      <c r="AL715" s="5" t="str">
        <f t="shared" si="130"/>
        <v>Texas Sp_1040_1_MO Accounting Services</v>
      </c>
      <c r="AM715" s="5" t="str">
        <f t="shared" si="131"/>
        <v>Texas Sp_1040_1_MO-Accounting Services-MO-Accounting Services_Basic</v>
      </c>
    </row>
    <row r="716" spans="1:39" x14ac:dyDescent="0.25">
      <c r="A716" s="2" t="s">
        <v>327</v>
      </c>
      <c r="B716" s="2" t="s">
        <v>328</v>
      </c>
      <c r="C716" s="2" t="s">
        <v>1197</v>
      </c>
      <c r="D716" s="8">
        <v>43831</v>
      </c>
      <c r="E716" s="5" t="str">
        <f t="shared" si="132"/>
        <v>The Cossio CPA Firm, PLLC_01-01-20</v>
      </c>
      <c r="F716" s="2" t="s">
        <v>1206</v>
      </c>
      <c r="G716" s="2" t="s">
        <v>1241</v>
      </c>
      <c r="H716" s="2" t="s">
        <v>1220</v>
      </c>
      <c r="I716" s="2" t="s">
        <v>1223</v>
      </c>
      <c r="J716" s="2" t="s">
        <v>1234</v>
      </c>
      <c r="M716" s="5" t="str">
        <f t="shared" si="124"/>
        <v>Basic</v>
      </c>
      <c r="N716" s="5" t="str">
        <f t="shared" si="125"/>
        <v>Tax-Staff-Basic</v>
      </c>
      <c r="O716" s="5" t="str">
        <f t="shared" si="126"/>
        <v>Tax-Reviewer-Basic</v>
      </c>
      <c r="P716" s="5" t="str">
        <f t="shared" si="127"/>
        <v>Tax-Signer-Basic</v>
      </c>
      <c r="Q716" s="6">
        <v>1.4675000000000016</v>
      </c>
      <c r="R716" s="6">
        <v>0.29350000000000032</v>
      </c>
      <c r="S716" s="6">
        <v>0.14675000000000016</v>
      </c>
      <c r="T716" s="7">
        <f t="shared" si="133"/>
        <v>1.9077500000000021</v>
      </c>
      <c r="U716" s="6" t="e">
        <f>SUMIFS([1]Sheet1!$L:$L,[1]Sheet1!$I:$I,AJ716,[1]Sheet1!$C:$C,A716)</f>
        <v>#VALUE!</v>
      </c>
      <c r="V716" s="6"/>
      <c r="W716" s="6"/>
      <c r="X716" s="7" t="e">
        <f t="shared" si="128"/>
        <v>#VALUE!</v>
      </c>
      <c r="Y716" s="6"/>
      <c r="AJ716" s="5" t="str">
        <f t="shared" si="123"/>
        <v>MO 1120 - C Corporation</v>
      </c>
      <c r="AK716" s="5" t="str">
        <f t="shared" si="129"/>
        <v>MO-Tax Services-ANN-1120 - C Corporation_Basic</v>
      </c>
      <c r="AL716" s="5" t="str">
        <f t="shared" si="130"/>
        <v>The Coss_1120S_81-3287987_MO 1120 - C Corporation</v>
      </c>
      <c r="AM716" s="5" t="str">
        <f t="shared" si="131"/>
        <v>The Coss_1120S_81-3287987_MO-Tax Services-ANN-1120 - C Corporation_Basic</v>
      </c>
    </row>
    <row r="717" spans="1:39" x14ac:dyDescent="0.25">
      <c r="A717" s="2" t="s">
        <v>960</v>
      </c>
      <c r="B717" s="2" t="s">
        <v>961</v>
      </c>
      <c r="C717" s="2" t="s">
        <v>1196</v>
      </c>
      <c r="D717" s="8">
        <v>43831</v>
      </c>
      <c r="E717" s="5" t="str">
        <f t="shared" si="132"/>
        <v>The Neighborhood Reach, LLC_01-01-20</v>
      </c>
      <c r="F717" s="2" t="s">
        <v>1204</v>
      </c>
      <c r="G717" s="2" t="s">
        <v>1241</v>
      </c>
      <c r="H717" s="2" t="s">
        <v>1220</v>
      </c>
      <c r="I717" s="2" t="s">
        <v>1221</v>
      </c>
      <c r="J717" s="2" t="s">
        <v>1234</v>
      </c>
      <c r="M717" s="5" t="str">
        <f t="shared" si="124"/>
        <v>Mid</v>
      </c>
      <c r="N717" s="5" t="str">
        <f t="shared" si="125"/>
        <v>Tax-Staff-Mid</v>
      </c>
      <c r="O717" s="5" t="str">
        <f t="shared" si="126"/>
        <v>Tax-Reviewer-Mid</v>
      </c>
      <c r="P717" s="5" t="str">
        <f t="shared" si="127"/>
        <v>Tax-Signer-Mid</v>
      </c>
      <c r="Q717" s="6">
        <v>2.7401969696969677</v>
      </c>
      <c r="R717" s="6">
        <v>0.5480393939393936</v>
      </c>
      <c r="S717" s="6">
        <v>0.2740196969696968</v>
      </c>
      <c r="T717" s="7">
        <f t="shared" si="133"/>
        <v>3.562256060606058</v>
      </c>
      <c r="U717" s="6" t="e">
        <f>SUMIFS([1]Sheet1!$L:$L,[1]Sheet1!$I:$I,AJ717,[1]Sheet1!$C:$C,A717)</f>
        <v>#VALUE!</v>
      </c>
      <c r="V717" s="6"/>
      <c r="W717" s="6"/>
      <c r="X717" s="7" t="e">
        <f t="shared" si="128"/>
        <v>#VALUE!</v>
      </c>
      <c r="Y717" s="6"/>
      <c r="AJ717" s="5" t="str">
        <f t="shared" si="123"/>
        <v>NM 1120S - S Corporation</v>
      </c>
      <c r="AK717" s="5" t="str">
        <f t="shared" si="129"/>
        <v>NM-Tax Services-ANN-1120S - S Corporation_Mid</v>
      </c>
      <c r="AL717" s="5" t="str">
        <f t="shared" si="130"/>
        <v>The Neig_1120S_82-1363173_NM 1120S - S Corporation</v>
      </c>
      <c r="AM717" s="5" t="str">
        <f t="shared" si="131"/>
        <v>The Neig_1120S_82-1363173_NM-Tax Services-ANN-1120S - S Corporation_Mid</v>
      </c>
    </row>
    <row r="718" spans="1:39" x14ac:dyDescent="0.25">
      <c r="A718" s="2" t="s">
        <v>215</v>
      </c>
      <c r="B718" s="2" t="s">
        <v>216</v>
      </c>
      <c r="C718" s="2" t="s">
        <v>1196</v>
      </c>
      <c r="D718" s="8">
        <v>43831</v>
      </c>
      <c r="E718" s="5" t="str">
        <f t="shared" si="132"/>
        <v>The Style Club_01-01-20</v>
      </c>
      <c r="F718" s="2" t="s">
        <v>1206</v>
      </c>
      <c r="G718" s="2" t="s">
        <v>1241</v>
      </c>
      <c r="H718" s="2" t="s">
        <v>1220</v>
      </c>
      <c r="I718" s="2" t="s">
        <v>1223</v>
      </c>
      <c r="J718" s="2" t="s">
        <v>1234</v>
      </c>
      <c r="M718" s="5" t="str">
        <f t="shared" si="124"/>
        <v>Basic</v>
      </c>
      <c r="N718" s="5" t="str">
        <f t="shared" si="125"/>
        <v>Tax-Staff-Basic</v>
      </c>
      <c r="O718" s="5" t="str">
        <f t="shared" si="126"/>
        <v>Tax-Reviewer-Basic</v>
      </c>
      <c r="P718" s="5" t="str">
        <f t="shared" si="127"/>
        <v>Tax-Signer-Basic</v>
      </c>
      <c r="Q718" s="6">
        <v>1.4675000000000016</v>
      </c>
      <c r="R718" s="6">
        <v>0.29350000000000032</v>
      </c>
      <c r="S718" s="6">
        <v>0.14675000000000016</v>
      </c>
      <c r="T718" s="7">
        <f t="shared" si="133"/>
        <v>1.9077500000000021</v>
      </c>
      <c r="U718" s="6" t="e">
        <f>SUMIFS([1]Sheet1!$L:$L,[1]Sheet1!$I:$I,AJ718,[1]Sheet1!$C:$C,A718)</f>
        <v>#VALUE!</v>
      </c>
      <c r="V718" s="6"/>
      <c r="W718" s="6"/>
      <c r="X718" s="7" t="e">
        <f t="shared" si="128"/>
        <v>#VALUE!</v>
      </c>
      <c r="Y718" s="6"/>
      <c r="AJ718" s="5" t="str">
        <f t="shared" si="123"/>
        <v>NM 1120 - C Corporation</v>
      </c>
      <c r="AK718" s="5" t="str">
        <f t="shared" si="129"/>
        <v>NM-Tax Services-ANN-1120 - C Corporation_Basic</v>
      </c>
      <c r="AL718" s="5" t="str">
        <f t="shared" si="130"/>
        <v>The Styl_1120C_47-4393993_NM 1120 - C Corporation</v>
      </c>
      <c r="AM718" s="5" t="str">
        <f t="shared" si="131"/>
        <v>The Styl_1120C_47-4393993_NM-Tax Services-ANN-1120 - C Corporation_Basic</v>
      </c>
    </row>
    <row r="719" spans="1:39" x14ac:dyDescent="0.25">
      <c r="A719" s="2" t="s">
        <v>1153</v>
      </c>
      <c r="B719" s="2" t="s">
        <v>1154</v>
      </c>
      <c r="C719" s="2" t="s">
        <v>1197</v>
      </c>
      <c r="D719" s="8">
        <v>43831</v>
      </c>
      <c r="E719" s="5" t="str">
        <f t="shared" si="132"/>
        <v>The Trails Church_01-01-20</v>
      </c>
      <c r="F719" s="2" t="s">
        <v>1046</v>
      </c>
      <c r="G719" s="2" t="s">
        <v>1241</v>
      </c>
      <c r="H719" s="2" t="s">
        <v>1220</v>
      </c>
      <c r="I719" s="2" t="s">
        <v>1223</v>
      </c>
      <c r="J719" s="2" t="s">
        <v>1234</v>
      </c>
      <c r="M719" s="5" t="str">
        <f t="shared" si="124"/>
        <v>Basic</v>
      </c>
      <c r="N719" s="5" t="str">
        <f t="shared" si="125"/>
        <v>Tax-Staff-Basic</v>
      </c>
      <c r="O719" s="5" t="str">
        <f t="shared" si="126"/>
        <v>Tax-Reviewer-Basic</v>
      </c>
      <c r="P719" s="5" t="str">
        <f t="shared" si="127"/>
        <v>Tax-Signer-Basic</v>
      </c>
      <c r="Q719" s="6">
        <v>1.4675000000000016</v>
      </c>
      <c r="R719" s="6">
        <v>0.29350000000000032</v>
      </c>
      <c r="S719" s="6">
        <v>0.14675000000000016</v>
      </c>
      <c r="T719" s="7">
        <f t="shared" si="133"/>
        <v>1.9077500000000021</v>
      </c>
      <c r="U719" s="6" t="e">
        <f>SUMIFS([1]Sheet1!$L:$L,[1]Sheet1!$I:$I,AJ719,[1]Sheet1!$C:$C,A719)</f>
        <v>#VALUE!</v>
      </c>
      <c r="V719" s="6"/>
      <c r="W719" s="6"/>
      <c r="X719" s="7" t="e">
        <f t="shared" si="128"/>
        <v>#VALUE!</v>
      </c>
      <c r="Y719" s="6"/>
      <c r="AJ719" s="5" t="str">
        <f t="shared" si="123"/>
        <v>MO 990 - Non-Profit</v>
      </c>
      <c r="AK719" s="5" t="str">
        <f t="shared" si="129"/>
        <v>MO-Tax Services-ANN-990 - Non-Profit_Basic</v>
      </c>
      <c r="AL719" s="5" t="str">
        <f t="shared" si="130"/>
        <v>The Trai_N/A - Church_82-4834733_MO 990 - Non-Profit</v>
      </c>
      <c r="AM719" s="5" t="str">
        <f t="shared" si="131"/>
        <v>The Trai_N/A - Church_82-4834733_MO-Tax Services-ANN-990 - Non-Profit_Basic</v>
      </c>
    </row>
    <row r="720" spans="1:39" x14ac:dyDescent="0.25">
      <c r="A720" s="2" t="s">
        <v>405</v>
      </c>
      <c r="B720" s="2" t="s">
        <v>406</v>
      </c>
      <c r="C720" s="2" t="s">
        <v>1197</v>
      </c>
      <c r="D720" s="8">
        <v>43831</v>
      </c>
      <c r="E720" s="5" t="str">
        <f t="shared" si="132"/>
        <v>Therapieces, LLC_01-01-20</v>
      </c>
      <c r="F720" s="2" t="s">
        <v>1199</v>
      </c>
      <c r="G720" s="2" t="s">
        <v>1241</v>
      </c>
      <c r="H720" s="2" t="s">
        <v>1220</v>
      </c>
      <c r="I720" s="2" t="s">
        <v>1221</v>
      </c>
      <c r="J720" s="2" t="s">
        <v>1234</v>
      </c>
      <c r="M720" s="5" t="str">
        <f t="shared" si="124"/>
        <v>Mid</v>
      </c>
      <c r="N720" s="5" t="str">
        <f t="shared" si="125"/>
        <v>Tax-Staff-Mid</v>
      </c>
      <c r="O720" s="5" t="str">
        <f t="shared" si="126"/>
        <v>Tax-Reviewer-Mid</v>
      </c>
      <c r="P720" s="5" t="str">
        <f t="shared" si="127"/>
        <v>Tax-Signer-Mid</v>
      </c>
      <c r="Q720" s="6">
        <v>2.7401969696969677</v>
      </c>
      <c r="R720" s="6">
        <v>0.5480393939393936</v>
      </c>
      <c r="S720" s="6">
        <v>0.2740196969696968</v>
      </c>
      <c r="T720" s="7">
        <f t="shared" si="133"/>
        <v>3.562256060606058</v>
      </c>
      <c r="U720" s="6" t="e">
        <f>SUMIFS([1]Sheet1!$L:$L,[1]Sheet1!$I:$I,AJ720,[1]Sheet1!$C:$C,A720)</f>
        <v>#VALUE!</v>
      </c>
      <c r="V720" s="6"/>
      <c r="W720" s="6"/>
      <c r="X720" s="7" t="e">
        <f t="shared" si="128"/>
        <v>#VALUE!</v>
      </c>
      <c r="Y720" s="6"/>
      <c r="AJ720" s="5" t="str">
        <f t="shared" si="123"/>
        <v>MO 1065 - Partnership</v>
      </c>
      <c r="AK720" s="5" t="str">
        <f t="shared" si="129"/>
        <v>MO-Tax Services-ANN-1065 - Partnership_Mid</v>
      </c>
      <c r="AL720" s="5" t="str">
        <f t="shared" si="130"/>
        <v>Therapie_1065_83-1182497_MO 1065 - Partnership</v>
      </c>
      <c r="AM720" s="5" t="str">
        <f t="shared" si="131"/>
        <v>Therapie_1065_83-1182497_MO-Tax Services-ANN-1065 - Partnership_Mid</v>
      </c>
    </row>
    <row r="721" spans="1:39" x14ac:dyDescent="0.25">
      <c r="A721" s="2" t="s">
        <v>1008</v>
      </c>
      <c r="B721" s="2" t="s">
        <v>1009</v>
      </c>
      <c r="C721" s="2" t="s">
        <v>1196</v>
      </c>
      <c r="D721" s="8">
        <v>43831</v>
      </c>
      <c r="E721" s="5" t="str">
        <f t="shared" si="132"/>
        <v>Threat, Rhonda E_01-01-20</v>
      </c>
      <c r="F721" s="2" t="s">
        <v>1203</v>
      </c>
      <c r="G721" s="2" t="s">
        <v>1241</v>
      </c>
      <c r="H721" s="2" t="s">
        <v>1220</v>
      </c>
      <c r="I721" s="2" t="s">
        <v>1223</v>
      </c>
      <c r="J721" s="2" t="s">
        <v>1234</v>
      </c>
      <c r="M721" s="5" t="str">
        <f t="shared" si="124"/>
        <v>Basic</v>
      </c>
      <c r="N721" s="5" t="str">
        <f t="shared" si="125"/>
        <v>Tax-Staff-Basic</v>
      </c>
      <c r="O721" s="5" t="str">
        <f t="shared" si="126"/>
        <v>Tax-Reviewer-Basic</v>
      </c>
      <c r="P721" s="5" t="str">
        <f t="shared" si="127"/>
        <v>Tax-Signer-Basic</v>
      </c>
      <c r="Q721" s="6">
        <v>1.4675000000000016</v>
      </c>
      <c r="R721" s="6">
        <v>0.29350000000000032</v>
      </c>
      <c r="S721" s="6">
        <v>0.14675000000000016</v>
      </c>
      <c r="T721" s="7">
        <f t="shared" si="133"/>
        <v>1.9077500000000021</v>
      </c>
      <c r="U721" s="6" t="e">
        <f>SUMIFS([1]Sheet1!$L:$L,[1]Sheet1!$I:$I,AJ721,[1]Sheet1!$C:$C,A721)</f>
        <v>#VALUE!</v>
      </c>
      <c r="V721" s="6"/>
      <c r="W721" s="6"/>
      <c r="X721" s="7" t="e">
        <f t="shared" si="128"/>
        <v>#VALUE!</v>
      </c>
      <c r="Y721" s="6"/>
      <c r="AJ721" s="5" t="str">
        <f t="shared" si="123"/>
        <v>NM 1040 - Personal</v>
      </c>
      <c r="AK721" s="5" t="str">
        <f t="shared" si="129"/>
        <v>NM-Tax Services-ANN-1040 - Personal_Basic</v>
      </c>
      <c r="AL721" s="5" t="str">
        <f t="shared" si="130"/>
        <v>Threat_5570_NM 1040 - Personal</v>
      </c>
      <c r="AM721" s="5" t="str">
        <f t="shared" si="131"/>
        <v>Threat_5570_NM-Tax Services-ANN-1040 - Personal_Basic</v>
      </c>
    </row>
    <row r="722" spans="1:39" x14ac:dyDescent="0.25">
      <c r="A722" s="2" t="s">
        <v>183</v>
      </c>
      <c r="B722" s="2" t="s">
        <v>184</v>
      </c>
      <c r="C722" s="2" t="s">
        <v>1197</v>
      </c>
      <c r="D722" s="8">
        <v>43831</v>
      </c>
      <c r="E722" s="5" t="str">
        <f t="shared" si="132"/>
        <v>Three Commas LLC_01-01-20</v>
      </c>
      <c r="F722" s="2" t="s">
        <v>1201</v>
      </c>
      <c r="G722" s="2" t="s">
        <v>1201</v>
      </c>
      <c r="H722" s="2" t="s">
        <v>1197</v>
      </c>
      <c r="I722" s="2" t="s">
        <v>1223</v>
      </c>
      <c r="J722" s="2" t="s">
        <v>1235</v>
      </c>
      <c r="M722" s="5" t="str">
        <f t="shared" si="124"/>
        <v>Basic</v>
      </c>
      <c r="N722" s="5" t="str">
        <f t="shared" si="125"/>
        <v>Accountant-Staff-Basic</v>
      </c>
      <c r="O722" s="5" t="str">
        <f t="shared" si="126"/>
        <v>Accountant-Reviewer-Basic</v>
      </c>
      <c r="P722" s="5" t="str">
        <f t="shared" si="127"/>
        <v>Accountant-Signer-Basic</v>
      </c>
      <c r="Q722" s="6">
        <v>1.47</v>
      </c>
      <c r="R722" s="6">
        <v>0.29399999999999998</v>
      </c>
      <c r="S722" s="6">
        <v>0.14699999999999999</v>
      </c>
      <c r="T722" s="7">
        <f t="shared" si="133"/>
        <v>1.911</v>
      </c>
      <c r="U722" s="6" t="e">
        <f>SUMIFS([1]Sheet1!$L:$L,[1]Sheet1!$I:$I,AJ722,[1]Sheet1!$C:$C,A722)</f>
        <v>#VALUE!</v>
      </c>
      <c r="V722" s="6"/>
      <c r="W722" s="6"/>
      <c r="X722" s="7" t="e">
        <f t="shared" si="128"/>
        <v>#VALUE!</v>
      </c>
      <c r="Y722" s="6"/>
      <c r="AJ722" s="5" t="str">
        <f t="shared" si="123"/>
        <v>MO Accounting Services</v>
      </c>
      <c r="AK722" s="5" t="str">
        <f t="shared" si="129"/>
        <v>MO-Accounting Services-MO-Accounting Services_Basic</v>
      </c>
      <c r="AL722" s="5" t="str">
        <f t="shared" si="130"/>
        <v>Three Co_1065_38-3978880_MO Accounting Services</v>
      </c>
      <c r="AM722" s="5" t="str">
        <f t="shared" si="131"/>
        <v>Three Co_1065_38-3978880_MO-Accounting Services-MO-Accounting Services_Basic</v>
      </c>
    </row>
    <row r="723" spans="1:39" x14ac:dyDescent="0.25">
      <c r="A723" s="2" t="s">
        <v>183</v>
      </c>
      <c r="B723" s="2" t="s">
        <v>184</v>
      </c>
      <c r="C723" s="2" t="s">
        <v>1197</v>
      </c>
      <c r="D723" s="8">
        <v>43831</v>
      </c>
      <c r="E723" s="5" t="str">
        <f t="shared" si="132"/>
        <v>Three Commas LLC_01-01-20</v>
      </c>
      <c r="F723" s="2" t="s">
        <v>1199</v>
      </c>
      <c r="G723" s="2" t="s">
        <v>1241</v>
      </c>
      <c r="H723" s="2" t="s">
        <v>1220</v>
      </c>
      <c r="I723" s="2" t="s">
        <v>1221</v>
      </c>
      <c r="J723" s="2" t="s">
        <v>1234</v>
      </c>
      <c r="M723" s="5" t="str">
        <f t="shared" si="124"/>
        <v>Mid</v>
      </c>
      <c r="N723" s="5" t="str">
        <f t="shared" si="125"/>
        <v>Tax-Staff-Mid</v>
      </c>
      <c r="O723" s="5" t="str">
        <f t="shared" si="126"/>
        <v>Tax-Reviewer-Mid</v>
      </c>
      <c r="P723" s="5" t="str">
        <f t="shared" si="127"/>
        <v>Tax-Signer-Mid</v>
      </c>
      <c r="Q723" s="6">
        <v>2.7401969696969677</v>
      </c>
      <c r="R723" s="6">
        <v>0.5480393939393936</v>
      </c>
      <c r="S723" s="6">
        <v>0.2740196969696968</v>
      </c>
      <c r="T723" s="7">
        <f t="shared" si="133"/>
        <v>3.562256060606058</v>
      </c>
      <c r="U723" s="6" t="e">
        <f>SUMIFS([1]Sheet1!$L:$L,[1]Sheet1!$I:$I,AJ723,[1]Sheet1!$C:$C,A723)</f>
        <v>#VALUE!</v>
      </c>
      <c r="V723" s="6"/>
      <c r="W723" s="6"/>
      <c r="X723" s="7" t="e">
        <f t="shared" si="128"/>
        <v>#VALUE!</v>
      </c>
      <c r="Y723" s="6"/>
      <c r="AJ723" s="5" t="str">
        <f t="shared" si="123"/>
        <v>MO 1065 - Partnership</v>
      </c>
      <c r="AK723" s="5" t="str">
        <f t="shared" si="129"/>
        <v>MO-Tax Services-ANN-1065 - Partnership_Mid</v>
      </c>
      <c r="AL723" s="5" t="str">
        <f t="shared" si="130"/>
        <v>Three Co_1065_38-3978880_MO 1065 - Partnership</v>
      </c>
      <c r="AM723" s="5" t="str">
        <f t="shared" si="131"/>
        <v>Three Co_1065_38-3978880_MO-Tax Services-ANN-1065 - Partnership_Mid</v>
      </c>
    </row>
    <row r="724" spans="1:39" x14ac:dyDescent="0.25">
      <c r="A724" s="2" t="s">
        <v>217</v>
      </c>
      <c r="B724" s="2" t="s">
        <v>218</v>
      </c>
      <c r="C724" s="2" t="s">
        <v>1196</v>
      </c>
      <c r="D724" s="8">
        <v>43831</v>
      </c>
      <c r="E724" s="5" t="str">
        <f t="shared" si="132"/>
        <v>Tiffany Designs, Inc._01-01-20</v>
      </c>
      <c r="F724" s="2" t="s">
        <v>1206</v>
      </c>
      <c r="G724" s="2" t="s">
        <v>1241</v>
      </c>
      <c r="H724" s="2" t="s">
        <v>1220</v>
      </c>
      <c r="I724" s="2" t="s">
        <v>1223</v>
      </c>
      <c r="J724" s="2" t="s">
        <v>1234</v>
      </c>
      <c r="M724" s="5" t="str">
        <f t="shared" si="124"/>
        <v>Basic</v>
      </c>
      <c r="N724" s="5" t="str">
        <f t="shared" si="125"/>
        <v>Tax-Staff-Basic</v>
      </c>
      <c r="O724" s="5" t="str">
        <f t="shared" si="126"/>
        <v>Tax-Reviewer-Basic</v>
      </c>
      <c r="P724" s="5" t="str">
        <f t="shared" si="127"/>
        <v>Tax-Signer-Basic</v>
      </c>
      <c r="Q724" s="6">
        <v>1.4675000000000016</v>
      </c>
      <c r="R724" s="6">
        <v>0.29350000000000032</v>
      </c>
      <c r="S724" s="6">
        <v>0.14675000000000016</v>
      </c>
      <c r="T724" s="7">
        <f t="shared" si="133"/>
        <v>1.9077500000000021</v>
      </c>
      <c r="U724" s="6" t="e">
        <f>SUMIFS([1]Sheet1!$L:$L,[1]Sheet1!$I:$I,AJ724,[1]Sheet1!$C:$C,A724)</f>
        <v>#VALUE!</v>
      </c>
      <c r="V724" s="6"/>
      <c r="W724" s="6"/>
      <c r="X724" s="7" t="e">
        <f t="shared" si="128"/>
        <v>#VALUE!</v>
      </c>
      <c r="Y724" s="6"/>
      <c r="AJ724" s="5" t="str">
        <f t="shared" si="123"/>
        <v>NM 1120 - C Corporation</v>
      </c>
      <c r="AK724" s="5" t="str">
        <f t="shared" si="129"/>
        <v>NM-Tax Services-ANN-1120 - C Corporation_Basic</v>
      </c>
      <c r="AL724" s="5" t="str">
        <f t="shared" si="130"/>
        <v>Tiffany _1120C_46-4522791_NM 1120 - C Corporation</v>
      </c>
      <c r="AM724" s="5" t="str">
        <f t="shared" si="131"/>
        <v>Tiffany _1120C_46-4522791_NM-Tax Services-ANN-1120 - C Corporation_Basic</v>
      </c>
    </row>
    <row r="725" spans="1:39" x14ac:dyDescent="0.25">
      <c r="A725" s="2" t="s">
        <v>219</v>
      </c>
      <c r="B725" s="2" t="s">
        <v>220</v>
      </c>
      <c r="C725" s="2" t="s">
        <v>1196</v>
      </c>
      <c r="D725" s="8">
        <v>43831</v>
      </c>
      <c r="E725" s="5" t="str">
        <f t="shared" si="132"/>
        <v>Timeless Life, Inc._01-01-20</v>
      </c>
      <c r="F725" s="2" t="s">
        <v>1206</v>
      </c>
      <c r="G725" s="2" t="s">
        <v>1241</v>
      </c>
      <c r="H725" s="2" t="s">
        <v>1220</v>
      </c>
      <c r="I725" s="2" t="s">
        <v>1223</v>
      </c>
      <c r="J725" s="2" t="s">
        <v>1234</v>
      </c>
      <c r="M725" s="5" t="str">
        <f t="shared" si="124"/>
        <v>Basic</v>
      </c>
      <c r="N725" s="5" t="str">
        <f t="shared" si="125"/>
        <v>Tax-Staff-Basic</v>
      </c>
      <c r="O725" s="5" t="str">
        <f t="shared" si="126"/>
        <v>Tax-Reviewer-Basic</v>
      </c>
      <c r="P725" s="5" t="str">
        <f t="shared" si="127"/>
        <v>Tax-Signer-Basic</v>
      </c>
      <c r="Q725" s="6">
        <v>1.4675000000000016</v>
      </c>
      <c r="R725" s="6">
        <v>0.29350000000000032</v>
      </c>
      <c r="S725" s="6">
        <v>0.14675000000000016</v>
      </c>
      <c r="T725" s="7">
        <f t="shared" si="133"/>
        <v>1.9077500000000021</v>
      </c>
      <c r="U725" s="6" t="e">
        <f>SUMIFS([1]Sheet1!$L:$L,[1]Sheet1!$I:$I,AJ725,[1]Sheet1!$C:$C,A725)</f>
        <v>#VALUE!</v>
      </c>
      <c r="V725" s="6"/>
      <c r="W725" s="6"/>
      <c r="X725" s="7" t="e">
        <f t="shared" si="128"/>
        <v>#VALUE!</v>
      </c>
      <c r="Y725" s="6"/>
      <c r="AJ725" s="5" t="str">
        <f t="shared" si="123"/>
        <v>NM 1120 - C Corporation</v>
      </c>
      <c r="AK725" s="5" t="str">
        <f t="shared" si="129"/>
        <v>NM-Tax Services-ANN-1120 - C Corporation_Basic</v>
      </c>
      <c r="AL725" s="5" t="str">
        <f t="shared" si="130"/>
        <v>Timeless_1120C_27-0263722_NM 1120 - C Corporation</v>
      </c>
      <c r="AM725" s="5" t="str">
        <f t="shared" si="131"/>
        <v>Timeless_1120C_27-0263722_NM-Tax Services-ANN-1120 - C Corporation_Basic</v>
      </c>
    </row>
    <row r="726" spans="1:39" x14ac:dyDescent="0.25">
      <c r="A726" s="2" t="s">
        <v>164</v>
      </c>
      <c r="B726" s="2" t="s">
        <v>165</v>
      </c>
      <c r="C726" s="2" t="s">
        <v>1197</v>
      </c>
      <c r="D726" s="8">
        <v>43831</v>
      </c>
      <c r="E726" s="5" t="str">
        <f t="shared" si="132"/>
        <v>Tin Tin_01-01-20</v>
      </c>
      <c r="F726" s="2" t="s">
        <v>1201</v>
      </c>
      <c r="G726" s="2" t="s">
        <v>1201</v>
      </c>
      <c r="H726" s="2" t="s">
        <v>1197</v>
      </c>
      <c r="I726" s="2" t="s">
        <v>1223</v>
      </c>
      <c r="J726" s="2" t="s">
        <v>1235</v>
      </c>
      <c r="M726" s="5" t="str">
        <f t="shared" si="124"/>
        <v>Basic</v>
      </c>
      <c r="N726" s="5" t="str">
        <f t="shared" si="125"/>
        <v>Accountant-Staff-Basic</v>
      </c>
      <c r="O726" s="5" t="str">
        <f t="shared" si="126"/>
        <v>Accountant-Reviewer-Basic</v>
      </c>
      <c r="P726" s="5" t="str">
        <f t="shared" si="127"/>
        <v>Accountant-Signer-Basic</v>
      </c>
      <c r="Q726" s="6">
        <v>1.47</v>
      </c>
      <c r="R726" s="6">
        <v>0.29399999999999998</v>
      </c>
      <c r="S726" s="6">
        <v>0.14699999999999999</v>
      </c>
      <c r="T726" s="7">
        <f t="shared" si="133"/>
        <v>1.911</v>
      </c>
      <c r="U726" s="6" t="e">
        <f>SUMIFS([1]Sheet1!$L:$L,[1]Sheet1!$I:$I,AJ726,[1]Sheet1!$C:$C,A726)</f>
        <v>#VALUE!</v>
      </c>
      <c r="V726" s="6"/>
      <c r="W726" s="6"/>
      <c r="X726" s="7" t="e">
        <f t="shared" si="128"/>
        <v>#VALUE!</v>
      </c>
      <c r="Y726" s="6"/>
      <c r="AJ726" s="5" t="str">
        <f t="shared" si="123"/>
        <v>MO Accounting Services</v>
      </c>
      <c r="AK726" s="5" t="str">
        <f t="shared" si="129"/>
        <v>MO-Accounting Services-MO-Accounting Services_Basic</v>
      </c>
      <c r="AL726" s="5" t="str">
        <f t="shared" si="130"/>
        <v>Tin Ti_1_MO Accounting Services</v>
      </c>
      <c r="AM726" s="5" t="str">
        <f t="shared" si="131"/>
        <v>Tin Ti_1_MO-Accounting Services-MO-Accounting Services_Basic</v>
      </c>
    </row>
    <row r="727" spans="1:39" x14ac:dyDescent="0.25">
      <c r="A727" s="2" t="s">
        <v>164</v>
      </c>
      <c r="B727" s="2" t="s">
        <v>165</v>
      </c>
      <c r="C727" s="2" t="s">
        <v>1197</v>
      </c>
      <c r="D727" s="8">
        <v>43831</v>
      </c>
      <c r="E727" s="5" t="str">
        <f t="shared" si="132"/>
        <v>Tin Tin_01-01-20</v>
      </c>
      <c r="F727" s="2" t="s">
        <v>1200</v>
      </c>
      <c r="G727" s="2" t="s">
        <v>1241</v>
      </c>
      <c r="H727" s="2" t="s">
        <v>1220</v>
      </c>
      <c r="I727" s="2" t="s">
        <v>1222</v>
      </c>
      <c r="J727" s="2" t="s">
        <v>1234</v>
      </c>
      <c r="M727" s="5" t="str">
        <f t="shared" si="124"/>
        <v>Adv</v>
      </c>
      <c r="N727" s="5" t="str">
        <f t="shared" si="125"/>
        <v>Tax-Staff-Adv</v>
      </c>
      <c r="O727" s="5" t="str">
        <f t="shared" si="126"/>
        <v>Tax-Reviewer-Adv</v>
      </c>
      <c r="P727" s="5" t="str">
        <f t="shared" si="127"/>
        <v>Tax-Signer-Adv</v>
      </c>
      <c r="Q727" s="6">
        <v>1.5</v>
      </c>
      <c r="R727" s="6">
        <v>0.30000000000000004</v>
      </c>
      <c r="S727" s="6">
        <v>0.15000000000000002</v>
      </c>
      <c r="T727" s="7">
        <f t="shared" si="133"/>
        <v>1.9500000000000002</v>
      </c>
      <c r="U727" s="6" t="e">
        <f>SUMIFS([1]Sheet1!$L:$L,[1]Sheet1!$I:$I,AJ727,[1]Sheet1!$C:$C,A727)</f>
        <v>#VALUE!</v>
      </c>
      <c r="V727" s="6"/>
      <c r="W727" s="6"/>
      <c r="X727" s="7" t="e">
        <f t="shared" si="128"/>
        <v>#VALUE!</v>
      </c>
      <c r="Y727" s="6"/>
      <c r="AJ727" s="5" t="str">
        <f t="shared" si="123"/>
        <v>MO Texas Franchise Tax Return</v>
      </c>
      <c r="AK727" s="5" t="str">
        <f t="shared" si="129"/>
        <v>MO-Tax Services-ANN-Texas Franchise Tax Return_Adv</v>
      </c>
      <c r="AL727" s="5" t="str">
        <f t="shared" si="130"/>
        <v>Tin Ti_1_MO Texas Franchise Tax Return</v>
      </c>
      <c r="AM727" s="5" t="str">
        <f t="shared" si="131"/>
        <v>Tin Ti_1_MO-Tax Services-ANN-Texas Franchise Tax Return_Adv</v>
      </c>
    </row>
    <row r="728" spans="1:39" x14ac:dyDescent="0.25">
      <c r="A728" s="2" t="s">
        <v>1210</v>
      </c>
      <c r="B728" s="2" t="s">
        <v>163</v>
      </c>
      <c r="C728" s="2" t="s">
        <v>1197</v>
      </c>
      <c r="D728" s="8">
        <v>43831</v>
      </c>
      <c r="E728" s="5" t="str">
        <f t="shared" si="132"/>
        <v>Tin Lyn_01-01-20</v>
      </c>
      <c r="F728" s="2" t="s">
        <v>1201</v>
      </c>
      <c r="G728" s="2" t="s">
        <v>1201</v>
      </c>
      <c r="H728" s="2" t="s">
        <v>1197</v>
      </c>
      <c r="I728" s="2" t="s">
        <v>1223</v>
      </c>
      <c r="J728" s="2" t="s">
        <v>1235</v>
      </c>
      <c r="M728" s="5" t="str">
        <f t="shared" si="124"/>
        <v>Basic</v>
      </c>
      <c r="N728" s="5" t="str">
        <f t="shared" si="125"/>
        <v>Accountant-Staff-Basic</v>
      </c>
      <c r="O728" s="5" t="str">
        <f t="shared" si="126"/>
        <v>Accountant-Reviewer-Basic</v>
      </c>
      <c r="P728" s="5" t="str">
        <f t="shared" si="127"/>
        <v>Accountant-Signer-Basic</v>
      </c>
      <c r="Q728" s="6">
        <v>1.47</v>
      </c>
      <c r="R728" s="6">
        <v>0.29399999999999998</v>
      </c>
      <c r="S728" s="6">
        <v>0.14699999999999999</v>
      </c>
      <c r="T728" s="7">
        <f t="shared" si="133"/>
        <v>1.911</v>
      </c>
      <c r="U728" s="6" t="e">
        <f>SUMIFS([1]Sheet1!$L:$L,[1]Sheet1!$I:$I,AJ728,[1]Sheet1!$C:$C,A728)</f>
        <v>#VALUE!</v>
      </c>
      <c r="V728" s="6"/>
      <c r="W728" s="6"/>
      <c r="X728" s="7" t="e">
        <f t="shared" si="128"/>
        <v>#VALUE!</v>
      </c>
      <c r="Y728" s="6"/>
      <c r="AJ728" s="5" t="str">
        <f t="shared" si="123"/>
        <v>MO Accounting Services</v>
      </c>
      <c r="AK728" s="5" t="str">
        <f t="shared" si="129"/>
        <v>MO-Accounting Services-MO-Accounting Services_Basic</v>
      </c>
      <c r="AL728" s="5" t="str">
        <f t="shared" si="130"/>
        <v>Tinlyn L_1065_82-0690348_MO Accounting Services</v>
      </c>
      <c r="AM728" s="5" t="str">
        <f t="shared" si="131"/>
        <v>Tinlyn L_1065_82-0690348_MO-Accounting Services-MO-Accounting Services_Basic</v>
      </c>
    </row>
    <row r="729" spans="1:39" x14ac:dyDescent="0.25">
      <c r="A729" s="2" t="s">
        <v>293</v>
      </c>
      <c r="B729" s="2" t="s">
        <v>294</v>
      </c>
      <c r="C729" s="2" t="s">
        <v>1196</v>
      </c>
      <c r="D729" s="8">
        <v>43831</v>
      </c>
      <c r="E729" s="5" t="str">
        <f t="shared" si="132"/>
        <v>Tiny Mono, LLC_01-01-20</v>
      </c>
      <c r="F729" s="2" t="s">
        <v>1204</v>
      </c>
      <c r="G729" s="2" t="s">
        <v>1241</v>
      </c>
      <c r="H729" s="2" t="s">
        <v>1220</v>
      </c>
      <c r="I729" s="2" t="s">
        <v>1223</v>
      </c>
      <c r="J729" s="2" t="s">
        <v>1234</v>
      </c>
      <c r="M729" s="5" t="str">
        <f t="shared" si="124"/>
        <v>Basic</v>
      </c>
      <c r="N729" s="5" t="str">
        <f t="shared" si="125"/>
        <v>Tax-Staff-Basic</v>
      </c>
      <c r="O729" s="5" t="str">
        <f t="shared" si="126"/>
        <v>Tax-Reviewer-Basic</v>
      </c>
      <c r="P729" s="5" t="str">
        <f t="shared" si="127"/>
        <v>Tax-Signer-Basic</v>
      </c>
      <c r="Q729" s="6">
        <v>1.4675000000000016</v>
      </c>
      <c r="R729" s="6">
        <v>0.29350000000000032</v>
      </c>
      <c r="S729" s="6">
        <v>0.14675000000000016</v>
      </c>
      <c r="T729" s="7">
        <f t="shared" si="133"/>
        <v>1.9077500000000021</v>
      </c>
      <c r="U729" s="6" t="e">
        <f>SUMIFS([1]Sheet1!$L:$L,[1]Sheet1!$I:$I,AJ729,[1]Sheet1!$C:$C,A729)</f>
        <v>#VALUE!</v>
      </c>
      <c r="V729" s="6"/>
      <c r="W729" s="6"/>
      <c r="X729" s="7" t="e">
        <f t="shared" si="128"/>
        <v>#VALUE!</v>
      </c>
      <c r="Y729" s="6"/>
      <c r="AJ729" s="5" t="str">
        <f t="shared" si="123"/>
        <v>NM 1120S - S Corporation</v>
      </c>
      <c r="AK729" s="5" t="str">
        <f t="shared" si="129"/>
        <v>NM-Tax Services-ANN-1120S - S Corporation_Basic</v>
      </c>
      <c r="AL729" s="5" t="str">
        <f t="shared" si="130"/>
        <v>Tiny Mon_1120S_81-2927226_NM 1120S - S Corporation</v>
      </c>
      <c r="AM729" s="5" t="str">
        <f t="shared" si="131"/>
        <v>Tiny Mon_1120S_81-2927226_NM-Tax Services-ANN-1120S - S Corporation_Basic</v>
      </c>
    </row>
    <row r="730" spans="1:39" x14ac:dyDescent="0.25">
      <c r="A730" s="2" t="s">
        <v>1097</v>
      </c>
      <c r="B730" s="2" t="s">
        <v>1098</v>
      </c>
      <c r="C730" s="2" t="s">
        <v>1196</v>
      </c>
      <c r="D730" s="8">
        <v>43831</v>
      </c>
      <c r="E730" s="5" t="str">
        <f t="shared" si="132"/>
        <v>TIP Excise, LLC_01-01-20</v>
      </c>
      <c r="F730" s="2" t="s">
        <v>1199</v>
      </c>
      <c r="G730" s="2" t="s">
        <v>1241</v>
      </c>
      <c r="H730" s="2" t="s">
        <v>1220</v>
      </c>
      <c r="I730" s="2" t="s">
        <v>1223</v>
      </c>
      <c r="J730" s="2" t="s">
        <v>1234</v>
      </c>
      <c r="M730" s="5" t="str">
        <f t="shared" si="124"/>
        <v>Basic</v>
      </c>
      <c r="N730" s="5" t="str">
        <f t="shared" si="125"/>
        <v>Tax-Staff-Basic</v>
      </c>
      <c r="O730" s="5" t="str">
        <f t="shared" si="126"/>
        <v>Tax-Reviewer-Basic</v>
      </c>
      <c r="P730" s="5" t="str">
        <f t="shared" si="127"/>
        <v>Tax-Signer-Basic</v>
      </c>
      <c r="Q730" s="6">
        <v>1.4675000000000016</v>
      </c>
      <c r="R730" s="6">
        <v>0.29350000000000032</v>
      </c>
      <c r="S730" s="6">
        <v>0.14675000000000016</v>
      </c>
      <c r="T730" s="7">
        <f t="shared" si="133"/>
        <v>1.9077500000000021</v>
      </c>
      <c r="U730" s="6" t="e">
        <f>SUMIFS([1]Sheet1!$L:$L,[1]Sheet1!$I:$I,AJ730,[1]Sheet1!$C:$C,A730)</f>
        <v>#VALUE!</v>
      </c>
      <c r="V730" s="6"/>
      <c r="W730" s="6"/>
      <c r="X730" s="7" t="e">
        <f t="shared" si="128"/>
        <v>#VALUE!</v>
      </c>
      <c r="Y730" s="6"/>
      <c r="AJ730" s="5" t="str">
        <f t="shared" si="123"/>
        <v>NM 1065 - Partnership</v>
      </c>
      <c r="AK730" s="5" t="str">
        <f t="shared" si="129"/>
        <v>NM-Tax Services-ANN-1065 - Partnership_Basic</v>
      </c>
      <c r="AL730" s="5" t="str">
        <f t="shared" si="130"/>
        <v>TIP Exci_1065_1_NM 1065 - Partnership</v>
      </c>
      <c r="AM730" s="5" t="str">
        <f t="shared" si="131"/>
        <v>TIP Exci_1065_1_NM-Tax Services-ANN-1065 - Partnership_Basic</v>
      </c>
    </row>
    <row r="731" spans="1:39" x14ac:dyDescent="0.25">
      <c r="A731" s="2" t="s">
        <v>1097</v>
      </c>
      <c r="B731" s="2" t="s">
        <v>1098</v>
      </c>
      <c r="C731" s="2" t="s">
        <v>1196</v>
      </c>
      <c r="D731" s="8">
        <v>43831</v>
      </c>
      <c r="E731" s="5" t="str">
        <f t="shared" si="132"/>
        <v>TIP Excise, LLC_01-01-20</v>
      </c>
      <c r="F731" s="2" t="s">
        <v>1200</v>
      </c>
      <c r="G731" s="2" t="s">
        <v>1241</v>
      </c>
      <c r="H731" s="2" t="s">
        <v>1220</v>
      </c>
      <c r="I731" s="2" t="s">
        <v>1223</v>
      </c>
      <c r="J731" s="2" t="s">
        <v>1234</v>
      </c>
      <c r="M731" s="5" t="str">
        <f t="shared" si="124"/>
        <v>Basic</v>
      </c>
      <c r="N731" s="5" t="str">
        <f t="shared" si="125"/>
        <v>Tax-Staff-Basic</v>
      </c>
      <c r="O731" s="5" t="str">
        <f t="shared" si="126"/>
        <v>Tax-Reviewer-Basic</v>
      </c>
      <c r="P731" s="5" t="str">
        <f t="shared" si="127"/>
        <v>Tax-Signer-Basic</v>
      </c>
      <c r="Q731" s="6">
        <v>0.5</v>
      </c>
      <c r="R731" s="6">
        <v>0.1</v>
      </c>
      <c r="S731" s="6">
        <v>0.05</v>
      </c>
      <c r="T731" s="7">
        <f t="shared" si="133"/>
        <v>0.65</v>
      </c>
      <c r="U731" s="6" t="e">
        <f>SUMIFS([1]Sheet1!$L:$L,[1]Sheet1!$I:$I,AJ731,[1]Sheet1!$C:$C,A731)</f>
        <v>#VALUE!</v>
      </c>
      <c r="V731" s="6"/>
      <c r="W731" s="6"/>
      <c r="X731" s="7" t="e">
        <f t="shared" si="128"/>
        <v>#VALUE!</v>
      </c>
      <c r="Y731" s="6"/>
      <c r="AJ731" s="5" t="str">
        <f t="shared" si="123"/>
        <v>NM Texas Franchise Tax Return</v>
      </c>
      <c r="AK731" s="5" t="str">
        <f t="shared" si="129"/>
        <v>NM-Tax Services-ANN-Texas Franchise Tax Return_Basic</v>
      </c>
      <c r="AL731" s="5" t="str">
        <f t="shared" si="130"/>
        <v>TIP Exci_1065_1_NM Texas Franchise Tax Return</v>
      </c>
      <c r="AM731" s="5" t="str">
        <f t="shared" si="131"/>
        <v>TIP Exci_1065_1_NM-Tax Services-ANN-Texas Franchise Tax Return_Basic</v>
      </c>
    </row>
    <row r="732" spans="1:39" x14ac:dyDescent="0.25">
      <c r="A732" s="2" t="s">
        <v>1063</v>
      </c>
      <c r="B732" s="2" t="s">
        <v>1064</v>
      </c>
      <c r="C732" s="2" t="s">
        <v>1196</v>
      </c>
      <c r="D732" s="8">
        <v>43831</v>
      </c>
      <c r="E732" s="5" t="str">
        <f t="shared" si="132"/>
        <v>Todryk, Michael_01-01-20</v>
      </c>
      <c r="F732" s="2" t="s">
        <v>1203</v>
      </c>
      <c r="G732" s="2" t="s">
        <v>1241</v>
      </c>
      <c r="H732" s="2" t="s">
        <v>1220</v>
      </c>
      <c r="I732" s="2" t="s">
        <v>1221</v>
      </c>
      <c r="J732" s="2" t="s">
        <v>1234</v>
      </c>
      <c r="M732" s="5" t="str">
        <f t="shared" si="124"/>
        <v>Mid</v>
      </c>
      <c r="N732" s="5" t="str">
        <f t="shared" si="125"/>
        <v>Tax-Staff-Mid</v>
      </c>
      <c r="O732" s="5" t="str">
        <f t="shared" si="126"/>
        <v>Tax-Reviewer-Mid</v>
      </c>
      <c r="P732" s="5" t="str">
        <f t="shared" si="127"/>
        <v>Tax-Signer-Mid</v>
      </c>
      <c r="Q732" s="6">
        <v>2.7401969696969677</v>
      </c>
      <c r="R732" s="6">
        <v>0.5480393939393936</v>
      </c>
      <c r="S732" s="6">
        <v>0.2740196969696968</v>
      </c>
      <c r="T732" s="7">
        <f t="shared" si="133"/>
        <v>3.562256060606058</v>
      </c>
      <c r="U732" s="6" t="e">
        <f>SUMIFS([1]Sheet1!$L:$L,[1]Sheet1!$I:$I,AJ732,[1]Sheet1!$C:$C,A732)</f>
        <v>#VALUE!</v>
      </c>
      <c r="V732" s="6"/>
      <c r="W732" s="6"/>
      <c r="X732" s="7" t="e">
        <f t="shared" si="128"/>
        <v>#VALUE!</v>
      </c>
      <c r="Y732" s="6"/>
      <c r="AJ732" s="5" t="str">
        <f t="shared" ref="AJ732:AJ763" si="134">C732&amp;" "&amp;F732</f>
        <v>NM 1040 - Personal</v>
      </c>
      <c r="AK732" s="5" t="str">
        <f t="shared" si="129"/>
        <v>NM-Tax Services-ANN-1040 - Personal_Mid</v>
      </c>
      <c r="AL732" s="5" t="str">
        <f t="shared" si="130"/>
        <v>Todryk_5703_NM 1040 - Personal</v>
      </c>
      <c r="AM732" s="5" t="str">
        <f t="shared" si="131"/>
        <v>Todryk_5703_NM-Tax Services-ANN-1040 - Personal_Mid</v>
      </c>
    </row>
    <row r="733" spans="1:39" x14ac:dyDescent="0.25">
      <c r="A733" s="2" t="s">
        <v>295</v>
      </c>
      <c r="B733" s="2" t="s">
        <v>296</v>
      </c>
      <c r="C733" s="2" t="s">
        <v>1196</v>
      </c>
      <c r="D733" s="8">
        <v>43831</v>
      </c>
      <c r="E733" s="5" t="str">
        <f t="shared" si="132"/>
        <v>Tricore Services, Inc._01-01-20</v>
      </c>
      <c r="F733" s="2" t="s">
        <v>1204</v>
      </c>
      <c r="G733" s="2" t="s">
        <v>1241</v>
      </c>
      <c r="H733" s="2" t="s">
        <v>1220</v>
      </c>
      <c r="I733" s="2" t="s">
        <v>1223</v>
      </c>
      <c r="J733" s="2" t="s">
        <v>1234</v>
      </c>
      <c r="M733" s="5" t="str">
        <f t="shared" si="124"/>
        <v>Basic</v>
      </c>
      <c r="N733" s="5" t="str">
        <f t="shared" si="125"/>
        <v>Tax-Staff-Basic</v>
      </c>
      <c r="O733" s="5" t="str">
        <f t="shared" si="126"/>
        <v>Tax-Reviewer-Basic</v>
      </c>
      <c r="P733" s="5" t="str">
        <f t="shared" si="127"/>
        <v>Tax-Signer-Basic</v>
      </c>
      <c r="Q733" s="6">
        <v>1.4675000000000016</v>
      </c>
      <c r="R733" s="6">
        <v>0.29350000000000032</v>
      </c>
      <c r="S733" s="6">
        <v>0.14675000000000016</v>
      </c>
      <c r="T733" s="7">
        <f t="shared" si="133"/>
        <v>1.9077500000000021</v>
      </c>
      <c r="U733" s="6" t="e">
        <f>SUMIFS([1]Sheet1!$L:$L,[1]Sheet1!$I:$I,AJ733,[1]Sheet1!$C:$C,A733)</f>
        <v>#VALUE!</v>
      </c>
      <c r="V733" s="6"/>
      <c r="W733" s="6"/>
      <c r="X733" s="7" t="e">
        <f t="shared" si="128"/>
        <v>#VALUE!</v>
      </c>
      <c r="Y733" s="6"/>
      <c r="AJ733" s="5" t="str">
        <f t="shared" si="134"/>
        <v>NM 1120S - S Corporation</v>
      </c>
      <c r="AK733" s="5" t="str">
        <f t="shared" si="129"/>
        <v>NM-Tax Services-ANN-1120S - S Corporation_Basic</v>
      </c>
      <c r="AL733" s="5" t="str">
        <f t="shared" si="130"/>
        <v>Tricore _1120S_46-4757122_NM 1120S - S Corporation</v>
      </c>
      <c r="AM733" s="5" t="str">
        <f t="shared" si="131"/>
        <v>Tricore _1120S_46-4757122_NM-Tax Services-ANN-1120S - S Corporation_Basic</v>
      </c>
    </row>
    <row r="734" spans="1:39" x14ac:dyDescent="0.25">
      <c r="A734" s="2" t="s">
        <v>994</v>
      </c>
      <c r="B734" s="2" t="s">
        <v>995</v>
      </c>
      <c r="C734" s="2" t="s">
        <v>1196</v>
      </c>
      <c r="D734" s="8">
        <v>43831</v>
      </c>
      <c r="E734" s="5" t="str">
        <f t="shared" si="132"/>
        <v>Trinity Oaks Tyler, LLC_01-01-20</v>
      </c>
      <c r="F734" s="2" t="s">
        <v>1200</v>
      </c>
      <c r="G734" s="2" t="s">
        <v>1241</v>
      </c>
      <c r="H734" s="2" t="s">
        <v>1220</v>
      </c>
      <c r="I734" s="2" t="s">
        <v>1223</v>
      </c>
      <c r="J734" s="2" t="s">
        <v>1234</v>
      </c>
      <c r="M734" s="5" t="str">
        <f t="shared" si="124"/>
        <v>Basic</v>
      </c>
      <c r="N734" s="5" t="str">
        <f t="shared" si="125"/>
        <v>Tax-Staff-Basic</v>
      </c>
      <c r="O734" s="5" t="str">
        <f t="shared" si="126"/>
        <v>Tax-Reviewer-Basic</v>
      </c>
      <c r="P734" s="5" t="str">
        <f t="shared" si="127"/>
        <v>Tax-Signer-Basic</v>
      </c>
      <c r="Q734" s="6">
        <v>0.5</v>
      </c>
      <c r="R734" s="6">
        <v>0.1</v>
      </c>
      <c r="S734" s="6">
        <v>0.05</v>
      </c>
      <c r="T734" s="7">
        <f t="shared" si="133"/>
        <v>0.65</v>
      </c>
      <c r="U734" s="6" t="e">
        <f>SUMIFS([1]Sheet1!$L:$L,[1]Sheet1!$I:$I,AJ734,[1]Sheet1!$C:$C,A734)</f>
        <v>#VALUE!</v>
      </c>
      <c r="V734" s="6"/>
      <c r="W734" s="6"/>
      <c r="X734" s="7" t="e">
        <f t="shared" si="128"/>
        <v>#VALUE!</v>
      </c>
      <c r="Y734" s="6"/>
      <c r="AJ734" s="5" t="str">
        <f t="shared" si="134"/>
        <v>NM Texas Franchise Tax Return</v>
      </c>
      <c r="AK734" s="5" t="str">
        <f t="shared" si="129"/>
        <v>NM-Tax Services-ANN-Texas Franchise Tax Return_Basic</v>
      </c>
      <c r="AL734" s="5" t="str">
        <f t="shared" si="130"/>
        <v>Trinity _1040_1_NM Texas Franchise Tax Return</v>
      </c>
      <c r="AM734" s="5" t="str">
        <f t="shared" si="131"/>
        <v>Trinity _1040_1_NM-Tax Services-ANN-Texas Franchise Tax Return_Basic</v>
      </c>
    </row>
    <row r="735" spans="1:39" x14ac:dyDescent="0.25">
      <c r="A735" s="2" t="s">
        <v>166</v>
      </c>
      <c r="B735" s="2" t="s">
        <v>167</v>
      </c>
      <c r="C735" s="2" t="s">
        <v>1197</v>
      </c>
      <c r="D735" s="8">
        <v>43831</v>
      </c>
      <c r="E735" s="5" t="str">
        <f t="shared" si="132"/>
        <v>Trinity Green Services, LLC_01-01-20</v>
      </c>
      <c r="F735" s="2" t="s">
        <v>1201</v>
      </c>
      <c r="G735" s="2" t="s">
        <v>1201</v>
      </c>
      <c r="H735" s="2" t="s">
        <v>1197</v>
      </c>
      <c r="I735" s="2" t="s">
        <v>1223</v>
      </c>
      <c r="J735" s="2" t="s">
        <v>1235</v>
      </c>
      <c r="M735" s="5" t="str">
        <f t="shared" si="124"/>
        <v>Basic</v>
      </c>
      <c r="N735" s="5" t="str">
        <f t="shared" si="125"/>
        <v>Accountant-Staff-Basic</v>
      </c>
      <c r="O735" s="5" t="str">
        <f t="shared" si="126"/>
        <v>Accountant-Reviewer-Basic</v>
      </c>
      <c r="P735" s="5" t="str">
        <f t="shared" si="127"/>
        <v>Accountant-Signer-Basic</v>
      </c>
      <c r="Q735" s="6">
        <v>1.47</v>
      </c>
      <c r="R735" s="6">
        <v>0.29399999999999998</v>
      </c>
      <c r="S735" s="6">
        <v>0.14699999999999999</v>
      </c>
      <c r="T735" s="7">
        <f t="shared" si="133"/>
        <v>1.911</v>
      </c>
      <c r="U735" s="6" t="e">
        <f>SUMIFS([1]Sheet1!$L:$L,[1]Sheet1!$I:$I,AJ735,[1]Sheet1!$C:$C,A735)</f>
        <v>#VALUE!</v>
      </c>
      <c r="V735" s="6"/>
      <c r="W735" s="6"/>
      <c r="X735" s="7" t="e">
        <f t="shared" si="128"/>
        <v>#VALUE!</v>
      </c>
      <c r="Y735" s="6"/>
      <c r="AJ735" s="5" t="str">
        <f t="shared" si="134"/>
        <v>MO Accounting Services</v>
      </c>
      <c r="AK735" s="5" t="str">
        <f t="shared" si="129"/>
        <v>MO-Accounting Services-MO-Accounting Services_Basic</v>
      </c>
      <c r="AL735" s="5" t="str">
        <f t="shared" si="130"/>
        <v>Trinity _1120C_26-2894065_MO Accounting Services</v>
      </c>
      <c r="AM735" s="5" t="str">
        <f t="shared" si="131"/>
        <v>Trinity _1120C_26-2894065_MO-Accounting Services-MO-Accounting Services_Basic</v>
      </c>
    </row>
    <row r="736" spans="1:39" x14ac:dyDescent="0.25">
      <c r="A736" s="2" t="s">
        <v>166</v>
      </c>
      <c r="B736" s="2" t="s">
        <v>167</v>
      </c>
      <c r="C736" s="2" t="s">
        <v>1197</v>
      </c>
      <c r="D736" s="8">
        <v>43831</v>
      </c>
      <c r="E736" s="5" t="str">
        <f t="shared" si="132"/>
        <v>Trinity Green Services, LLC_01-01-20</v>
      </c>
      <c r="F736" s="2" t="s">
        <v>1202</v>
      </c>
      <c r="G736" s="2" t="s">
        <v>1201</v>
      </c>
      <c r="H736" s="2" t="s">
        <v>1197</v>
      </c>
      <c r="I736" s="2" t="s">
        <v>1221</v>
      </c>
      <c r="J736" s="2" t="s">
        <v>1235</v>
      </c>
      <c r="M736" s="5" t="str">
        <f t="shared" si="124"/>
        <v>Mid</v>
      </c>
      <c r="N736" s="5" t="str">
        <f t="shared" si="125"/>
        <v>Accountant-Staff-Mid</v>
      </c>
      <c r="O736" s="5" t="str">
        <f t="shared" si="126"/>
        <v>Accountant-Reviewer-Mid</v>
      </c>
      <c r="P736" s="5" t="str">
        <f t="shared" si="127"/>
        <v>Accountant-Signer-Mid</v>
      </c>
      <c r="Q736" s="6">
        <v>1</v>
      </c>
      <c r="R736" s="6">
        <v>0.2</v>
      </c>
      <c r="S736" s="6">
        <v>0.1</v>
      </c>
      <c r="T736" s="7">
        <f t="shared" si="133"/>
        <v>1.3</v>
      </c>
      <c r="U736" s="6" t="e">
        <f>SUMIFS([1]Sheet1!$L:$L,[1]Sheet1!$I:$I,AJ736,[1]Sheet1!$C:$C,A736)</f>
        <v>#VALUE!</v>
      </c>
      <c r="V736" s="6"/>
      <c r="W736" s="6"/>
      <c r="X736" s="7" t="e">
        <f t="shared" si="128"/>
        <v>#VALUE!</v>
      </c>
      <c r="Y736" s="6"/>
      <c r="AJ736" s="5" t="str">
        <f t="shared" si="134"/>
        <v>MO Sales Tax Services</v>
      </c>
      <c r="AK736" s="5" t="str">
        <f t="shared" si="129"/>
        <v>MO-Accounting Services-MO-Sales Tax Services_Mid</v>
      </c>
      <c r="AL736" s="5" t="str">
        <f t="shared" si="130"/>
        <v>Trinity _1120C_26-2894065_MO Sales Tax Services</v>
      </c>
      <c r="AM736" s="5" t="str">
        <f t="shared" si="131"/>
        <v>Trinity _1120C_26-2894065_MO-Accounting Services-MO-Sales Tax Services_Mid</v>
      </c>
    </row>
    <row r="737" spans="1:39" x14ac:dyDescent="0.25">
      <c r="A737" s="2" t="s">
        <v>166</v>
      </c>
      <c r="B737" s="2" t="s">
        <v>167</v>
      </c>
      <c r="C737" s="2" t="s">
        <v>1197</v>
      </c>
      <c r="D737" s="8">
        <v>43831</v>
      </c>
      <c r="E737" s="5" t="str">
        <f t="shared" si="132"/>
        <v>Trinity Green Services, LLC_01-01-20</v>
      </c>
      <c r="F737" s="2" t="s">
        <v>1206</v>
      </c>
      <c r="G737" s="2" t="s">
        <v>1241</v>
      </c>
      <c r="H737" s="2" t="s">
        <v>1220</v>
      </c>
      <c r="I737" s="2" t="s">
        <v>1222</v>
      </c>
      <c r="J737" s="2" t="s">
        <v>1234</v>
      </c>
      <c r="M737" s="5" t="str">
        <f t="shared" si="124"/>
        <v>Adv</v>
      </c>
      <c r="N737" s="5" t="str">
        <f t="shared" si="125"/>
        <v>Tax-Staff-Adv</v>
      </c>
      <c r="O737" s="5" t="str">
        <f t="shared" si="126"/>
        <v>Tax-Reviewer-Adv</v>
      </c>
      <c r="P737" s="5" t="str">
        <f t="shared" si="127"/>
        <v>Tax-Signer-Adv</v>
      </c>
      <c r="Q737" s="6">
        <v>4.5832500000000005</v>
      </c>
      <c r="R737" s="6">
        <v>0.91665000000000019</v>
      </c>
      <c r="S737" s="6">
        <v>0.45832500000000009</v>
      </c>
      <c r="T737" s="7">
        <f t="shared" si="133"/>
        <v>5.9582250000000005</v>
      </c>
      <c r="U737" s="6" t="e">
        <f>SUMIFS([1]Sheet1!$L:$L,[1]Sheet1!$I:$I,AJ737,[1]Sheet1!$C:$C,A737)</f>
        <v>#VALUE!</v>
      </c>
      <c r="V737" s="6"/>
      <c r="W737" s="6"/>
      <c r="X737" s="7" t="e">
        <f t="shared" si="128"/>
        <v>#VALUE!</v>
      </c>
      <c r="Y737" s="6"/>
      <c r="AJ737" s="5" t="str">
        <f t="shared" si="134"/>
        <v>MO 1120 - C Corporation</v>
      </c>
      <c r="AK737" s="5" t="str">
        <f t="shared" si="129"/>
        <v>MO-Tax Services-ANN-1120 - C Corporation_Adv</v>
      </c>
      <c r="AL737" s="5" t="str">
        <f t="shared" si="130"/>
        <v>Trinity _1120C_26-2894065_MO 1120 - C Corporation</v>
      </c>
      <c r="AM737" s="5" t="str">
        <f t="shared" si="131"/>
        <v>Trinity _1120C_26-2894065_MO-Tax Services-ANN-1120 - C Corporation_Adv</v>
      </c>
    </row>
    <row r="738" spans="1:39" x14ac:dyDescent="0.25">
      <c r="A738" s="2" t="s">
        <v>1207</v>
      </c>
      <c r="B738" s="2" t="s">
        <v>168</v>
      </c>
      <c r="C738" s="2" t="s">
        <v>1197</v>
      </c>
      <c r="D738" s="8">
        <v>43831</v>
      </c>
      <c r="E738" s="5" t="str">
        <f t="shared" si="132"/>
        <v>Triple G_01-01-20</v>
      </c>
      <c r="F738" s="2" t="s">
        <v>1199</v>
      </c>
      <c r="G738" s="2" t="s">
        <v>1241</v>
      </c>
      <c r="H738" s="2" t="s">
        <v>1220</v>
      </c>
      <c r="I738" s="2" t="s">
        <v>1222</v>
      </c>
      <c r="J738" s="2" t="s">
        <v>1234</v>
      </c>
      <c r="M738" s="5" t="str">
        <f t="shared" si="124"/>
        <v>Adv</v>
      </c>
      <c r="N738" s="5" t="str">
        <f t="shared" si="125"/>
        <v>Tax-Staff-Adv</v>
      </c>
      <c r="O738" s="5" t="str">
        <f t="shared" si="126"/>
        <v>Tax-Reviewer-Adv</v>
      </c>
      <c r="P738" s="5" t="str">
        <f t="shared" si="127"/>
        <v>Tax-Signer-Adv</v>
      </c>
      <c r="Q738" s="6">
        <v>4.5832500000000005</v>
      </c>
      <c r="R738" s="6">
        <v>0.91665000000000019</v>
      </c>
      <c r="S738" s="6">
        <v>0.45832500000000009</v>
      </c>
      <c r="T738" s="7">
        <f t="shared" si="133"/>
        <v>5.9582250000000005</v>
      </c>
      <c r="U738" s="6" t="e">
        <f>SUMIFS([1]Sheet1!$L:$L,[1]Sheet1!$I:$I,AJ738,[1]Sheet1!$C:$C,A738)</f>
        <v>#VALUE!</v>
      </c>
      <c r="V738" s="6"/>
      <c r="W738" s="6"/>
      <c r="X738" s="7" t="e">
        <f t="shared" si="128"/>
        <v>#VALUE!</v>
      </c>
      <c r="Y738" s="6"/>
      <c r="AJ738" s="5" t="str">
        <f t="shared" si="134"/>
        <v>MO 1065 - Partnership</v>
      </c>
      <c r="AK738" s="5" t="str">
        <f t="shared" si="129"/>
        <v>MO-Tax Services-ANN-1065 - Partnership_Adv</v>
      </c>
      <c r="AL738" s="5" t="str">
        <f t="shared" si="130"/>
        <v>Triple G_NoTax_1.1_MO 1065 - Partnership</v>
      </c>
      <c r="AM738" s="5" t="str">
        <f t="shared" si="131"/>
        <v>Triple G_NoTax_1.1_MO-Tax Services-ANN-1065 - Partnership_Adv</v>
      </c>
    </row>
    <row r="739" spans="1:39" x14ac:dyDescent="0.25">
      <c r="A739" s="2" t="s">
        <v>1207</v>
      </c>
      <c r="B739" s="2" t="s">
        <v>168</v>
      </c>
      <c r="C739" s="2" t="s">
        <v>1197</v>
      </c>
      <c r="D739" s="8">
        <v>43831</v>
      </c>
      <c r="E739" s="5" t="str">
        <f t="shared" si="132"/>
        <v>Triple G_01-01-20</v>
      </c>
      <c r="F739" s="2" t="s">
        <v>1201</v>
      </c>
      <c r="G739" s="2" t="s">
        <v>1201</v>
      </c>
      <c r="H739" s="2" t="s">
        <v>1197</v>
      </c>
      <c r="I739" s="2" t="s">
        <v>1223</v>
      </c>
      <c r="J739" s="2" t="s">
        <v>1235</v>
      </c>
      <c r="M739" s="5" t="str">
        <f t="shared" si="124"/>
        <v>Basic</v>
      </c>
      <c r="N739" s="5" t="str">
        <f t="shared" si="125"/>
        <v>Accountant-Staff-Basic</v>
      </c>
      <c r="O739" s="5" t="str">
        <f t="shared" si="126"/>
        <v>Accountant-Reviewer-Basic</v>
      </c>
      <c r="P739" s="5" t="str">
        <f t="shared" si="127"/>
        <v>Accountant-Signer-Basic</v>
      </c>
      <c r="Q739" s="6">
        <v>1.47</v>
      </c>
      <c r="R739" s="6">
        <v>0.29399999999999998</v>
      </c>
      <c r="S739" s="6">
        <v>0.14699999999999999</v>
      </c>
      <c r="T739" s="7">
        <f t="shared" si="133"/>
        <v>1.911</v>
      </c>
      <c r="U739" s="6" t="e">
        <f>SUMIFS([1]Sheet1!$L:$L,[1]Sheet1!$I:$I,AJ739,[1]Sheet1!$C:$C,A739)</f>
        <v>#VALUE!</v>
      </c>
      <c r="V739" s="6"/>
      <c r="W739" s="6"/>
      <c r="X739" s="7" t="e">
        <f t="shared" si="128"/>
        <v>#VALUE!</v>
      </c>
      <c r="Y739" s="6"/>
      <c r="AJ739" s="5" t="str">
        <f t="shared" si="134"/>
        <v>MO Accounting Services</v>
      </c>
      <c r="AK739" s="5" t="str">
        <f t="shared" si="129"/>
        <v>MO-Accounting Services-MO-Accounting Services_Basic</v>
      </c>
      <c r="AL739" s="5" t="str">
        <f t="shared" si="130"/>
        <v>Triple G_NoTax_1.1_MO Accounting Services</v>
      </c>
      <c r="AM739" s="5" t="str">
        <f t="shared" si="131"/>
        <v>Triple G_NoTax_1.1_MO-Accounting Services-MO-Accounting Services_Basic</v>
      </c>
    </row>
    <row r="740" spans="1:39" x14ac:dyDescent="0.25">
      <c r="A740" s="2" t="s">
        <v>1207</v>
      </c>
      <c r="B740" s="2" t="s">
        <v>168</v>
      </c>
      <c r="C740" s="2" t="s">
        <v>1197</v>
      </c>
      <c r="D740" s="8">
        <v>43831</v>
      </c>
      <c r="E740" s="5" t="str">
        <f t="shared" si="132"/>
        <v>Triple G_01-01-20</v>
      </c>
      <c r="F740" s="2" t="s">
        <v>1200</v>
      </c>
      <c r="G740" s="2" t="s">
        <v>1241</v>
      </c>
      <c r="H740" s="2" t="s">
        <v>1220</v>
      </c>
      <c r="I740" s="2" t="s">
        <v>1222</v>
      </c>
      <c r="J740" s="2" t="s">
        <v>1234</v>
      </c>
      <c r="M740" s="5" t="str">
        <f t="shared" si="124"/>
        <v>Adv</v>
      </c>
      <c r="N740" s="5" t="str">
        <f t="shared" si="125"/>
        <v>Tax-Staff-Adv</v>
      </c>
      <c r="O740" s="5" t="str">
        <f t="shared" si="126"/>
        <v>Tax-Reviewer-Adv</v>
      </c>
      <c r="P740" s="5" t="str">
        <f t="shared" si="127"/>
        <v>Tax-Signer-Adv</v>
      </c>
      <c r="Q740" s="6">
        <v>1.5</v>
      </c>
      <c r="R740" s="6">
        <v>0.30000000000000004</v>
      </c>
      <c r="S740" s="6">
        <v>0.15000000000000002</v>
      </c>
      <c r="T740" s="7">
        <f t="shared" si="133"/>
        <v>1.9500000000000002</v>
      </c>
      <c r="U740" s="6" t="e">
        <f>SUMIFS([1]Sheet1!$L:$L,[1]Sheet1!$I:$I,AJ740,[1]Sheet1!$C:$C,A740)</f>
        <v>#VALUE!</v>
      </c>
      <c r="V740" s="6"/>
      <c r="W740" s="6"/>
      <c r="X740" s="7" t="e">
        <f t="shared" si="128"/>
        <v>#VALUE!</v>
      </c>
      <c r="Y740" s="6"/>
      <c r="AJ740" s="5" t="str">
        <f t="shared" si="134"/>
        <v>MO Texas Franchise Tax Return</v>
      </c>
      <c r="AK740" s="5" t="str">
        <f t="shared" si="129"/>
        <v>MO-Tax Services-ANN-Texas Franchise Tax Return_Adv</v>
      </c>
      <c r="AL740" s="5" t="str">
        <f t="shared" si="130"/>
        <v>Triple G_NoTax_1.1_MO Texas Franchise Tax Return</v>
      </c>
      <c r="AM740" s="5" t="str">
        <f t="shared" si="131"/>
        <v>Triple G_NoTax_1.1_MO-Tax Services-ANN-Texas Franchise Tax Return_Adv</v>
      </c>
    </row>
    <row r="741" spans="1:39" x14ac:dyDescent="0.25">
      <c r="A741" s="2" t="s">
        <v>297</v>
      </c>
      <c r="B741" s="2" t="s">
        <v>298</v>
      </c>
      <c r="C741" s="2" t="s">
        <v>1196</v>
      </c>
      <c r="D741" s="8">
        <v>43831</v>
      </c>
      <c r="E741" s="5" t="str">
        <f t="shared" si="132"/>
        <v>Trotter Insurance Group_01-01-20</v>
      </c>
      <c r="F741" s="2" t="s">
        <v>1204</v>
      </c>
      <c r="G741" s="2" t="s">
        <v>1241</v>
      </c>
      <c r="H741" s="2" t="s">
        <v>1220</v>
      </c>
      <c r="I741" s="2" t="s">
        <v>1223</v>
      </c>
      <c r="J741" s="2" t="s">
        <v>1234</v>
      </c>
      <c r="M741" s="5" t="str">
        <f t="shared" si="124"/>
        <v>Basic</v>
      </c>
      <c r="N741" s="5" t="str">
        <f t="shared" si="125"/>
        <v>Tax-Staff-Basic</v>
      </c>
      <c r="O741" s="5" t="str">
        <f t="shared" si="126"/>
        <v>Tax-Reviewer-Basic</v>
      </c>
      <c r="P741" s="5" t="str">
        <f t="shared" si="127"/>
        <v>Tax-Signer-Basic</v>
      </c>
      <c r="Q741" s="6">
        <v>1.4675000000000016</v>
      </c>
      <c r="R741" s="6">
        <v>0.29350000000000032</v>
      </c>
      <c r="S741" s="6">
        <v>0.14675000000000016</v>
      </c>
      <c r="T741" s="7">
        <f t="shared" si="133"/>
        <v>1.9077500000000021</v>
      </c>
      <c r="U741" s="6" t="e">
        <f>SUMIFS([1]Sheet1!$L:$L,[1]Sheet1!$I:$I,AJ741,[1]Sheet1!$C:$C,A741)</f>
        <v>#VALUE!</v>
      </c>
      <c r="V741" s="6"/>
      <c r="W741" s="6"/>
      <c r="X741" s="7" t="e">
        <f t="shared" si="128"/>
        <v>#VALUE!</v>
      </c>
      <c r="Y741" s="6"/>
      <c r="AJ741" s="5" t="str">
        <f t="shared" si="134"/>
        <v>NM 1120S - S Corporation</v>
      </c>
      <c r="AK741" s="5" t="str">
        <f t="shared" si="129"/>
        <v>NM-Tax Services-ANN-1120S - S Corporation_Basic</v>
      </c>
      <c r="AL741" s="5" t="str">
        <f t="shared" si="130"/>
        <v>Trotter _1120S_42-1736184_NM 1120S - S Corporation</v>
      </c>
      <c r="AM741" s="5" t="str">
        <f t="shared" si="131"/>
        <v>Trotter _1120S_42-1736184_NM-Tax Services-ANN-1120S - S Corporation_Basic</v>
      </c>
    </row>
    <row r="742" spans="1:39" x14ac:dyDescent="0.25">
      <c r="A742" s="2" t="s">
        <v>1109</v>
      </c>
      <c r="B742" s="2" t="s">
        <v>1110</v>
      </c>
      <c r="C742" s="2" t="s">
        <v>1196</v>
      </c>
      <c r="D742" s="8">
        <v>43831</v>
      </c>
      <c r="E742" s="5" t="str">
        <f t="shared" si="132"/>
        <v>Truelove, Beth_01-01-20</v>
      </c>
      <c r="F742" s="2" t="s">
        <v>1203</v>
      </c>
      <c r="G742" s="2" t="s">
        <v>1241</v>
      </c>
      <c r="H742" s="2" t="s">
        <v>1220</v>
      </c>
      <c r="I742" s="2" t="s">
        <v>1221</v>
      </c>
      <c r="J742" s="2" t="s">
        <v>1234</v>
      </c>
      <c r="M742" s="5" t="str">
        <f t="shared" si="124"/>
        <v>Mid</v>
      </c>
      <c r="N742" s="5" t="str">
        <f t="shared" si="125"/>
        <v>Tax-Staff-Mid</v>
      </c>
      <c r="O742" s="5" t="str">
        <f t="shared" si="126"/>
        <v>Tax-Reviewer-Mid</v>
      </c>
      <c r="P742" s="5" t="str">
        <f t="shared" si="127"/>
        <v>Tax-Signer-Mid</v>
      </c>
      <c r="Q742" s="6">
        <v>2.7401969696969677</v>
      </c>
      <c r="R742" s="6">
        <v>0.5480393939393936</v>
      </c>
      <c r="S742" s="6">
        <v>0.2740196969696968</v>
      </c>
      <c r="T742" s="7">
        <f t="shared" si="133"/>
        <v>3.562256060606058</v>
      </c>
      <c r="U742" s="6" t="e">
        <f>SUMIFS([1]Sheet1!$L:$L,[1]Sheet1!$I:$I,AJ742,[1]Sheet1!$C:$C,A742)</f>
        <v>#VALUE!</v>
      </c>
      <c r="V742" s="6"/>
      <c r="W742" s="6"/>
      <c r="X742" s="7" t="e">
        <f t="shared" si="128"/>
        <v>#VALUE!</v>
      </c>
      <c r="Y742" s="6"/>
      <c r="AJ742" s="5" t="str">
        <f t="shared" si="134"/>
        <v>NM 1040 - Personal</v>
      </c>
      <c r="AK742" s="5" t="str">
        <f t="shared" si="129"/>
        <v>NM-Tax Services-ANN-1040 - Personal_Mid</v>
      </c>
      <c r="AL742" s="5" t="str">
        <f t="shared" si="130"/>
        <v>Truelo_3533_NM 1040 - Personal</v>
      </c>
      <c r="AM742" s="5" t="str">
        <f t="shared" si="131"/>
        <v>Truelo_3533_NM-Tax Services-ANN-1040 - Personal_Mid</v>
      </c>
    </row>
    <row r="743" spans="1:39" x14ac:dyDescent="0.25">
      <c r="A743" s="2" t="s">
        <v>407</v>
      </c>
      <c r="B743" s="2" t="s">
        <v>408</v>
      </c>
      <c r="C743" s="2" t="s">
        <v>1197</v>
      </c>
      <c r="D743" s="8">
        <v>43831</v>
      </c>
      <c r="E743" s="5" t="str">
        <f t="shared" si="132"/>
        <v>TSI Buckner Basketball LLC_01-01-20</v>
      </c>
      <c r="F743" s="2" t="s">
        <v>1199</v>
      </c>
      <c r="G743" s="2" t="s">
        <v>1241</v>
      </c>
      <c r="H743" s="2" t="s">
        <v>1220</v>
      </c>
      <c r="I743" s="2" t="s">
        <v>1223</v>
      </c>
      <c r="J743" s="2" t="s">
        <v>1234</v>
      </c>
      <c r="M743" s="5" t="str">
        <f t="shared" si="124"/>
        <v>Basic</v>
      </c>
      <c r="N743" s="5" t="str">
        <f t="shared" si="125"/>
        <v>Tax-Staff-Basic</v>
      </c>
      <c r="O743" s="5" t="str">
        <f t="shared" si="126"/>
        <v>Tax-Reviewer-Basic</v>
      </c>
      <c r="P743" s="5" t="str">
        <f t="shared" si="127"/>
        <v>Tax-Signer-Basic</v>
      </c>
      <c r="Q743" s="6">
        <v>1.4675000000000016</v>
      </c>
      <c r="R743" s="6">
        <v>0.29350000000000032</v>
      </c>
      <c r="S743" s="6">
        <v>0.14675000000000016</v>
      </c>
      <c r="T743" s="7">
        <f t="shared" si="133"/>
        <v>1.9077500000000021</v>
      </c>
      <c r="U743" s="6" t="e">
        <f>SUMIFS([1]Sheet1!$L:$L,[1]Sheet1!$I:$I,AJ743,[1]Sheet1!$C:$C,A743)</f>
        <v>#VALUE!</v>
      </c>
      <c r="V743" s="6"/>
      <c r="W743" s="6"/>
      <c r="X743" s="7" t="e">
        <f t="shared" si="128"/>
        <v>#VALUE!</v>
      </c>
      <c r="Y743" s="6"/>
      <c r="AJ743" s="5" t="str">
        <f t="shared" si="134"/>
        <v>MO 1065 - Partnership</v>
      </c>
      <c r="AK743" s="5" t="str">
        <f t="shared" si="129"/>
        <v>MO-Tax Services-ANN-1065 - Partnership_Basic</v>
      </c>
      <c r="AL743" s="5" t="str">
        <f t="shared" si="130"/>
        <v>TSI Buck_1065_82-4380605_MO 1065 - Partnership</v>
      </c>
      <c r="AM743" s="5" t="str">
        <f t="shared" si="131"/>
        <v>TSI Buck_1065_82-4380605_MO-Tax Services-ANN-1065 - Partnership_Basic</v>
      </c>
    </row>
    <row r="744" spans="1:39" x14ac:dyDescent="0.25">
      <c r="A744" s="2" t="s">
        <v>1171</v>
      </c>
      <c r="B744" s="2" t="s">
        <v>1172</v>
      </c>
      <c r="C744" s="2" t="s">
        <v>1196</v>
      </c>
      <c r="D744" s="8">
        <v>43831</v>
      </c>
      <c r="E744" s="5" t="str">
        <f t="shared" si="132"/>
        <v>Tull, III, Charles S. &amp; Sarah J._01-01-20</v>
      </c>
      <c r="F744" s="2" t="s">
        <v>1203</v>
      </c>
      <c r="G744" s="2" t="s">
        <v>1241</v>
      </c>
      <c r="H744" s="2" t="s">
        <v>1220</v>
      </c>
      <c r="I744" s="2" t="s">
        <v>1223</v>
      </c>
      <c r="J744" s="2" t="s">
        <v>1234</v>
      </c>
      <c r="M744" s="5" t="str">
        <f t="shared" si="124"/>
        <v>Basic</v>
      </c>
      <c r="N744" s="5" t="str">
        <f t="shared" si="125"/>
        <v>Tax-Staff-Basic</v>
      </c>
      <c r="O744" s="5" t="str">
        <f t="shared" si="126"/>
        <v>Tax-Reviewer-Basic</v>
      </c>
      <c r="P744" s="5" t="str">
        <f t="shared" si="127"/>
        <v>Tax-Signer-Basic</v>
      </c>
      <c r="Q744" s="6">
        <v>1.4675000000000016</v>
      </c>
      <c r="R744" s="6">
        <v>0.29350000000000032</v>
      </c>
      <c r="S744" s="6">
        <v>0.14675000000000016</v>
      </c>
      <c r="T744" s="7">
        <f t="shared" si="133"/>
        <v>1.9077500000000021</v>
      </c>
      <c r="U744" s="6" t="e">
        <f>SUMIFS([1]Sheet1!$L:$L,[1]Sheet1!$I:$I,AJ744,[1]Sheet1!$C:$C,A744)</f>
        <v>#VALUE!</v>
      </c>
      <c r="V744" s="6"/>
      <c r="W744" s="6"/>
      <c r="X744" s="7" t="e">
        <f t="shared" si="128"/>
        <v>#VALUE!</v>
      </c>
      <c r="Y744" s="6"/>
      <c r="AJ744" s="5" t="str">
        <f t="shared" si="134"/>
        <v>NM 1040 - Personal</v>
      </c>
      <c r="AK744" s="5" t="str">
        <f t="shared" si="129"/>
        <v>NM-Tax Services-ANN-1040 - Personal_Basic</v>
      </c>
      <c r="AL744" s="5" t="str">
        <f t="shared" si="130"/>
        <v>Tull, _4257_NM 1040 - Personal</v>
      </c>
      <c r="AM744" s="5" t="str">
        <f t="shared" si="131"/>
        <v>Tull, _4257_NM-Tax Services-ANN-1040 - Personal_Basic</v>
      </c>
    </row>
    <row r="745" spans="1:39" x14ac:dyDescent="0.25">
      <c r="A745" s="2" t="s">
        <v>393</v>
      </c>
      <c r="B745" s="2" t="s">
        <v>394</v>
      </c>
      <c r="C745" s="2" t="s">
        <v>1196</v>
      </c>
      <c r="D745" s="8">
        <v>43831</v>
      </c>
      <c r="E745" s="5" t="str">
        <f t="shared" si="132"/>
        <v>Twin Creek Resources, LLC_01-01-20</v>
      </c>
      <c r="F745" s="2" t="s">
        <v>1199</v>
      </c>
      <c r="G745" s="2" t="s">
        <v>1241</v>
      </c>
      <c r="H745" s="2" t="s">
        <v>1220</v>
      </c>
      <c r="I745" s="2" t="s">
        <v>1221</v>
      </c>
      <c r="J745" s="2" t="s">
        <v>1234</v>
      </c>
      <c r="M745" s="5" t="str">
        <f t="shared" si="124"/>
        <v>Mid</v>
      </c>
      <c r="N745" s="5" t="str">
        <f t="shared" si="125"/>
        <v>Tax-Staff-Mid</v>
      </c>
      <c r="O745" s="5" t="str">
        <f t="shared" si="126"/>
        <v>Tax-Reviewer-Mid</v>
      </c>
      <c r="P745" s="5" t="str">
        <f t="shared" si="127"/>
        <v>Tax-Signer-Mid</v>
      </c>
      <c r="Q745" s="6">
        <v>2.7401969696969677</v>
      </c>
      <c r="R745" s="6">
        <v>0.5480393939393936</v>
      </c>
      <c r="S745" s="6">
        <v>0.2740196969696968</v>
      </c>
      <c r="T745" s="7">
        <f t="shared" si="133"/>
        <v>3.562256060606058</v>
      </c>
      <c r="U745" s="6" t="e">
        <f>SUMIFS([1]Sheet1!$L:$L,[1]Sheet1!$I:$I,AJ745,[1]Sheet1!$C:$C,A745)</f>
        <v>#VALUE!</v>
      </c>
      <c r="V745" s="6"/>
      <c r="W745" s="6"/>
      <c r="X745" s="7" t="e">
        <f t="shared" si="128"/>
        <v>#VALUE!</v>
      </c>
      <c r="Y745" s="6"/>
      <c r="AJ745" s="5" t="str">
        <f t="shared" si="134"/>
        <v>NM 1065 - Partnership</v>
      </c>
      <c r="AK745" s="5" t="str">
        <f t="shared" si="129"/>
        <v>NM-Tax Services-ANN-1065 - Partnership_Mid</v>
      </c>
      <c r="AL745" s="5" t="str">
        <f t="shared" si="130"/>
        <v>Twin Cre_1065_82-0844183_NM 1065 - Partnership</v>
      </c>
      <c r="AM745" s="5" t="str">
        <f t="shared" si="131"/>
        <v>Twin Cre_1065_82-0844183_NM-Tax Services-ANN-1065 - Partnership_Mid</v>
      </c>
    </row>
    <row r="746" spans="1:39" x14ac:dyDescent="0.25">
      <c r="A746" s="2" t="s">
        <v>900</v>
      </c>
      <c r="B746" s="2" t="s">
        <v>901</v>
      </c>
      <c r="C746" s="2" t="s">
        <v>1197</v>
      </c>
      <c r="D746" s="8">
        <v>43831</v>
      </c>
      <c r="E746" s="5" t="str">
        <f t="shared" si="132"/>
        <v>Ullmann, Noah_01-01-20</v>
      </c>
      <c r="F746" s="2" t="s">
        <v>1203</v>
      </c>
      <c r="G746" s="2" t="s">
        <v>1241</v>
      </c>
      <c r="H746" s="2" t="s">
        <v>1220</v>
      </c>
      <c r="I746" s="2" t="s">
        <v>1221</v>
      </c>
      <c r="J746" s="2" t="s">
        <v>1234</v>
      </c>
      <c r="M746" s="5" t="str">
        <f t="shared" si="124"/>
        <v>Mid</v>
      </c>
      <c r="N746" s="5" t="str">
        <f t="shared" si="125"/>
        <v>Tax-Staff-Mid</v>
      </c>
      <c r="O746" s="5" t="str">
        <f t="shared" si="126"/>
        <v>Tax-Reviewer-Mid</v>
      </c>
      <c r="P746" s="5" t="str">
        <f t="shared" si="127"/>
        <v>Tax-Signer-Mid</v>
      </c>
      <c r="Q746" s="6">
        <v>2.7401969696969677</v>
      </c>
      <c r="R746" s="6">
        <v>0.5480393939393936</v>
      </c>
      <c r="S746" s="6">
        <v>0.2740196969696968</v>
      </c>
      <c r="T746" s="7">
        <f t="shared" si="133"/>
        <v>3.562256060606058</v>
      </c>
      <c r="U746" s="6" t="e">
        <f>SUMIFS([1]Sheet1!$L:$L,[1]Sheet1!$I:$I,AJ746,[1]Sheet1!$C:$C,A746)</f>
        <v>#VALUE!</v>
      </c>
      <c r="V746" s="6"/>
      <c r="W746" s="6"/>
      <c r="X746" s="7" t="e">
        <f t="shared" si="128"/>
        <v>#VALUE!</v>
      </c>
      <c r="Y746" s="6"/>
      <c r="AJ746" s="5" t="str">
        <f t="shared" si="134"/>
        <v>MO 1040 - Personal</v>
      </c>
      <c r="AK746" s="5" t="str">
        <f t="shared" si="129"/>
        <v>MO-Tax Services-ANN-1040 - Personal_Mid</v>
      </c>
      <c r="AL746" s="5" t="str">
        <f t="shared" si="130"/>
        <v>Ullman_3167_MO 1040 - Personal</v>
      </c>
      <c r="AM746" s="5" t="str">
        <f t="shared" si="131"/>
        <v>Ullman_3167_MO-Tax Services-ANN-1040 - Personal_Mid</v>
      </c>
    </row>
    <row r="747" spans="1:39" x14ac:dyDescent="0.25">
      <c r="A747" s="2" t="s">
        <v>902</v>
      </c>
      <c r="B747" s="2" t="s">
        <v>903</v>
      </c>
      <c r="C747" s="2" t="s">
        <v>1197</v>
      </c>
      <c r="D747" s="8">
        <v>43831</v>
      </c>
      <c r="E747" s="5" t="str">
        <f t="shared" si="132"/>
        <v>Ungarean, Nate_01-01-20</v>
      </c>
      <c r="F747" s="2" t="s">
        <v>1203</v>
      </c>
      <c r="G747" s="2" t="s">
        <v>1241</v>
      </c>
      <c r="H747" s="2" t="s">
        <v>1220</v>
      </c>
      <c r="I747" s="2" t="s">
        <v>1221</v>
      </c>
      <c r="J747" s="2" t="s">
        <v>1234</v>
      </c>
      <c r="M747" s="5" t="str">
        <f t="shared" si="124"/>
        <v>Mid</v>
      </c>
      <c r="N747" s="5" t="str">
        <f t="shared" si="125"/>
        <v>Tax-Staff-Mid</v>
      </c>
      <c r="O747" s="5" t="str">
        <f t="shared" si="126"/>
        <v>Tax-Reviewer-Mid</v>
      </c>
      <c r="P747" s="5" t="str">
        <f t="shared" si="127"/>
        <v>Tax-Signer-Mid</v>
      </c>
      <c r="Q747" s="6">
        <v>2.7401969696969677</v>
      </c>
      <c r="R747" s="6">
        <v>0.5480393939393936</v>
      </c>
      <c r="S747" s="6">
        <v>0.2740196969696968</v>
      </c>
      <c r="T747" s="7">
        <f t="shared" si="133"/>
        <v>3.562256060606058</v>
      </c>
      <c r="U747" s="6" t="e">
        <f>SUMIFS([1]Sheet1!$L:$L,[1]Sheet1!$I:$I,AJ747,[1]Sheet1!$C:$C,A747)</f>
        <v>#VALUE!</v>
      </c>
      <c r="V747" s="6"/>
      <c r="W747" s="6"/>
      <c r="X747" s="7" t="e">
        <f t="shared" si="128"/>
        <v>#VALUE!</v>
      </c>
      <c r="Y747" s="6"/>
      <c r="AJ747" s="5" t="str">
        <f t="shared" si="134"/>
        <v>MO 1040 - Personal</v>
      </c>
      <c r="AK747" s="5" t="str">
        <f t="shared" si="129"/>
        <v>MO-Tax Services-ANN-1040 - Personal_Mid</v>
      </c>
      <c r="AL747" s="5" t="str">
        <f t="shared" si="130"/>
        <v>Ungare_7452_MO 1040 - Personal</v>
      </c>
      <c r="AM747" s="5" t="str">
        <f t="shared" si="131"/>
        <v>Ungare_7452_MO-Tax Services-ANN-1040 - Personal_Mid</v>
      </c>
    </row>
    <row r="748" spans="1:39" x14ac:dyDescent="0.25">
      <c r="A748" s="2" t="s">
        <v>904</v>
      </c>
      <c r="B748" s="2" t="s">
        <v>905</v>
      </c>
      <c r="C748" s="2" t="s">
        <v>1197</v>
      </c>
      <c r="D748" s="8">
        <v>43831</v>
      </c>
      <c r="E748" s="5" t="str">
        <f t="shared" si="132"/>
        <v>Urbina, Miguel &amp; Caritina_01-01-20</v>
      </c>
      <c r="F748" s="2" t="s">
        <v>1203</v>
      </c>
      <c r="G748" s="2" t="s">
        <v>1241</v>
      </c>
      <c r="H748" s="2" t="s">
        <v>1220</v>
      </c>
      <c r="I748" s="2" t="s">
        <v>1221</v>
      </c>
      <c r="J748" s="2" t="s">
        <v>1234</v>
      </c>
      <c r="M748" s="5" t="str">
        <f t="shared" si="124"/>
        <v>Mid</v>
      </c>
      <c r="N748" s="5" t="str">
        <f t="shared" si="125"/>
        <v>Tax-Staff-Mid</v>
      </c>
      <c r="O748" s="5" t="str">
        <f t="shared" si="126"/>
        <v>Tax-Reviewer-Mid</v>
      </c>
      <c r="P748" s="5" t="str">
        <f t="shared" si="127"/>
        <v>Tax-Signer-Mid</v>
      </c>
      <c r="Q748" s="6">
        <v>2.7401969696969677</v>
      </c>
      <c r="R748" s="6">
        <v>0.5480393939393936</v>
      </c>
      <c r="S748" s="6">
        <v>0.2740196969696968</v>
      </c>
      <c r="T748" s="7">
        <f t="shared" si="133"/>
        <v>3.562256060606058</v>
      </c>
      <c r="U748" s="6" t="e">
        <f>SUMIFS([1]Sheet1!$L:$L,[1]Sheet1!$I:$I,AJ748,[1]Sheet1!$C:$C,A748)</f>
        <v>#VALUE!</v>
      </c>
      <c r="V748" s="6"/>
      <c r="W748" s="6"/>
      <c r="X748" s="7" t="e">
        <f t="shared" si="128"/>
        <v>#VALUE!</v>
      </c>
      <c r="Y748" s="6"/>
      <c r="AJ748" s="5" t="str">
        <f t="shared" si="134"/>
        <v>MO 1040 - Personal</v>
      </c>
      <c r="AK748" s="5" t="str">
        <f t="shared" si="129"/>
        <v>MO-Tax Services-ANN-1040 - Personal_Mid</v>
      </c>
      <c r="AL748" s="5" t="str">
        <f t="shared" si="130"/>
        <v>Urbina_1335_MO 1040 - Personal</v>
      </c>
      <c r="AM748" s="5" t="str">
        <f t="shared" si="131"/>
        <v>Urbina_1335_MO-Tax Services-ANN-1040 - Personal_Mid</v>
      </c>
    </row>
    <row r="749" spans="1:39" x14ac:dyDescent="0.25">
      <c r="A749" s="2" t="s">
        <v>1161</v>
      </c>
      <c r="B749" s="2" t="s">
        <v>1162</v>
      </c>
      <c r="C749" s="2" t="s">
        <v>1196</v>
      </c>
      <c r="D749" s="8">
        <v>43831</v>
      </c>
      <c r="E749" s="5" t="str">
        <f t="shared" si="132"/>
        <v>Urune, Dennis A._01-01-20</v>
      </c>
      <c r="F749" s="2" t="s">
        <v>1203</v>
      </c>
      <c r="G749" s="2" t="s">
        <v>1241</v>
      </c>
      <c r="H749" s="2" t="s">
        <v>1220</v>
      </c>
      <c r="I749" s="2" t="s">
        <v>1221</v>
      </c>
      <c r="J749" s="2" t="s">
        <v>1234</v>
      </c>
      <c r="M749" s="5" t="str">
        <f t="shared" si="124"/>
        <v>Mid</v>
      </c>
      <c r="N749" s="5" t="str">
        <f t="shared" si="125"/>
        <v>Tax-Staff-Mid</v>
      </c>
      <c r="O749" s="5" t="str">
        <f t="shared" si="126"/>
        <v>Tax-Reviewer-Mid</v>
      </c>
      <c r="P749" s="5" t="str">
        <f t="shared" si="127"/>
        <v>Tax-Signer-Mid</v>
      </c>
      <c r="Q749" s="6">
        <v>2.7401969696969677</v>
      </c>
      <c r="R749" s="6">
        <v>0.5480393939393936</v>
      </c>
      <c r="S749" s="6">
        <v>0.2740196969696968</v>
      </c>
      <c r="T749" s="7">
        <f t="shared" si="133"/>
        <v>3.562256060606058</v>
      </c>
      <c r="U749" s="6" t="e">
        <f>SUMIFS([1]Sheet1!$L:$L,[1]Sheet1!$I:$I,AJ749,[1]Sheet1!$C:$C,A749)</f>
        <v>#VALUE!</v>
      </c>
      <c r="V749" s="6"/>
      <c r="W749" s="6"/>
      <c r="X749" s="7" t="e">
        <f t="shared" si="128"/>
        <v>#VALUE!</v>
      </c>
      <c r="Y749" s="6"/>
      <c r="AJ749" s="5" t="str">
        <f t="shared" si="134"/>
        <v>NM 1040 - Personal</v>
      </c>
      <c r="AK749" s="5" t="str">
        <f t="shared" si="129"/>
        <v>NM-Tax Services-ANN-1040 - Personal_Mid</v>
      </c>
      <c r="AL749" s="5" t="str">
        <f t="shared" si="130"/>
        <v>Urune,_2224_NM 1040 - Personal</v>
      </c>
      <c r="AM749" s="5" t="str">
        <f t="shared" si="131"/>
        <v>Urune,_2224_NM-Tax Services-ANN-1040 - Personal_Mid</v>
      </c>
    </row>
    <row r="750" spans="1:39" x14ac:dyDescent="0.25">
      <c r="A750" s="2" t="s">
        <v>1125</v>
      </c>
      <c r="B750" s="2" t="s">
        <v>1126</v>
      </c>
      <c r="C750" s="2" t="s">
        <v>1196</v>
      </c>
      <c r="D750" s="8">
        <v>43831</v>
      </c>
      <c r="E750" s="5" t="str">
        <f t="shared" si="132"/>
        <v>Vawter, Michael R. &amp; Ann T._01-01-20</v>
      </c>
      <c r="F750" s="2" t="s">
        <v>1203</v>
      </c>
      <c r="G750" s="2" t="s">
        <v>1241</v>
      </c>
      <c r="H750" s="2" t="s">
        <v>1220</v>
      </c>
      <c r="I750" s="2" t="s">
        <v>1221</v>
      </c>
      <c r="J750" s="2" t="s">
        <v>1234</v>
      </c>
      <c r="M750" s="5" t="str">
        <f t="shared" si="124"/>
        <v>Mid</v>
      </c>
      <c r="N750" s="5" t="str">
        <f t="shared" si="125"/>
        <v>Tax-Staff-Mid</v>
      </c>
      <c r="O750" s="5" t="str">
        <f t="shared" si="126"/>
        <v>Tax-Reviewer-Mid</v>
      </c>
      <c r="P750" s="5" t="str">
        <f t="shared" si="127"/>
        <v>Tax-Signer-Mid</v>
      </c>
      <c r="Q750" s="6">
        <v>2.7401969696969677</v>
      </c>
      <c r="R750" s="6">
        <v>0.5480393939393936</v>
      </c>
      <c r="S750" s="6">
        <v>0.2740196969696968</v>
      </c>
      <c r="T750" s="7">
        <f t="shared" si="133"/>
        <v>3.562256060606058</v>
      </c>
      <c r="U750" s="6" t="e">
        <f>SUMIFS([1]Sheet1!$L:$L,[1]Sheet1!$I:$I,AJ750,[1]Sheet1!$C:$C,A750)</f>
        <v>#VALUE!</v>
      </c>
      <c r="V750" s="6"/>
      <c r="W750" s="6"/>
      <c r="X750" s="7" t="e">
        <f t="shared" si="128"/>
        <v>#VALUE!</v>
      </c>
      <c r="Y750" s="6"/>
      <c r="AJ750" s="5" t="str">
        <f t="shared" si="134"/>
        <v>NM 1040 - Personal</v>
      </c>
      <c r="AK750" s="5" t="str">
        <f t="shared" si="129"/>
        <v>NM-Tax Services-ANN-1040 - Personal_Mid</v>
      </c>
      <c r="AL750" s="5" t="str">
        <f t="shared" si="130"/>
        <v>Vawter_7171_NM 1040 - Personal</v>
      </c>
      <c r="AM750" s="5" t="str">
        <f t="shared" si="131"/>
        <v>Vawter_7171_NM-Tax Services-ANN-1040 - Personal_Mid</v>
      </c>
    </row>
    <row r="751" spans="1:39" x14ac:dyDescent="0.25">
      <c r="A751" s="2" t="s">
        <v>922</v>
      </c>
      <c r="B751" s="2" t="s">
        <v>923</v>
      </c>
      <c r="C751" s="2" t="s">
        <v>1196</v>
      </c>
      <c r="D751" s="8">
        <v>43831</v>
      </c>
      <c r="E751" s="5" t="str">
        <f t="shared" si="132"/>
        <v>Vepanjeri Muruga, Ravindranath_01-01-20</v>
      </c>
      <c r="F751" s="2" t="s">
        <v>1203</v>
      </c>
      <c r="G751" s="2" t="s">
        <v>1241</v>
      </c>
      <c r="H751" s="2" t="s">
        <v>1220</v>
      </c>
      <c r="I751" s="2" t="s">
        <v>1222</v>
      </c>
      <c r="J751" s="2" t="s">
        <v>1234</v>
      </c>
      <c r="M751" s="5" t="str">
        <f t="shared" si="124"/>
        <v>Adv</v>
      </c>
      <c r="N751" s="5" t="str">
        <f t="shared" si="125"/>
        <v>Tax-Staff-Adv</v>
      </c>
      <c r="O751" s="5" t="str">
        <f t="shared" si="126"/>
        <v>Tax-Reviewer-Adv</v>
      </c>
      <c r="P751" s="5" t="str">
        <f t="shared" si="127"/>
        <v>Tax-Signer-Adv</v>
      </c>
      <c r="Q751" s="6">
        <v>4.5832500000000005</v>
      </c>
      <c r="R751" s="6">
        <v>0.91665000000000019</v>
      </c>
      <c r="S751" s="6">
        <v>0.45832500000000009</v>
      </c>
      <c r="T751" s="7">
        <f t="shared" si="133"/>
        <v>5.9582250000000005</v>
      </c>
      <c r="U751" s="6" t="e">
        <f>SUMIFS([1]Sheet1!$L:$L,[1]Sheet1!$I:$I,AJ751,[1]Sheet1!$C:$C,A751)</f>
        <v>#VALUE!</v>
      </c>
      <c r="V751" s="6"/>
      <c r="W751" s="6"/>
      <c r="X751" s="7" t="e">
        <f t="shared" si="128"/>
        <v>#VALUE!</v>
      </c>
      <c r="Y751" s="6"/>
      <c r="AJ751" s="5" t="str">
        <f t="shared" si="134"/>
        <v>NM 1040 - Personal</v>
      </c>
      <c r="AK751" s="5" t="str">
        <f t="shared" si="129"/>
        <v>NM-Tax Services-ANN-1040 - Personal_Adv</v>
      </c>
      <c r="AL751" s="5" t="str">
        <f t="shared" si="130"/>
        <v>Vepanj_8762_NM 1040 - Personal</v>
      </c>
      <c r="AM751" s="5" t="str">
        <f t="shared" si="131"/>
        <v>Vepanj_8762_NM-Tax Services-ANN-1040 - Personal_Adv</v>
      </c>
    </row>
    <row r="752" spans="1:39" x14ac:dyDescent="0.25">
      <c r="A752" s="2" t="s">
        <v>549</v>
      </c>
      <c r="B752" s="2" t="s">
        <v>550</v>
      </c>
      <c r="C752" s="2" t="s">
        <v>1196</v>
      </c>
      <c r="D752" s="8">
        <v>43831</v>
      </c>
      <c r="E752" s="5" t="str">
        <f t="shared" si="132"/>
        <v>Vexler, Phyllis (Sue)_01-01-20</v>
      </c>
      <c r="F752" s="2" t="s">
        <v>1203</v>
      </c>
      <c r="G752" s="2" t="s">
        <v>1241</v>
      </c>
      <c r="H752" s="2" t="s">
        <v>1220</v>
      </c>
      <c r="I752" s="2" t="s">
        <v>1223</v>
      </c>
      <c r="J752" s="2" t="s">
        <v>1234</v>
      </c>
      <c r="M752" s="5" t="str">
        <f t="shared" si="124"/>
        <v>Basic</v>
      </c>
      <c r="N752" s="5" t="str">
        <f t="shared" si="125"/>
        <v>Tax-Staff-Basic</v>
      </c>
      <c r="O752" s="5" t="str">
        <f t="shared" si="126"/>
        <v>Tax-Reviewer-Basic</v>
      </c>
      <c r="P752" s="5" t="str">
        <f t="shared" si="127"/>
        <v>Tax-Signer-Basic</v>
      </c>
      <c r="Q752" s="6">
        <v>1.4675000000000016</v>
      </c>
      <c r="R752" s="6">
        <v>0.29350000000000032</v>
      </c>
      <c r="S752" s="6">
        <v>0.14675000000000016</v>
      </c>
      <c r="T752" s="7">
        <f t="shared" si="133"/>
        <v>1.9077500000000021</v>
      </c>
      <c r="U752" s="6" t="e">
        <f>SUMIFS([1]Sheet1!$L:$L,[1]Sheet1!$I:$I,AJ752,[1]Sheet1!$C:$C,A752)</f>
        <v>#VALUE!</v>
      </c>
      <c r="V752" s="6"/>
      <c r="W752" s="6"/>
      <c r="X752" s="7" t="e">
        <f t="shared" si="128"/>
        <v>#VALUE!</v>
      </c>
      <c r="Y752" s="6"/>
      <c r="AJ752" s="5" t="str">
        <f t="shared" si="134"/>
        <v>NM 1040 - Personal</v>
      </c>
      <c r="AK752" s="5" t="str">
        <f t="shared" si="129"/>
        <v>NM-Tax Services-ANN-1040 - Personal_Basic</v>
      </c>
      <c r="AL752" s="5" t="str">
        <f t="shared" si="130"/>
        <v>Vexler_4703_NM 1040 - Personal</v>
      </c>
      <c r="AM752" s="5" t="str">
        <f t="shared" si="131"/>
        <v>Vexler_4703_NM-Tax Services-ANN-1040 - Personal_Basic</v>
      </c>
    </row>
    <row r="753" spans="1:39" x14ac:dyDescent="0.25">
      <c r="A753" s="2" t="s">
        <v>906</v>
      </c>
      <c r="B753" s="2" t="s">
        <v>907</v>
      </c>
      <c r="C753" s="2" t="s">
        <v>1197</v>
      </c>
      <c r="D753" s="8">
        <v>43831</v>
      </c>
      <c r="E753" s="5" t="str">
        <f t="shared" si="132"/>
        <v>Vokey, Colby &amp; Cynthia_01-01-20</v>
      </c>
      <c r="F753" s="2" t="s">
        <v>1203</v>
      </c>
      <c r="G753" s="2" t="s">
        <v>1241</v>
      </c>
      <c r="H753" s="2" t="s">
        <v>1220</v>
      </c>
      <c r="I753" s="2" t="s">
        <v>1221</v>
      </c>
      <c r="J753" s="2" t="s">
        <v>1234</v>
      </c>
      <c r="M753" s="5" t="str">
        <f t="shared" si="124"/>
        <v>Mid</v>
      </c>
      <c r="N753" s="5" t="str">
        <f t="shared" si="125"/>
        <v>Tax-Staff-Mid</v>
      </c>
      <c r="O753" s="5" t="str">
        <f t="shared" si="126"/>
        <v>Tax-Reviewer-Mid</v>
      </c>
      <c r="P753" s="5" t="str">
        <f t="shared" si="127"/>
        <v>Tax-Signer-Mid</v>
      </c>
      <c r="Q753" s="6">
        <v>2.7401969696969677</v>
      </c>
      <c r="R753" s="6">
        <v>0.5480393939393936</v>
      </c>
      <c r="S753" s="6">
        <v>0.2740196969696968</v>
      </c>
      <c r="T753" s="7">
        <f t="shared" si="133"/>
        <v>3.562256060606058</v>
      </c>
      <c r="U753" s="6" t="e">
        <f>SUMIFS([1]Sheet1!$L:$L,[1]Sheet1!$I:$I,AJ753,[1]Sheet1!$C:$C,A753)</f>
        <v>#VALUE!</v>
      </c>
      <c r="V753" s="6"/>
      <c r="W753" s="6"/>
      <c r="X753" s="7" t="e">
        <f t="shared" si="128"/>
        <v>#VALUE!</v>
      </c>
      <c r="Y753" s="6"/>
      <c r="AJ753" s="5" t="str">
        <f t="shared" si="134"/>
        <v>MO 1040 - Personal</v>
      </c>
      <c r="AK753" s="5" t="str">
        <f t="shared" si="129"/>
        <v>MO-Tax Services-ANN-1040 - Personal_Mid</v>
      </c>
      <c r="AL753" s="5" t="str">
        <f t="shared" si="130"/>
        <v>Vokey,_0110_MO 1040 - Personal</v>
      </c>
      <c r="AM753" s="5" t="str">
        <f t="shared" si="131"/>
        <v>Vokey,_0110_MO-Tax Services-ANN-1040 - Personal_Mid</v>
      </c>
    </row>
    <row r="754" spans="1:39" x14ac:dyDescent="0.25">
      <c r="A754" s="2" t="s">
        <v>299</v>
      </c>
      <c r="B754" s="2" t="s">
        <v>300</v>
      </c>
      <c r="C754" s="2" t="s">
        <v>1196</v>
      </c>
      <c r="D754" s="8">
        <v>43831</v>
      </c>
      <c r="E754" s="5" t="str">
        <f t="shared" si="132"/>
        <v>W5 Investments_01-01-20</v>
      </c>
      <c r="F754" s="2" t="s">
        <v>1204</v>
      </c>
      <c r="G754" s="2" t="s">
        <v>1241</v>
      </c>
      <c r="H754" s="2" t="s">
        <v>1220</v>
      </c>
      <c r="I754" s="2" t="s">
        <v>1221</v>
      </c>
      <c r="J754" s="2" t="s">
        <v>1234</v>
      </c>
      <c r="M754" s="5" t="str">
        <f t="shared" si="124"/>
        <v>Mid</v>
      </c>
      <c r="N754" s="5" t="str">
        <f t="shared" si="125"/>
        <v>Tax-Staff-Mid</v>
      </c>
      <c r="O754" s="5" t="str">
        <f t="shared" si="126"/>
        <v>Tax-Reviewer-Mid</v>
      </c>
      <c r="P754" s="5" t="str">
        <f t="shared" si="127"/>
        <v>Tax-Signer-Mid</v>
      </c>
      <c r="Q754" s="6">
        <v>2.7401969696969677</v>
      </c>
      <c r="R754" s="6">
        <v>0.5480393939393936</v>
      </c>
      <c r="S754" s="6">
        <v>0.2740196969696968</v>
      </c>
      <c r="T754" s="7">
        <f t="shared" si="133"/>
        <v>3.562256060606058</v>
      </c>
      <c r="U754" s="6" t="e">
        <f>SUMIFS([1]Sheet1!$L:$L,[1]Sheet1!$I:$I,AJ754,[1]Sheet1!$C:$C,A754)</f>
        <v>#VALUE!</v>
      </c>
      <c r="V754" s="6"/>
      <c r="W754" s="6"/>
      <c r="X754" s="7" t="e">
        <f t="shared" si="128"/>
        <v>#VALUE!</v>
      </c>
      <c r="Y754" s="6"/>
      <c r="AJ754" s="5" t="str">
        <f t="shared" si="134"/>
        <v>NM 1120S - S Corporation</v>
      </c>
      <c r="AK754" s="5" t="str">
        <f t="shared" si="129"/>
        <v>NM-Tax Services-ANN-1120S - S Corporation_Mid</v>
      </c>
      <c r="AL754" s="5" t="str">
        <f t="shared" si="130"/>
        <v>W5 Inves_1120S_20-1733363_NM 1120S - S Corporation</v>
      </c>
      <c r="AM754" s="5" t="str">
        <f t="shared" si="131"/>
        <v>W5 Inves_1120S_20-1733363_NM-Tax Services-ANN-1120S - S Corporation_Mid</v>
      </c>
    </row>
    <row r="755" spans="1:39" x14ac:dyDescent="0.25">
      <c r="A755" s="2" t="s">
        <v>299</v>
      </c>
      <c r="B755" s="2" t="s">
        <v>300</v>
      </c>
      <c r="C755" s="2" t="s">
        <v>1196</v>
      </c>
      <c r="D755" s="8">
        <v>43831</v>
      </c>
      <c r="E755" s="5" t="str">
        <f t="shared" si="132"/>
        <v>W5 Investments_01-01-20</v>
      </c>
      <c r="F755" s="2" t="s">
        <v>1200</v>
      </c>
      <c r="G755" s="2" t="s">
        <v>1241</v>
      </c>
      <c r="H755" s="2" t="s">
        <v>1220</v>
      </c>
      <c r="I755" s="2" t="s">
        <v>1223</v>
      </c>
      <c r="J755" s="2" t="s">
        <v>1234</v>
      </c>
      <c r="M755" s="5" t="str">
        <f t="shared" si="124"/>
        <v>Basic</v>
      </c>
      <c r="N755" s="5" t="str">
        <f t="shared" si="125"/>
        <v>Tax-Staff-Basic</v>
      </c>
      <c r="O755" s="5" t="str">
        <f t="shared" si="126"/>
        <v>Tax-Reviewer-Basic</v>
      </c>
      <c r="P755" s="5" t="str">
        <f t="shared" si="127"/>
        <v>Tax-Signer-Basic</v>
      </c>
      <c r="Q755" s="6">
        <v>0.5</v>
      </c>
      <c r="R755" s="6">
        <v>0.1</v>
      </c>
      <c r="S755" s="6">
        <v>0.05</v>
      </c>
      <c r="T755" s="7">
        <f t="shared" si="133"/>
        <v>0.65</v>
      </c>
      <c r="U755" s="6" t="e">
        <f>SUMIFS([1]Sheet1!$L:$L,[1]Sheet1!$I:$I,AJ755,[1]Sheet1!$C:$C,A755)</f>
        <v>#VALUE!</v>
      </c>
      <c r="V755" s="6"/>
      <c r="W755" s="6"/>
      <c r="X755" s="7" t="e">
        <f t="shared" si="128"/>
        <v>#VALUE!</v>
      </c>
      <c r="Y755" s="6"/>
      <c r="AJ755" s="5" t="str">
        <f t="shared" si="134"/>
        <v>NM Texas Franchise Tax Return</v>
      </c>
      <c r="AK755" s="5" t="str">
        <f t="shared" si="129"/>
        <v>NM-Tax Services-ANN-Texas Franchise Tax Return_Basic</v>
      </c>
      <c r="AL755" s="5" t="str">
        <f t="shared" si="130"/>
        <v>W5 Inves_1120S_20-1733363_NM Texas Franchise Tax Return</v>
      </c>
      <c r="AM755" s="5" t="str">
        <f t="shared" si="131"/>
        <v>W5 Inves_1120S_20-1733363_NM-Tax Services-ANN-Texas Franchise Tax Return_Basic</v>
      </c>
    </row>
    <row r="756" spans="1:39" x14ac:dyDescent="0.25">
      <c r="A756" s="2" t="s">
        <v>1012</v>
      </c>
      <c r="B756" s="2" t="s">
        <v>1013</v>
      </c>
      <c r="C756" s="2" t="s">
        <v>1196</v>
      </c>
      <c r="D756" s="8">
        <v>43831</v>
      </c>
      <c r="E756" s="5" t="str">
        <f t="shared" si="132"/>
        <v>Waddelow, David_01-01-20</v>
      </c>
      <c r="F756" s="2" t="s">
        <v>1203</v>
      </c>
      <c r="G756" s="2" t="s">
        <v>1241</v>
      </c>
      <c r="H756" s="2" t="s">
        <v>1220</v>
      </c>
      <c r="I756" s="2" t="s">
        <v>1222</v>
      </c>
      <c r="J756" s="2" t="s">
        <v>1234</v>
      </c>
      <c r="M756" s="5" t="str">
        <f t="shared" si="124"/>
        <v>Adv</v>
      </c>
      <c r="N756" s="5" t="str">
        <f t="shared" si="125"/>
        <v>Tax-Staff-Adv</v>
      </c>
      <c r="O756" s="5" t="str">
        <f t="shared" si="126"/>
        <v>Tax-Reviewer-Adv</v>
      </c>
      <c r="P756" s="5" t="str">
        <f t="shared" si="127"/>
        <v>Tax-Signer-Adv</v>
      </c>
      <c r="Q756" s="6">
        <v>4.5832500000000005</v>
      </c>
      <c r="R756" s="6">
        <v>0.91665000000000019</v>
      </c>
      <c r="S756" s="6">
        <v>0.45832500000000009</v>
      </c>
      <c r="T756" s="7">
        <f t="shared" si="133"/>
        <v>5.9582250000000005</v>
      </c>
      <c r="U756" s="6" t="e">
        <f>SUMIFS([1]Sheet1!$L:$L,[1]Sheet1!$I:$I,AJ756,[1]Sheet1!$C:$C,A756)</f>
        <v>#VALUE!</v>
      </c>
      <c r="V756" s="6"/>
      <c r="W756" s="6"/>
      <c r="X756" s="7" t="e">
        <f t="shared" si="128"/>
        <v>#VALUE!</v>
      </c>
      <c r="Y756" s="6"/>
      <c r="AJ756" s="5" t="str">
        <f t="shared" si="134"/>
        <v>NM 1040 - Personal</v>
      </c>
      <c r="AK756" s="5" t="str">
        <f t="shared" si="129"/>
        <v>NM-Tax Services-ANN-1040 - Personal_Adv</v>
      </c>
      <c r="AL756" s="5" t="str">
        <f t="shared" si="130"/>
        <v>Waddel_0792_NM 1040 - Personal</v>
      </c>
      <c r="AM756" s="5" t="str">
        <f t="shared" si="131"/>
        <v>Waddel_0792_NM-Tax Services-ANN-1040 - Personal_Adv</v>
      </c>
    </row>
    <row r="757" spans="1:39" x14ac:dyDescent="0.25">
      <c r="A757" s="2" t="s">
        <v>908</v>
      </c>
      <c r="B757" s="2" t="s">
        <v>909</v>
      </c>
      <c r="C757" s="2" t="s">
        <v>1197</v>
      </c>
      <c r="D757" s="8">
        <v>43831</v>
      </c>
      <c r="E757" s="5" t="str">
        <f t="shared" si="132"/>
        <v>Wagner, Richard_01-01-20</v>
      </c>
      <c r="F757" s="2" t="s">
        <v>1203</v>
      </c>
      <c r="G757" s="2" t="s">
        <v>1241</v>
      </c>
      <c r="H757" s="2" t="s">
        <v>1220</v>
      </c>
      <c r="I757" s="2" t="s">
        <v>1223</v>
      </c>
      <c r="J757" s="2" t="s">
        <v>1234</v>
      </c>
      <c r="M757" s="5" t="str">
        <f t="shared" si="124"/>
        <v>Basic</v>
      </c>
      <c r="N757" s="5" t="str">
        <f t="shared" si="125"/>
        <v>Tax-Staff-Basic</v>
      </c>
      <c r="O757" s="5" t="str">
        <f t="shared" si="126"/>
        <v>Tax-Reviewer-Basic</v>
      </c>
      <c r="P757" s="5" t="str">
        <f t="shared" si="127"/>
        <v>Tax-Signer-Basic</v>
      </c>
      <c r="Q757" s="6">
        <v>1.4675000000000016</v>
      </c>
      <c r="R757" s="6">
        <v>0.29350000000000032</v>
      </c>
      <c r="S757" s="6">
        <v>0.14675000000000016</v>
      </c>
      <c r="T757" s="7">
        <f t="shared" si="133"/>
        <v>1.9077500000000021</v>
      </c>
      <c r="U757" s="6" t="e">
        <f>SUMIFS([1]Sheet1!$L:$L,[1]Sheet1!$I:$I,AJ757,[1]Sheet1!$C:$C,A757)</f>
        <v>#VALUE!</v>
      </c>
      <c r="V757" s="6"/>
      <c r="W757" s="6"/>
      <c r="X757" s="7" t="e">
        <f t="shared" si="128"/>
        <v>#VALUE!</v>
      </c>
      <c r="Y757" s="6"/>
      <c r="AJ757" s="5" t="str">
        <f t="shared" si="134"/>
        <v>MO 1040 - Personal</v>
      </c>
      <c r="AK757" s="5" t="str">
        <f t="shared" si="129"/>
        <v>MO-Tax Services-ANN-1040 - Personal_Basic</v>
      </c>
      <c r="AL757" s="5" t="str">
        <f t="shared" si="130"/>
        <v>Wagner_0661_MO 1040 - Personal</v>
      </c>
      <c r="AM757" s="5" t="str">
        <f t="shared" si="131"/>
        <v>Wagner_0661_MO-Tax Services-ANN-1040 - Personal_Basic</v>
      </c>
    </row>
    <row r="758" spans="1:39" x14ac:dyDescent="0.25">
      <c r="A758" s="2" t="s">
        <v>910</v>
      </c>
      <c r="B758" s="2" t="s">
        <v>911</v>
      </c>
      <c r="C758" s="2" t="s">
        <v>1197</v>
      </c>
      <c r="D758" s="8">
        <v>43831</v>
      </c>
      <c r="E758" s="5" t="str">
        <f t="shared" si="132"/>
        <v>Walding, John W_01-01-20</v>
      </c>
      <c r="F758" s="2" t="s">
        <v>1203</v>
      </c>
      <c r="G758" s="2" t="s">
        <v>1241</v>
      </c>
      <c r="H758" s="2" t="s">
        <v>1220</v>
      </c>
      <c r="I758" s="2" t="s">
        <v>1221</v>
      </c>
      <c r="J758" s="2" t="s">
        <v>1234</v>
      </c>
      <c r="M758" s="5" t="str">
        <f t="shared" si="124"/>
        <v>Mid</v>
      </c>
      <c r="N758" s="5" t="str">
        <f t="shared" si="125"/>
        <v>Tax-Staff-Mid</v>
      </c>
      <c r="O758" s="5" t="str">
        <f t="shared" si="126"/>
        <v>Tax-Reviewer-Mid</v>
      </c>
      <c r="P758" s="5" t="str">
        <f t="shared" si="127"/>
        <v>Tax-Signer-Mid</v>
      </c>
      <c r="Q758" s="6">
        <v>2.7401969696969677</v>
      </c>
      <c r="R758" s="6">
        <v>0.5480393939393936</v>
      </c>
      <c r="S758" s="6">
        <v>0.2740196969696968</v>
      </c>
      <c r="T758" s="7">
        <f t="shared" si="133"/>
        <v>3.562256060606058</v>
      </c>
      <c r="U758" s="6" t="e">
        <f>SUMIFS([1]Sheet1!$L:$L,[1]Sheet1!$I:$I,AJ758,[1]Sheet1!$C:$C,A758)</f>
        <v>#VALUE!</v>
      </c>
      <c r="V758" s="6"/>
      <c r="W758" s="6"/>
      <c r="X758" s="7" t="e">
        <f t="shared" si="128"/>
        <v>#VALUE!</v>
      </c>
      <c r="Y758" s="6"/>
      <c r="AJ758" s="5" t="str">
        <f t="shared" si="134"/>
        <v>MO 1040 - Personal</v>
      </c>
      <c r="AK758" s="5" t="str">
        <f t="shared" si="129"/>
        <v>MO-Tax Services-ANN-1040 - Personal_Mid</v>
      </c>
      <c r="AL758" s="5" t="str">
        <f t="shared" si="130"/>
        <v>Waldin_9700_MO 1040 - Personal</v>
      </c>
      <c r="AM758" s="5" t="str">
        <f t="shared" si="131"/>
        <v>Waldin_9700_MO-Tax Services-ANN-1040 - Personal_Mid</v>
      </c>
    </row>
    <row r="759" spans="1:39" x14ac:dyDescent="0.25">
      <c r="A759" s="2" t="s">
        <v>1155</v>
      </c>
      <c r="B759" s="2" t="s">
        <v>1156</v>
      </c>
      <c r="C759" s="2" t="s">
        <v>1196</v>
      </c>
      <c r="D759" s="8">
        <v>43831</v>
      </c>
      <c r="E759" s="5" t="str">
        <f t="shared" si="132"/>
        <v>Walsh, Kevin_01-01-20</v>
      </c>
      <c r="F759" s="2" t="s">
        <v>1203</v>
      </c>
      <c r="G759" s="2" t="s">
        <v>1241</v>
      </c>
      <c r="H759" s="2" t="s">
        <v>1220</v>
      </c>
      <c r="I759" s="2" t="s">
        <v>1223</v>
      </c>
      <c r="J759" s="2" t="s">
        <v>1234</v>
      </c>
      <c r="M759" s="5" t="str">
        <f t="shared" si="124"/>
        <v>Basic</v>
      </c>
      <c r="N759" s="5" t="str">
        <f t="shared" si="125"/>
        <v>Tax-Staff-Basic</v>
      </c>
      <c r="O759" s="5" t="str">
        <f t="shared" si="126"/>
        <v>Tax-Reviewer-Basic</v>
      </c>
      <c r="P759" s="5" t="str">
        <f t="shared" si="127"/>
        <v>Tax-Signer-Basic</v>
      </c>
      <c r="Q759" s="6">
        <v>1.4675000000000016</v>
      </c>
      <c r="R759" s="6">
        <v>0.29350000000000032</v>
      </c>
      <c r="S759" s="6">
        <v>0.14675000000000016</v>
      </c>
      <c r="T759" s="7">
        <f t="shared" si="133"/>
        <v>1.9077500000000021</v>
      </c>
      <c r="U759" s="6" t="e">
        <f>SUMIFS([1]Sheet1!$L:$L,[1]Sheet1!$I:$I,AJ759,[1]Sheet1!$C:$C,A759)</f>
        <v>#VALUE!</v>
      </c>
      <c r="V759" s="6"/>
      <c r="W759" s="6"/>
      <c r="X759" s="7" t="e">
        <f t="shared" si="128"/>
        <v>#VALUE!</v>
      </c>
      <c r="Y759" s="6"/>
      <c r="AJ759" s="5" t="str">
        <f t="shared" si="134"/>
        <v>NM 1040 - Personal</v>
      </c>
      <c r="AK759" s="5" t="str">
        <f t="shared" si="129"/>
        <v>NM-Tax Services-ANN-1040 - Personal_Basic</v>
      </c>
      <c r="AL759" s="5" t="str">
        <f t="shared" si="130"/>
        <v>Walsh, K_1040_4986_NM 1040 - Personal</v>
      </c>
      <c r="AM759" s="5" t="str">
        <f t="shared" si="131"/>
        <v>Walsh, K_1040_4986_NM-Tax Services-ANN-1040 - Personal_Basic</v>
      </c>
    </row>
    <row r="760" spans="1:39" x14ac:dyDescent="0.25">
      <c r="A760" s="2" t="s">
        <v>912</v>
      </c>
      <c r="B760" s="2" t="s">
        <v>913</v>
      </c>
      <c r="C760" s="2" t="s">
        <v>1197</v>
      </c>
      <c r="D760" s="8">
        <v>43831</v>
      </c>
      <c r="E760" s="5" t="str">
        <f t="shared" si="132"/>
        <v>Walthall, Chris_01-01-20</v>
      </c>
      <c r="F760" s="2" t="s">
        <v>1203</v>
      </c>
      <c r="G760" s="2" t="s">
        <v>1241</v>
      </c>
      <c r="H760" s="2" t="s">
        <v>1220</v>
      </c>
      <c r="I760" s="2" t="s">
        <v>1223</v>
      </c>
      <c r="J760" s="2" t="s">
        <v>1234</v>
      </c>
      <c r="M760" s="5" t="str">
        <f t="shared" si="124"/>
        <v>Basic</v>
      </c>
      <c r="N760" s="5" t="str">
        <f t="shared" si="125"/>
        <v>Tax-Staff-Basic</v>
      </c>
      <c r="O760" s="5" t="str">
        <f t="shared" si="126"/>
        <v>Tax-Reviewer-Basic</v>
      </c>
      <c r="P760" s="5" t="str">
        <f t="shared" si="127"/>
        <v>Tax-Signer-Basic</v>
      </c>
      <c r="Q760" s="6">
        <v>1.4675000000000016</v>
      </c>
      <c r="R760" s="6">
        <v>0.29350000000000032</v>
      </c>
      <c r="S760" s="6">
        <v>0.14675000000000016</v>
      </c>
      <c r="T760" s="7">
        <f t="shared" si="133"/>
        <v>1.9077500000000021</v>
      </c>
      <c r="U760" s="6" t="e">
        <f>SUMIFS([1]Sheet1!$L:$L,[1]Sheet1!$I:$I,AJ760,[1]Sheet1!$C:$C,A760)</f>
        <v>#VALUE!</v>
      </c>
      <c r="V760" s="6"/>
      <c r="W760" s="6"/>
      <c r="X760" s="7" t="e">
        <f t="shared" si="128"/>
        <v>#VALUE!</v>
      </c>
      <c r="Y760" s="6"/>
      <c r="AJ760" s="5" t="str">
        <f t="shared" si="134"/>
        <v>MO 1040 - Personal</v>
      </c>
      <c r="AK760" s="5" t="str">
        <f t="shared" si="129"/>
        <v>MO-Tax Services-ANN-1040 - Personal_Basic</v>
      </c>
      <c r="AL760" s="5" t="str">
        <f t="shared" si="130"/>
        <v>Waltha_1804_MO 1040 - Personal</v>
      </c>
      <c r="AM760" s="5" t="str">
        <f t="shared" si="131"/>
        <v>Waltha_1804_MO-Tax Services-ANN-1040 - Personal_Basic</v>
      </c>
    </row>
    <row r="761" spans="1:39" x14ac:dyDescent="0.25">
      <c r="A761" s="2" t="s">
        <v>185</v>
      </c>
      <c r="B761" s="2" t="s">
        <v>186</v>
      </c>
      <c r="C761" s="2" t="s">
        <v>1197</v>
      </c>
      <c r="D761" s="8">
        <v>43831</v>
      </c>
      <c r="E761" s="5" t="str">
        <f t="shared" si="132"/>
        <v>Walthal Pest Services_01-01-20</v>
      </c>
      <c r="F761" s="2" t="s">
        <v>1200</v>
      </c>
      <c r="G761" s="2" t="s">
        <v>1241</v>
      </c>
      <c r="H761" s="2" t="s">
        <v>1220</v>
      </c>
      <c r="I761" s="2" t="s">
        <v>1223</v>
      </c>
      <c r="J761" s="2" t="s">
        <v>1234</v>
      </c>
      <c r="M761" s="5" t="str">
        <f t="shared" si="124"/>
        <v>Basic</v>
      </c>
      <c r="N761" s="5" t="str">
        <f t="shared" si="125"/>
        <v>Tax-Staff-Basic</v>
      </c>
      <c r="O761" s="5" t="str">
        <f t="shared" si="126"/>
        <v>Tax-Reviewer-Basic</v>
      </c>
      <c r="P761" s="5" t="str">
        <f t="shared" si="127"/>
        <v>Tax-Signer-Basic</v>
      </c>
      <c r="Q761" s="6">
        <v>0.5</v>
      </c>
      <c r="R761" s="6">
        <v>0.1</v>
      </c>
      <c r="S761" s="6">
        <v>0.05</v>
      </c>
      <c r="T761" s="7">
        <f t="shared" si="133"/>
        <v>0.65</v>
      </c>
      <c r="U761" s="6" t="e">
        <f>SUMIFS([1]Sheet1!$L:$L,[1]Sheet1!$I:$I,AJ761,[1]Sheet1!$C:$C,A761)</f>
        <v>#VALUE!</v>
      </c>
      <c r="V761" s="6"/>
      <c r="W761" s="6"/>
      <c r="X761" s="7" t="e">
        <f t="shared" si="128"/>
        <v>#VALUE!</v>
      </c>
      <c r="Y761" s="6"/>
      <c r="AJ761" s="5" t="str">
        <f t="shared" si="134"/>
        <v>MO Texas Franchise Tax Return</v>
      </c>
      <c r="AK761" s="5" t="str">
        <f t="shared" si="129"/>
        <v>MO-Tax Services-ANN-Texas Franchise Tax Return_Basic</v>
      </c>
      <c r="AL761" s="5" t="str">
        <f t="shared" si="130"/>
        <v>Walthal _1040_1_MO Texas Franchise Tax Return</v>
      </c>
      <c r="AM761" s="5" t="str">
        <f t="shared" si="131"/>
        <v>Walthal _1040_1_MO-Tax Services-ANN-Texas Franchise Tax Return_Basic</v>
      </c>
    </row>
    <row r="762" spans="1:39" x14ac:dyDescent="0.25">
      <c r="A762" s="2" t="s">
        <v>185</v>
      </c>
      <c r="B762" s="2" t="s">
        <v>186</v>
      </c>
      <c r="C762" s="2" t="s">
        <v>1197</v>
      </c>
      <c r="D762" s="8">
        <v>43831</v>
      </c>
      <c r="E762" s="5" t="str">
        <f t="shared" si="132"/>
        <v>Walthal Pest Services_01-01-20</v>
      </c>
      <c r="F762" s="2" t="s">
        <v>1201</v>
      </c>
      <c r="G762" s="2" t="s">
        <v>1201</v>
      </c>
      <c r="H762" s="2" t="s">
        <v>1197</v>
      </c>
      <c r="I762" s="2" t="s">
        <v>1223</v>
      </c>
      <c r="J762" s="2" t="s">
        <v>1235</v>
      </c>
      <c r="M762" s="5" t="str">
        <f t="shared" si="124"/>
        <v>Basic</v>
      </c>
      <c r="N762" s="5" t="str">
        <f t="shared" si="125"/>
        <v>Accountant-Staff-Basic</v>
      </c>
      <c r="O762" s="5" t="str">
        <f t="shared" si="126"/>
        <v>Accountant-Reviewer-Basic</v>
      </c>
      <c r="P762" s="5" t="str">
        <f t="shared" si="127"/>
        <v>Accountant-Signer-Basic</v>
      </c>
      <c r="Q762" s="6">
        <v>1.47</v>
      </c>
      <c r="R762" s="6">
        <v>0.29399999999999998</v>
      </c>
      <c r="S762" s="6">
        <v>0.14699999999999999</v>
      </c>
      <c r="T762" s="7">
        <f t="shared" si="133"/>
        <v>1.911</v>
      </c>
      <c r="U762" s="6" t="e">
        <f>SUMIFS([1]Sheet1!$L:$L,[1]Sheet1!$I:$I,AJ762,[1]Sheet1!$C:$C,A762)</f>
        <v>#VALUE!</v>
      </c>
      <c r="V762" s="6"/>
      <c r="W762" s="6"/>
      <c r="X762" s="7" t="e">
        <f t="shared" si="128"/>
        <v>#VALUE!</v>
      </c>
      <c r="Y762" s="6"/>
      <c r="AJ762" s="5" t="str">
        <f t="shared" si="134"/>
        <v>MO Accounting Services</v>
      </c>
      <c r="AK762" s="5" t="str">
        <f t="shared" si="129"/>
        <v>MO-Accounting Services-MO-Accounting Services_Basic</v>
      </c>
      <c r="AL762" s="5" t="str">
        <f t="shared" si="130"/>
        <v>Walthal _1040_1_MO Accounting Services</v>
      </c>
      <c r="AM762" s="5" t="str">
        <f t="shared" si="131"/>
        <v>Walthal _1040_1_MO-Accounting Services-MO-Accounting Services_Basic</v>
      </c>
    </row>
    <row r="763" spans="1:39" x14ac:dyDescent="0.25">
      <c r="A763" s="2" t="s">
        <v>1022</v>
      </c>
      <c r="B763" s="2" t="s">
        <v>1023</v>
      </c>
      <c r="C763" s="2" t="s">
        <v>1196</v>
      </c>
      <c r="D763" s="8">
        <v>43831</v>
      </c>
      <c r="E763" s="5" t="str">
        <f t="shared" si="132"/>
        <v>Warren, Raymond_01-01-20</v>
      </c>
      <c r="F763" s="2" t="s">
        <v>1203</v>
      </c>
      <c r="G763" s="2" t="s">
        <v>1241</v>
      </c>
      <c r="H763" s="2" t="s">
        <v>1220</v>
      </c>
      <c r="I763" s="2" t="s">
        <v>1223</v>
      </c>
      <c r="J763" s="2" t="s">
        <v>1234</v>
      </c>
      <c r="M763" s="5" t="str">
        <f t="shared" si="124"/>
        <v>Basic</v>
      </c>
      <c r="N763" s="5" t="str">
        <f t="shared" si="125"/>
        <v>Tax-Staff-Basic</v>
      </c>
      <c r="O763" s="5" t="str">
        <f t="shared" si="126"/>
        <v>Tax-Reviewer-Basic</v>
      </c>
      <c r="P763" s="5" t="str">
        <f t="shared" si="127"/>
        <v>Tax-Signer-Basic</v>
      </c>
      <c r="Q763" s="6">
        <v>1.4675000000000016</v>
      </c>
      <c r="R763" s="6">
        <v>0.29350000000000032</v>
      </c>
      <c r="S763" s="6">
        <v>0.14675000000000016</v>
      </c>
      <c r="T763" s="7">
        <f t="shared" si="133"/>
        <v>1.9077500000000021</v>
      </c>
      <c r="U763" s="6" t="e">
        <f>SUMIFS([1]Sheet1!$L:$L,[1]Sheet1!$I:$I,AJ763,[1]Sheet1!$C:$C,A763)</f>
        <v>#VALUE!</v>
      </c>
      <c r="V763" s="6"/>
      <c r="W763" s="6"/>
      <c r="X763" s="7" t="e">
        <f t="shared" si="128"/>
        <v>#VALUE!</v>
      </c>
      <c r="Y763" s="6"/>
      <c r="AJ763" s="5" t="str">
        <f t="shared" si="134"/>
        <v>NM 1040 - Personal</v>
      </c>
      <c r="AK763" s="5" t="str">
        <f t="shared" si="129"/>
        <v>NM-Tax Services-ANN-1040 - Personal_Basic</v>
      </c>
      <c r="AL763" s="5" t="str">
        <f t="shared" si="130"/>
        <v>Warren_1_NM 1040 - Personal</v>
      </c>
      <c r="AM763" s="5" t="str">
        <f t="shared" si="131"/>
        <v>Warren_1_NM-Tax Services-ANN-1040 - Personal_Basic</v>
      </c>
    </row>
    <row r="764" spans="1:39" x14ac:dyDescent="0.25">
      <c r="A764" s="2" t="s">
        <v>1091</v>
      </c>
      <c r="B764" s="2" t="s">
        <v>1092</v>
      </c>
      <c r="C764" s="2" t="s">
        <v>1196</v>
      </c>
      <c r="D764" s="8">
        <v>43831</v>
      </c>
      <c r="E764" s="5" t="str">
        <f t="shared" si="132"/>
        <v>Washa, Kelby_01-01-20</v>
      </c>
      <c r="F764" s="2" t="s">
        <v>1203</v>
      </c>
      <c r="G764" s="2" t="s">
        <v>1241</v>
      </c>
      <c r="H764" s="2" t="s">
        <v>1220</v>
      </c>
      <c r="I764" s="2" t="s">
        <v>1223</v>
      </c>
      <c r="J764" s="2" t="s">
        <v>1234</v>
      </c>
      <c r="M764" s="5" t="str">
        <f t="shared" si="124"/>
        <v>Basic</v>
      </c>
      <c r="N764" s="5" t="str">
        <f t="shared" si="125"/>
        <v>Tax-Staff-Basic</v>
      </c>
      <c r="O764" s="5" t="str">
        <f t="shared" si="126"/>
        <v>Tax-Reviewer-Basic</v>
      </c>
      <c r="P764" s="5" t="str">
        <f t="shared" si="127"/>
        <v>Tax-Signer-Basic</v>
      </c>
      <c r="Q764" s="6">
        <v>1.4675000000000016</v>
      </c>
      <c r="R764" s="6">
        <v>0.29350000000000032</v>
      </c>
      <c r="S764" s="6">
        <v>0.14675000000000016</v>
      </c>
      <c r="T764" s="7">
        <f t="shared" si="133"/>
        <v>1.9077500000000021</v>
      </c>
      <c r="U764" s="6" t="e">
        <f>SUMIFS([1]Sheet1!$L:$L,[1]Sheet1!$I:$I,AJ764,[1]Sheet1!$C:$C,A764)</f>
        <v>#VALUE!</v>
      </c>
      <c r="V764" s="6"/>
      <c r="W764" s="6"/>
      <c r="X764" s="7" t="e">
        <f t="shared" si="128"/>
        <v>#VALUE!</v>
      </c>
      <c r="Y764" s="6"/>
      <c r="AJ764" s="5" t="str">
        <f t="shared" ref="AJ764:AJ788" si="135">C764&amp;" "&amp;F764</f>
        <v>NM 1040 - Personal</v>
      </c>
      <c r="AK764" s="5" t="str">
        <f t="shared" si="129"/>
        <v>NM-Tax Services-ANN-1040 - Personal_Basic</v>
      </c>
      <c r="AL764" s="5" t="str">
        <f t="shared" si="130"/>
        <v>Washa,_4359_NM 1040 - Personal</v>
      </c>
      <c r="AM764" s="5" t="str">
        <f t="shared" si="131"/>
        <v>Washa,_4359_NM-Tax Services-ANN-1040 - Personal_Basic</v>
      </c>
    </row>
    <row r="765" spans="1:39" x14ac:dyDescent="0.25">
      <c r="A765" s="2" t="s">
        <v>1018</v>
      </c>
      <c r="B765" s="2" t="s">
        <v>1019</v>
      </c>
      <c r="C765" s="2" t="s">
        <v>1196</v>
      </c>
      <c r="D765" s="8">
        <v>43831</v>
      </c>
      <c r="E765" s="5" t="str">
        <f t="shared" si="132"/>
        <v>Watson, Ricky_01-01-20</v>
      </c>
      <c r="F765" s="2" t="s">
        <v>1203</v>
      </c>
      <c r="G765" s="2" t="s">
        <v>1241</v>
      </c>
      <c r="H765" s="2" t="s">
        <v>1220</v>
      </c>
      <c r="I765" s="2" t="s">
        <v>1223</v>
      </c>
      <c r="J765" s="2" t="s">
        <v>1234</v>
      </c>
      <c r="M765" s="5" t="str">
        <f t="shared" si="124"/>
        <v>Basic</v>
      </c>
      <c r="N765" s="5" t="str">
        <f t="shared" si="125"/>
        <v>Tax-Staff-Basic</v>
      </c>
      <c r="O765" s="5" t="str">
        <f t="shared" si="126"/>
        <v>Tax-Reviewer-Basic</v>
      </c>
      <c r="P765" s="5" t="str">
        <f t="shared" si="127"/>
        <v>Tax-Signer-Basic</v>
      </c>
      <c r="Q765" s="6">
        <v>1.4675000000000016</v>
      </c>
      <c r="R765" s="6">
        <v>0.29350000000000032</v>
      </c>
      <c r="S765" s="6">
        <v>0.14675000000000016</v>
      </c>
      <c r="T765" s="7">
        <f t="shared" si="133"/>
        <v>1.9077500000000021</v>
      </c>
      <c r="U765" s="6" t="e">
        <f>SUMIFS([1]Sheet1!$L:$L,[1]Sheet1!$I:$I,AJ765,[1]Sheet1!$C:$C,A765)</f>
        <v>#VALUE!</v>
      </c>
      <c r="V765" s="6"/>
      <c r="W765" s="6"/>
      <c r="X765" s="7" t="e">
        <f t="shared" si="128"/>
        <v>#VALUE!</v>
      </c>
      <c r="Y765" s="6"/>
      <c r="AJ765" s="5" t="str">
        <f t="shared" si="135"/>
        <v>NM 1040 - Personal</v>
      </c>
      <c r="AK765" s="5" t="str">
        <f t="shared" si="129"/>
        <v>NM-Tax Services-ANN-1040 - Personal_Basic</v>
      </c>
      <c r="AL765" s="5" t="str">
        <f t="shared" si="130"/>
        <v>Watson_0590_NM 1040 - Personal</v>
      </c>
      <c r="AM765" s="5" t="str">
        <f t="shared" si="131"/>
        <v>Watson_0590_NM-Tax Services-ANN-1040 - Personal_Basic</v>
      </c>
    </row>
    <row r="766" spans="1:39" x14ac:dyDescent="0.25">
      <c r="A766" s="2" t="s">
        <v>1024</v>
      </c>
      <c r="B766" s="2" t="s">
        <v>1025</v>
      </c>
      <c r="C766" s="2" t="s">
        <v>1196</v>
      </c>
      <c r="D766" s="8">
        <v>43831</v>
      </c>
      <c r="E766" s="5" t="str">
        <f t="shared" si="132"/>
        <v>Webb, Elena_01-01-20</v>
      </c>
      <c r="F766" s="2" t="s">
        <v>1203</v>
      </c>
      <c r="G766" s="2" t="s">
        <v>1241</v>
      </c>
      <c r="H766" s="2" t="s">
        <v>1220</v>
      </c>
      <c r="I766" s="2" t="s">
        <v>1223</v>
      </c>
      <c r="J766" s="2" t="s">
        <v>1234</v>
      </c>
      <c r="M766" s="5" t="str">
        <f t="shared" si="124"/>
        <v>Basic</v>
      </c>
      <c r="N766" s="5" t="str">
        <f t="shared" si="125"/>
        <v>Tax-Staff-Basic</v>
      </c>
      <c r="O766" s="5" t="str">
        <f t="shared" si="126"/>
        <v>Tax-Reviewer-Basic</v>
      </c>
      <c r="P766" s="5" t="str">
        <f t="shared" si="127"/>
        <v>Tax-Signer-Basic</v>
      </c>
      <c r="Q766" s="6">
        <v>1.4675000000000016</v>
      </c>
      <c r="R766" s="6">
        <v>0.29350000000000032</v>
      </c>
      <c r="S766" s="6">
        <v>0.14675000000000016</v>
      </c>
      <c r="T766" s="7">
        <f t="shared" si="133"/>
        <v>1.9077500000000021</v>
      </c>
      <c r="U766" s="6" t="e">
        <f>SUMIFS([1]Sheet1!$L:$L,[1]Sheet1!$I:$I,AJ766,[1]Sheet1!$C:$C,A766)</f>
        <v>#VALUE!</v>
      </c>
      <c r="V766" s="6"/>
      <c r="W766" s="6"/>
      <c r="X766" s="7" t="e">
        <f t="shared" si="128"/>
        <v>#VALUE!</v>
      </c>
      <c r="Y766" s="6"/>
      <c r="AJ766" s="5" t="str">
        <f t="shared" si="135"/>
        <v>NM 1040 - Personal</v>
      </c>
      <c r="AK766" s="5" t="str">
        <f t="shared" si="129"/>
        <v>NM-Tax Services-ANN-1040 - Personal_Basic</v>
      </c>
      <c r="AL766" s="5" t="str">
        <f t="shared" si="130"/>
        <v>Webb, _0684_NM 1040 - Personal</v>
      </c>
      <c r="AM766" s="5" t="str">
        <f t="shared" si="131"/>
        <v>Webb, _0684_NM-Tax Services-ANN-1040 - Personal_Basic</v>
      </c>
    </row>
    <row r="767" spans="1:39" x14ac:dyDescent="0.25">
      <c r="A767" s="2" t="s">
        <v>329</v>
      </c>
      <c r="B767" s="2" t="s">
        <v>330</v>
      </c>
      <c r="C767" s="2" t="s">
        <v>1197</v>
      </c>
      <c r="D767" s="8">
        <v>43831</v>
      </c>
      <c r="E767" s="5" t="str">
        <f t="shared" si="132"/>
        <v>Websmith LLC_01-01-20</v>
      </c>
      <c r="F767" s="2" t="s">
        <v>1204</v>
      </c>
      <c r="G767" s="2" t="s">
        <v>1241</v>
      </c>
      <c r="H767" s="2" t="s">
        <v>1220</v>
      </c>
      <c r="I767" s="2" t="s">
        <v>1221</v>
      </c>
      <c r="J767" s="2" t="s">
        <v>1234</v>
      </c>
      <c r="M767" s="5" t="str">
        <f t="shared" si="124"/>
        <v>Mid</v>
      </c>
      <c r="N767" s="5" t="str">
        <f t="shared" si="125"/>
        <v>Tax-Staff-Mid</v>
      </c>
      <c r="O767" s="5" t="str">
        <f t="shared" si="126"/>
        <v>Tax-Reviewer-Mid</v>
      </c>
      <c r="P767" s="5" t="str">
        <f t="shared" si="127"/>
        <v>Tax-Signer-Mid</v>
      </c>
      <c r="Q767" s="6">
        <v>2.7401969696969677</v>
      </c>
      <c r="R767" s="6">
        <v>0.5480393939393936</v>
      </c>
      <c r="S767" s="6">
        <v>0.2740196969696968</v>
      </c>
      <c r="T767" s="7">
        <f t="shared" si="133"/>
        <v>3.562256060606058</v>
      </c>
      <c r="U767" s="6" t="e">
        <f>SUMIFS([1]Sheet1!$L:$L,[1]Sheet1!$I:$I,AJ767,[1]Sheet1!$C:$C,A767)</f>
        <v>#VALUE!</v>
      </c>
      <c r="V767" s="6"/>
      <c r="W767" s="6"/>
      <c r="X767" s="7" t="e">
        <f t="shared" si="128"/>
        <v>#VALUE!</v>
      </c>
      <c r="Y767" s="6"/>
      <c r="AJ767" s="5" t="str">
        <f t="shared" si="135"/>
        <v>MO 1120S - S Corporation</v>
      </c>
      <c r="AK767" s="5" t="str">
        <f t="shared" si="129"/>
        <v>MO-Tax Services-ANN-1120S - S Corporation_Mid</v>
      </c>
      <c r="AL767" s="5" t="str">
        <f t="shared" si="130"/>
        <v>Websmith_1120S_27-2601782_MO 1120S - S Corporation</v>
      </c>
      <c r="AM767" s="5" t="str">
        <f t="shared" si="131"/>
        <v>Websmith_1120S_27-2601782_MO-Tax Services-ANN-1120S - S Corporation_Mid</v>
      </c>
    </row>
    <row r="768" spans="1:39" x14ac:dyDescent="0.25">
      <c r="A768" s="2" t="s">
        <v>329</v>
      </c>
      <c r="B768" s="2" t="s">
        <v>330</v>
      </c>
      <c r="C768" s="2" t="s">
        <v>1197</v>
      </c>
      <c r="D768" s="8">
        <v>43831</v>
      </c>
      <c r="E768" s="5" t="str">
        <f t="shared" si="132"/>
        <v>Websmith LLC_01-01-20</v>
      </c>
      <c r="F768" s="2" t="s">
        <v>1200</v>
      </c>
      <c r="G768" s="2" t="s">
        <v>1241</v>
      </c>
      <c r="H768" s="2" t="s">
        <v>1220</v>
      </c>
      <c r="I768" s="2" t="s">
        <v>1223</v>
      </c>
      <c r="J768" s="2" t="s">
        <v>1234</v>
      </c>
      <c r="M768" s="5" t="str">
        <f t="shared" si="124"/>
        <v>Basic</v>
      </c>
      <c r="N768" s="5" t="str">
        <f t="shared" si="125"/>
        <v>Tax-Staff-Basic</v>
      </c>
      <c r="O768" s="5" t="str">
        <f t="shared" si="126"/>
        <v>Tax-Reviewer-Basic</v>
      </c>
      <c r="P768" s="5" t="str">
        <f t="shared" si="127"/>
        <v>Tax-Signer-Basic</v>
      </c>
      <c r="Q768" s="6">
        <v>0.5</v>
      </c>
      <c r="R768" s="6">
        <v>0.1</v>
      </c>
      <c r="S768" s="6">
        <v>0.05</v>
      </c>
      <c r="T768" s="7">
        <f t="shared" si="133"/>
        <v>0.65</v>
      </c>
      <c r="U768" s="6" t="e">
        <f>SUMIFS([1]Sheet1!$L:$L,[1]Sheet1!$I:$I,AJ768,[1]Sheet1!$C:$C,A768)</f>
        <v>#VALUE!</v>
      </c>
      <c r="V768" s="6"/>
      <c r="W768" s="6"/>
      <c r="X768" s="7" t="e">
        <f t="shared" si="128"/>
        <v>#VALUE!</v>
      </c>
      <c r="Y768" s="6"/>
      <c r="AJ768" s="5" t="str">
        <f t="shared" si="135"/>
        <v>MO Texas Franchise Tax Return</v>
      </c>
      <c r="AK768" s="5" t="str">
        <f t="shared" si="129"/>
        <v>MO-Tax Services-ANN-Texas Franchise Tax Return_Basic</v>
      </c>
      <c r="AL768" s="5" t="str">
        <f t="shared" si="130"/>
        <v>Websmith_1120S_27-2601782_MO Texas Franchise Tax Return</v>
      </c>
      <c r="AM768" s="5" t="str">
        <f t="shared" si="131"/>
        <v>Websmith_1120S_27-2601782_MO-Tax Services-ANN-Texas Franchise Tax Return_Basic</v>
      </c>
    </row>
    <row r="769" spans="1:39" x14ac:dyDescent="0.25">
      <c r="A769" s="2" t="s">
        <v>1038</v>
      </c>
      <c r="B769" s="2" t="s">
        <v>1039</v>
      </c>
      <c r="C769" s="2" t="s">
        <v>1196</v>
      </c>
      <c r="D769" s="8">
        <v>43831</v>
      </c>
      <c r="E769" s="5" t="str">
        <f t="shared" si="132"/>
        <v>Webster, Robert (Bob)_01-01-20</v>
      </c>
      <c r="F769" s="2" t="s">
        <v>1203</v>
      </c>
      <c r="G769" s="2" t="s">
        <v>1241</v>
      </c>
      <c r="H769" s="2" t="s">
        <v>1220</v>
      </c>
      <c r="I769" s="2" t="s">
        <v>1223</v>
      </c>
      <c r="J769" s="2" t="s">
        <v>1234</v>
      </c>
      <c r="M769" s="5" t="str">
        <f t="shared" si="124"/>
        <v>Basic</v>
      </c>
      <c r="N769" s="5" t="str">
        <f t="shared" si="125"/>
        <v>Tax-Staff-Basic</v>
      </c>
      <c r="O769" s="5" t="str">
        <f t="shared" si="126"/>
        <v>Tax-Reviewer-Basic</v>
      </c>
      <c r="P769" s="5" t="str">
        <f t="shared" si="127"/>
        <v>Tax-Signer-Basic</v>
      </c>
      <c r="Q769" s="6">
        <v>1.4675000000000016</v>
      </c>
      <c r="R769" s="6">
        <v>0.29350000000000032</v>
      </c>
      <c r="S769" s="6">
        <v>0.14675000000000016</v>
      </c>
      <c r="T769" s="7">
        <f t="shared" si="133"/>
        <v>1.9077500000000021</v>
      </c>
      <c r="U769" s="6" t="e">
        <f>SUMIFS([1]Sheet1!$L:$L,[1]Sheet1!$I:$I,AJ769,[1]Sheet1!$C:$C,A769)</f>
        <v>#VALUE!</v>
      </c>
      <c r="V769" s="6"/>
      <c r="W769" s="6"/>
      <c r="X769" s="7" t="e">
        <f t="shared" si="128"/>
        <v>#VALUE!</v>
      </c>
      <c r="Y769" s="6"/>
      <c r="AJ769" s="5" t="str">
        <f t="shared" si="135"/>
        <v>NM 1040 - Personal</v>
      </c>
      <c r="AK769" s="5" t="str">
        <f t="shared" si="129"/>
        <v>NM-Tax Services-ANN-1040 - Personal_Basic</v>
      </c>
      <c r="AL769" s="5" t="str">
        <f t="shared" si="130"/>
        <v>Webste_8796_NM 1040 - Personal</v>
      </c>
      <c r="AM769" s="5" t="str">
        <f t="shared" si="131"/>
        <v>Webste_8796_NM-Tax Services-ANN-1040 - Personal_Basic</v>
      </c>
    </row>
    <row r="770" spans="1:39" x14ac:dyDescent="0.25">
      <c r="A770" s="2" t="s">
        <v>301</v>
      </c>
      <c r="B770" s="2" t="s">
        <v>302</v>
      </c>
      <c r="C770" s="2" t="s">
        <v>1196</v>
      </c>
      <c r="D770" s="8">
        <v>43831</v>
      </c>
      <c r="E770" s="5" t="str">
        <f t="shared" si="132"/>
        <v>Weinbach Enterprises, LLC_01-01-20</v>
      </c>
      <c r="F770" s="2" t="s">
        <v>1204</v>
      </c>
      <c r="G770" s="2" t="s">
        <v>1241</v>
      </c>
      <c r="H770" s="2" t="s">
        <v>1220</v>
      </c>
      <c r="I770" s="2" t="s">
        <v>1223</v>
      </c>
      <c r="J770" s="2" t="s">
        <v>1234</v>
      </c>
      <c r="M770" s="5" t="str">
        <f t="shared" ref="M770:M788" si="136">I770</f>
        <v>Basic</v>
      </c>
      <c r="N770" s="5" t="str">
        <f t="shared" ref="N770:N788" si="137">$J770&amp;"-"&amp;"Staff"&amp;"-"&amp;$M770</f>
        <v>Tax-Staff-Basic</v>
      </c>
      <c r="O770" s="5" t="str">
        <f t="shared" ref="O770:O788" si="138">$J770&amp;"-"&amp;"Reviewer"&amp;"-"&amp;$M770</f>
        <v>Tax-Reviewer-Basic</v>
      </c>
      <c r="P770" s="5" t="str">
        <f t="shared" ref="P770:P788" si="139">$J770&amp;"-"&amp;"Signer"&amp;"-"&amp;$M770</f>
        <v>Tax-Signer-Basic</v>
      </c>
      <c r="Q770" s="6">
        <v>1.4675000000000016</v>
      </c>
      <c r="R770" s="6">
        <v>0.29350000000000032</v>
      </c>
      <c r="S770" s="6">
        <v>0.14675000000000016</v>
      </c>
      <c r="T770" s="7">
        <f t="shared" si="133"/>
        <v>1.9077500000000021</v>
      </c>
      <c r="U770" s="6" t="e">
        <f>SUMIFS([1]Sheet1!$L:$L,[1]Sheet1!$I:$I,AJ770,[1]Sheet1!$C:$C,A770)</f>
        <v>#VALUE!</v>
      </c>
      <c r="V770" s="6"/>
      <c r="W770" s="6"/>
      <c r="X770" s="7" t="e">
        <f t="shared" ref="X770:X788" si="140">SUM(U770:W770)</f>
        <v>#VALUE!</v>
      </c>
      <c r="Y770" s="6"/>
      <c r="AJ770" s="5" t="str">
        <f t="shared" si="135"/>
        <v>NM 1120S - S Corporation</v>
      </c>
      <c r="AK770" s="5" t="str">
        <f t="shared" ref="AK770:AK788" si="141">C770&amp;"-"&amp;G770&amp;"-"&amp;H770&amp;"-"&amp;F770&amp;"_"&amp;I770</f>
        <v>NM-Tax Services-ANN-1120S - S Corporation_Basic</v>
      </c>
      <c r="AL770" s="5" t="str">
        <f t="shared" ref="AL770:AL788" si="142">A770&amp;"_"&amp;AJ770</f>
        <v>Weinbach_1120S_81-2918852_NM 1120S - S Corporation</v>
      </c>
      <c r="AM770" s="5" t="str">
        <f t="shared" ref="AM770:AM788" si="143">A770&amp;"_"&amp;AK770</f>
        <v>Weinbach_1120S_81-2918852_NM-Tax Services-ANN-1120S - S Corporation_Basic</v>
      </c>
    </row>
    <row r="771" spans="1:39" x14ac:dyDescent="0.25">
      <c r="A771" s="2" t="s">
        <v>1047</v>
      </c>
      <c r="B771" s="2" t="s">
        <v>1048</v>
      </c>
      <c r="C771" s="2" t="s">
        <v>1196</v>
      </c>
      <c r="D771" s="8">
        <v>43831</v>
      </c>
      <c r="E771" s="5" t="str">
        <f t="shared" ref="E771:E788" si="144">B771&amp;"_"&amp;TEXT(D771,"DD-MM-YY")</f>
        <v>Wetter, Jeffery_01-01-20</v>
      </c>
      <c r="F771" s="2" t="s">
        <v>1203</v>
      </c>
      <c r="G771" s="2" t="s">
        <v>1241</v>
      </c>
      <c r="H771" s="2" t="s">
        <v>1220</v>
      </c>
      <c r="I771" s="2" t="s">
        <v>1221</v>
      </c>
      <c r="J771" s="2" t="s">
        <v>1234</v>
      </c>
      <c r="M771" s="5" t="str">
        <f t="shared" si="136"/>
        <v>Mid</v>
      </c>
      <c r="N771" s="5" t="str">
        <f t="shared" si="137"/>
        <v>Tax-Staff-Mid</v>
      </c>
      <c r="O771" s="5" t="str">
        <f t="shared" si="138"/>
        <v>Tax-Reviewer-Mid</v>
      </c>
      <c r="P771" s="5" t="str">
        <f t="shared" si="139"/>
        <v>Tax-Signer-Mid</v>
      </c>
      <c r="Q771" s="6">
        <v>2.7401969696969677</v>
      </c>
      <c r="R771" s="6">
        <v>0.5480393939393936</v>
      </c>
      <c r="S771" s="6">
        <v>0.2740196969696968</v>
      </c>
      <c r="T771" s="7">
        <f t="shared" ref="T771:T785" si="145">SUM(Q771:S771)</f>
        <v>3.562256060606058</v>
      </c>
      <c r="U771" s="6" t="e">
        <f>SUMIFS([1]Sheet1!$L:$L,[1]Sheet1!$I:$I,AJ771,[1]Sheet1!$C:$C,A771)</f>
        <v>#VALUE!</v>
      </c>
      <c r="V771" s="6"/>
      <c r="W771" s="6"/>
      <c r="X771" s="7" t="e">
        <f t="shared" si="140"/>
        <v>#VALUE!</v>
      </c>
      <c r="Y771" s="6"/>
      <c r="AJ771" s="5" t="str">
        <f t="shared" si="135"/>
        <v>NM 1040 - Personal</v>
      </c>
      <c r="AK771" s="5" t="str">
        <f t="shared" si="141"/>
        <v>NM-Tax Services-ANN-1040 - Personal_Mid</v>
      </c>
      <c r="AL771" s="5" t="str">
        <f t="shared" si="142"/>
        <v>Wetter, _6448_6448_NM 1040 - Personal</v>
      </c>
      <c r="AM771" s="5" t="str">
        <f t="shared" si="143"/>
        <v>Wetter, _6448_6448_NM-Tax Services-ANN-1040 - Personal_Mid</v>
      </c>
    </row>
    <row r="772" spans="1:39" x14ac:dyDescent="0.25">
      <c r="A772" s="2" t="s">
        <v>1067</v>
      </c>
      <c r="B772" s="2" t="s">
        <v>1068</v>
      </c>
      <c r="C772" s="2" t="s">
        <v>1196</v>
      </c>
      <c r="D772" s="8">
        <v>43831</v>
      </c>
      <c r="E772" s="5" t="str">
        <f t="shared" si="144"/>
        <v>Whole Plant Inc_01-01-20</v>
      </c>
      <c r="F772" s="2" t="s">
        <v>1206</v>
      </c>
      <c r="G772" s="2" t="s">
        <v>1241</v>
      </c>
      <c r="H772" s="2" t="s">
        <v>1220</v>
      </c>
      <c r="I772" s="2" t="s">
        <v>1223</v>
      </c>
      <c r="J772" s="2" t="s">
        <v>1234</v>
      </c>
      <c r="M772" s="5" t="str">
        <f t="shared" si="136"/>
        <v>Basic</v>
      </c>
      <c r="N772" s="5" t="str">
        <f t="shared" si="137"/>
        <v>Tax-Staff-Basic</v>
      </c>
      <c r="O772" s="5" t="str">
        <f t="shared" si="138"/>
        <v>Tax-Reviewer-Basic</v>
      </c>
      <c r="P772" s="5" t="str">
        <f t="shared" si="139"/>
        <v>Tax-Signer-Basic</v>
      </c>
      <c r="Q772" s="6">
        <v>1.4675000000000016</v>
      </c>
      <c r="R772" s="6">
        <v>0.29350000000000032</v>
      </c>
      <c r="S772" s="6">
        <v>0.14675000000000016</v>
      </c>
      <c r="T772" s="7">
        <f t="shared" si="145"/>
        <v>1.9077500000000021</v>
      </c>
      <c r="U772" s="6" t="e">
        <f>SUMIFS([1]Sheet1!$L:$L,[1]Sheet1!$I:$I,AJ772,[1]Sheet1!$C:$C,A772)</f>
        <v>#VALUE!</v>
      </c>
      <c r="V772" s="6"/>
      <c r="W772" s="6"/>
      <c r="X772" s="7" t="e">
        <f t="shared" si="140"/>
        <v>#VALUE!</v>
      </c>
      <c r="Y772" s="6"/>
      <c r="AJ772" s="5" t="str">
        <f t="shared" si="135"/>
        <v>NM 1120 - C Corporation</v>
      </c>
      <c r="AK772" s="5" t="str">
        <f t="shared" si="141"/>
        <v>NM-Tax Services-ANN-1120 - C Corporation_Basic</v>
      </c>
      <c r="AL772" s="5" t="str">
        <f t="shared" si="142"/>
        <v>Whole Pl_TBD_1234_NM 1120 - C Corporation</v>
      </c>
      <c r="AM772" s="5" t="str">
        <f t="shared" si="143"/>
        <v>Whole Pl_TBD_1234_NM-Tax Services-ANN-1120 - C Corporation_Basic</v>
      </c>
    </row>
    <row r="773" spans="1:39" x14ac:dyDescent="0.25">
      <c r="A773" s="2" t="s">
        <v>1177</v>
      </c>
      <c r="B773" s="2" t="s">
        <v>1178</v>
      </c>
      <c r="C773" s="2" t="s">
        <v>1196</v>
      </c>
      <c r="D773" s="8">
        <v>43831</v>
      </c>
      <c r="E773" s="5" t="str">
        <f t="shared" si="144"/>
        <v>Wible, Jon_01-01-20</v>
      </c>
      <c r="F773" s="2" t="s">
        <v>1203</v>
      </c>
      <c r="G773" s="2" t="s">
        <v>1241</v>
      </c>
      <c r="H773" s="2" t="s">
        <v>1220</v>
      </c>
      <c r="I773" s="2" t="s">
        <v>1221</v>
      </c>
      <c r="J773" s="2" t="s">
        <v>1234</v>
      </c>
      <c r="M773" s="5" t="str">
        <f t="shared" si="136"/>
        <v>Mid</v>
      </c>
      <c r="N773" s="5" t="str">
        <f t="shared" si="137"/>
        <v>Tax-Staff-Mid</v>
      </c>
      <c r="O773" s="5" t="str">
        <f t="shared" si="138"/>
        <v>Tax-Reviewer-Mid</v>
      </c>
      <c r="P773" s="5" t="str">
        <f t="shared" si="139"/>
        <v>Tax-Signer-Mid</v>
      </c>
      <c r="Q773" s="6">
        <v>2.7401969696969677</v>
      </c>
      <c r="R773" s="6">
        <v>0.5480393939393936</v>
      </c>
      <c r="S773" s="6">
        <v>0.2740196969696968</v>
      </c>
      <c r="T773" s="7">
        <f t="shared" si="145"/>
        <v>3.562256060606058</v>
      </c>
      <c r="U773" s="6" t="e">
        <f>SUMIFS([1]Sheet1!$L:$L,[1]Sheet1!$I:$I,AJ773,[1]Sheet1!$C:$C,A773)</f>
        <v>#VALUE!</v>
      </c>
      <c r="V773" s="6"/>
      <c r="W773" s="6"/>
      <c r="X773" s="7" t="e">
        <f t="shared" si="140"/>
        <v>#VALUE!</v>
      </c>
      <c r="Y773" s="6"/>
      <c r="AJ773" s="5" t="str">
        <f t="shared" si="135"/>
        <v>NM 1040 - Personal</v>
      </c>
      <c r="AK773" s="5" t="str">
        <f t="shared" si="141"/>
        <v>NM-Tax Services-ANN-1040 - Personal_Mid</v>
      </c>
      <c r="AL773" s="5" t="str">
        <f t="shared" si="142"/>
        <v>Wible,_6406_NM 1040 - Personal</v>
      </c>
      <c r="AM773" s="5" t="str">
        <f t="shared" si="143"/>
        <v>Wible,_6406_NM-Tax Services-ANN-1040 - Personal_Mid</v>
      </c>
    </row>
    <row r="774" spans="1:39" x14ac:dyDescent="0.25">
      <c r="A774" s="2" t="s">
        <v>1163</v>
      </c>
      <c r="B774" s="2" t="s">
        <v>1164</v>
      </c>
      <c r="C774" s="2" t="s">
        <v>1196</v>
      </c>
      <c r="D774" s="8">
        <v>43831</v>
      </c>
      <c r="E774" s="5" t="str">
        <f t="shared" si="144"/>
        <v>Widmer, Steven_01-01-20</v>
      </c>
      <c r="F774" s="2" t="s">
        <v>1203</v>
      </c>
      <c r="G774" s="2" t="s">
        <v>1241</v>
      </c>
      <c r="H774" s="2" t="s">
        <v>1220</v>
      </c>
      <c r="I774" s="2" t="s">
        <v>1221</v>
      </c>
      <c r="J774" s="2" t="s">
        <v>1234</v>
      </c>
      <c r="M774" s="5" t="str">
        <f t="shared" si="136"/>
        <v>Mid</v>
      </c>
      <c r="N774" s="5" t="str">
        <f t="shared" si="137"/>
        <v>Tax-Staff-Mid</v>
      </c>
      <c r="O774" s="5" t="str">
        <f t="shared" si="138"/>
        <v>Tax-Reviewer-Mid</v>
      </c>
      <c r="P774" s="5" t="str">
        <f t="shared" si="139"/>
        <v>Tax-Signer-Mid</v>
      </c>
      <c r="Q774" s="6">
        <v>2.7401969696969677</v>
      </c>
      <c r="R774" s="6">
        <v>0.5480393939393936</v>
      </c>
      <c r="S774" s="6">
        <v>0.2740196969696968</v>
      </c>
      <c r="T774" s="7">
        <f t="shared" si="145"/>
        <v>3.562256060606058</v>
      </c>
      <c r="U774" s="6" t="e">
        <f>SUMIFS([1]Sheet1!$L:$L,[1]Sheet1!$I:$I,AJ774,[1]Sheet1!$C:$C,A774)</f>
        <v>#VALUE!</v>
      </c>
      <c r="V774" s="6"/>
      <c r="W774" s="6"/>
      <c r="X774" s="7" t="e">
        <f t="shared" si="140"/>
        <v>#VALUE!</v>
      </c>
      <c r="Y774" s="6"/>
      <c r="AJ774" s="5" t="str">
        <f t="shared" si="135"/>
        <v>NM 1040 - Personal</v>
      </c>
      <c r="AK774" s="5" t="str">
        <f t="shared" si="141"/>
        <v>NM-Tax Services-ANN-1040 - Personal_Mid</v>
      </c>
      <c r="AL774" s="5" t="str">
        <f t="shared" si="142"/>
        <v>Widmer_5020_NM 1040 - Personal</v>
      </c>
      <c r="AM774" s="5" t="str">
        <f t="shared" si="143"/>
        <v>Widmer_5020_NM-Tax Services-ANN-1040 - Personal_Mid</v>
      </c>
    </row>
    <row r="775" spans="1:39" x14ac:dyDescent="0.25">
      <c r="A775" s="2" t="s">
        <v>928</v>
      </c>
      <c r="B775" s="2" t="s">
        <v>929</v>
      </c>
      <c r="C775" s="2" t="s">
        <v>1196</v>
      </c>
      <c r="D775" s="8">
        <v>43831</v>
      </c>
      <c r="E775" s="5" t="str">
        <f t="shared" si="144"/>
        <v>Wiley, Melyssa_01-01-20</v>
      </c>
      <c r="F775" s="2" t="s">
        <v>1203</v>
      </c>
      <c r="G775" s="2" t="s">
        <v>1241</v>
      </c>
      <c r="H775" s="2" t="s">
        <v>1220</v>
      </c>
      <c r="I775" s="2" t="s">
        <v>1223</v>
      </c>
      <c r="J775" s="2" t="s">
        <v>1234</v>
      </c>
      <c r="M775" s="5" t="str">
        <f t="shared" si="136"/>
        <v>Basic</v>
      </c>
      <c r="N775" s="5" t="str">
        <f t="shared" si="137"/>
        <v>Tax-Staff-Basic</v>
      </c>
      <c r="O775" s="5" t="str">
        <f t="shared" si="138"/>
        <v>Tax-Reviewer-Basic</v>
      </c>
      <c r="P775" s="5" t="str">
        <f t="shared" si="139"/>
        <v>Tax-Signer-Basic</v>
      </c>
      <c r="Q775" s="6">
        <v>1.4675000000000016</v>
      </c>
      <c r="R775" s="6">
        <v>0.29350000000000032</v>
      </c>
      <c r="S775" s="6">
        <v>0.14675000000000016</v>
      </c>
      <c r="T775" s="7">
        <f t="shared" si="145"/>
        <v>1.9077500000000021</v>
      </c>
      <c r="U775" s="6" t="e">
        <f>SUMIFS([1]Sheet1!$L:$L,[1]Sheet1!$I:$I,AJ775,[1]Sheet1!$C:$C,A775)</f>
        <v>#VALUE!</v>
      </c>
      <c r="V775" s="6"/>
      <c r="W775" s="6"/>
      <c r="X775" s="7" t="e">
        <f t="shared" si="140"/>
        <v>#VALUE!</v>
      </c>
      <c r="Y775" s="6"/>
      <c r="AJ775" s="5" t="str">
        <f t="shared" si="135"/>
        <v>NM 1040 - Personal</v>
      </c>
      <c r="AK775" s="5" t="str">
        <f t="shared" si="141"/>
        <v>NM-Tax Services-ANN-1040 - Personal_Basic</v>
      </c>
      <c r="AL775" s="5" t="str">
        <f t="shared" si="142"/>
        <v>Wiley,_5166_NM 1040 - Personal</v>
      </c>
      <c r="AM775" s="5" t="str">
        <f t="shared" si="143"/>
        <v>Wiley,_5166_NM-Tax Services-ANN-1040 - Personal_Basic</v>
      </c>
    </row>
    <row r="776" spans="1:39" x14ac:dyDescent="0.25">
      <c r="A776" s="2" t="s">
        <v>409</v>
      </c>
      <c r="B776" s="2" t="s">
        <v>410</v>
      </c>
      <c r="C776" s="2" t="s">
        <v>1197</v>
      </c>
      <c r="D776" s="8">
        <v>43831</v>
      </c>
      <c r="E776" s="5" t="str">
        <f t="shared" si="144"/>
        <v>Windsor Iron and Metal, LLC_01-01-20</v>
      </c>
      <c r="F776" s="2" t="s">
        <v>1199</v>
      </c>
      <c r="G776" s="2" t="s">
        <v>1241</v>
      </c>
      <c r="H776" s="2" t="s">
        <v>1220</v>
      </c>
      <c r="I776" s="2" t="s">
        <v>1223</v>
      </c>
      <c r="J776" s="2" t="s">
        <v>1234</v>
      </c>
      <c r="M776" s="5" t="str">
        <f t="shared" si="136"/>
        <v>Basic</v>
      </c>
      <c r="N776" s="5" t="str">
        <f t="shared" si="137"/>
        <v>Tax-Staff-Basic</v>
      </c>
      <c r="O776" s="5" t="str">
        <f t="shared" si="138"/>
        <v>Tax-Reviewer-Basic</v>
      </c>
      <c r="P776" s="5" t="str">
        <f t="shared" si="139"/>
        <v>Tax-Signer-Basic</v>
      </c>
      <c r="Q776" s="6">
        <v>1.4675000000000016</v>
      </c>
      <c r="R776" s="6">
        <v>0.29350000000000032</v>
      </c>
      <c r="S776" s="6">
        <v>0.14675000000000016</v>
      </c>
      <c r="T776" s="7">
        <f t="shared" si="145"/>
        <v>1.9077500000000021</v>
      </c>
      <c r="U776" s="6" t="e">
        <f>SUMIFS([1]Sheet1!$L:$L,[1]Sheet1!$I:$I,AJ776,[1]Sheet1!$C:$C,A776)</f>
        <v>#VALUE!</v>
      </c>
      <c r="V776" s="6"/>
      <c r="W776" s="6"/>
      <c r="X776" s="7" t="e">
        <f t="shared" si="140"/>
        <v>#VALUE!</v>
      </c>
      <c r="Y776" s="6"/>
      <c r="AJ776" s="5" t="str">
        <f t="shared" si="135"/>
        <v>MO 1065 - Partnership</v>
      </c>
      <c r="AK776" s="5" t="str">
        <f t="shared" si="141"/>
        <v>MO-Tax Services-ANN-1065 - Partnership_Basic</v>
      </c>
      <c r="AL776" s="5" t="str">
        <f t="shared" si="142"/>
        <v>Windsor _1065_27-2287706_MO 1065 - Partnership</v>
      </c>
      <c r="AM776" s="5" t="str">
        <f t="shared" si="143"/>
        <v>Windsor _1065_27-2287706_MO-Tax Services-ANN-1065 - Partnership_Basic</v>
      </c>
    </row>
    <row r="777" spans="1:39" x14ac:dyDescent="0.25">
      <c r="A777" s="2" t="s">
        <v>409</v>
      </c>
      <c r="B777" s="2" t="s">
        <v>410</v>
      </c>
      <c r="C777" s="2" t="s">
        <v>1197</v>
      </c>
      <c r="D777" s="8">
        <v>43831</v>
      </c>
      <c r="E777" s="5" t="str">
        <f t="shared" si="144"/>
        <v>Windsor Iron and Metal, LLC_01-01-20</v>
      </c>
      <c r="F777" s="2" t="s">
        <v>1200</v>
      </c>
      <c r="G777" s="2" t="s">
        <v>1241</v>
      </c>
      <c r="H777" s="2" t="s">
        <v>1220</v>
      </c>
      <c r="I777" s="2" t="s">
        <v>1223</v>
      </c>
      <c r="J777" s="2" t="s">
        <v>1234</v>
      </c>
      <c r="M777" s="5" t="str">
        <f t="shared" si="136"/>
        <v>Basic</v>
      </c>
      <c r="N777" s="5" t="str">
        <f t="shared" si="137"/>
        <v>Tax-Staff-Basic</v>
      </c>
      <c r="O777" s="5" t="str">
        <f t="shared" si="138"/>
        <v>Tax-Reviewer-Basic</v>
      </c>
      <c r="P777" s="5" t="str">
        <f t="shared" si="139"/>
        <v>Tax-Signer-Basic</v>
      </c>
      <c r="Q777" s="6">
        <v>0.5</v>
      </c>
      <c r="R777" s="6">
        <v>0.1</v>
      </c>
      <c r="S777" s="6">
        <v>0.05</v>
      </c>
      <c r="T777" s="7">
        <f t="shared" si="145"/>
        <v>0.65</v>
      </c>
      <c r="U777" s="6" t="e">
        <f>SUMIFS([1]Sheet1!$L:$L,[1]Sheet1!$I:$I,AJ777,[1]Sheet1!$C:$C,A777)</f>
        <v>#VALUE!</v>
      </c>
      <c r="V777" s="6"/>
      <c r="W777" s="6"/>
      <c r="X777" s="7" t="e">
        <f t="shared" si="140"/>
        <v>#VALUE!</v>
      </c>
      <c r="Y777" s="6"/>
      <c r="AJ777" s="5" t="str">
        <f t="shared" si="135"/>
        <v>MO Texas Franchise Tax Return</v>
      </c>
      <c r="AK777" s="5" t="str">
        <f t="shared" si="141"/>
        <v>MO-Tax Services-ANN-Texas Franchise Tax Return_Basic</v>
      </c>
      <c r="AL777" s="5" t="str">
        <f t="shared" si="142"/>
        <v>Windsor _1065_27-2287706_MO Texas Franchise Tax Return</v>
      </c>
      <c r="AM777" s="5" t="str">
        <f t="shared" si="143"/>
        <v>Windsor _1065_27-2287706_MO-Tax Services-ANN-Texas Franchise Tax Return_Basic</v>
      </c>
    </row>
    <row r="778" spans="1:39" x14ac:dyDescent="0.25">
      <c r="A778" s="2" t="s">
        <v>1189</v>
      </c>
      <c r="B778" s="2" t="s">
        <v>1190</v>
      </c>
      <c r="C778" s="2" t="s">
        <v>1196</v>
      </c>
      <c r="D778" s="8">
        <v>43831</v>
      </c>
      <c r="E778" s="5" t="str">
        <f t="shared" si="144"/>
        <v>Wood, Matthew_01-01-20</v>
      </c>
      <c r="F778" s="2" t="s">
        <v>1203</v>
      </c>
      <c r="G778" s="2" t="s">
        <v>1241</v>
      </c>
      <c r="H778" s="2" t="s">
        <v>1220</v>
      </c>
      <c r="I778" s="2" t="s">
        <v>1223</v>
      </c>
      <c r="J778" s="2" t="s">
        <v>1234</v>
      </c>
      <c r="M778" s="5" t="str">
        <f t="shared" si="136"/>
        <v>Basic</v>
      </c>
      <c r="N778" s="5" t="str">
        <f t="shared" si="137"/>
        <v>Tax-Staff-Basic</v>
      </c>
      <c r="O778" s="5" t="str">
        <f t="shared" si="138"/>
        <v>Tax-Reviewer-Basic</v>
      </c>
      <c r="P778" s="5" t="str">
        <f t="shared" si="139"/>
        <v>Tax-Signer-Basic</v>
      </c>
      <c r="Q778" s="6">
        <v>1.4675000000000016</v>
      </c>
      <c r="R778" s="6">
        <v>0.29350000000000032</v>
      </c>
      <c r="S778" s="6">
        <v>0.14675000000000016</v>
      </c>
      <c r="T778" s="7">
        <f t="shared" si="145"/>
        <v>1.9077500000000021</v>
      </c>
      <c r="U778" s="6" t="e">
        <f>SUMIFS([1]Sheet1!$L:$L,[1]Sheet1!$I:$I,AJ778,[1]Sheet1!$C:$C,A778)</f>
        <v>#VALUE!</v>
      </c>
      <c r="V778" s="6"/>
      <c r="W778" s="6"/>
      <c r="X778" s="7" t="e">
        <f t="shared" si="140"/>
        <v>#VALUE!</v>
      </c>
      <c r="Y778" s="6"/>
      <c r="AJ778" s="5" t="str">
        <f t="shared" si="135"/>
        <v>NM 1040 - Personal</v>
      </c>
      <c r="AK778" s="5" t="str">
        <f t="shared" si="141"/>
        <v>NM-Tax Services-ANN-1040 - Personal_Basic</v>
      </c>
      <c r="AL778" s="5" t="str">
        <f t="shared" si="142"/>
        <v>Wood, _1137_NM 1040 - Personal</v>
      </c>
      <c r="AM778" s="5" t="str">
        <f t="shared" si="143"/>
        <v>Wood, _1137_NM-Tax Services-ANN-1040 - Personal_Basic</v>
      </c>
    </row>
    <row r="779" spans="1:39" x14ac:dyDescent="0.25">
      <c r="A779" s="2" t="s">
        <v>972</v>
      </c>
      <c r="B779" s="2" t="s">
        <v>973</v>
      </c>
      <c r="C779" s="2" t="s">
        <v>1196</v>
      </c>
      <c r="D779" s="8">
        <v>43831</v>
      </c>
      <c r="E779" s="5" t="str">
        <f t="shared" si="144"/>
        <v>Woodruff, John_01-01-20</v>
      </c>
      <c r="F779" s="2" t="s">
        <v>1203</v>
      </c>
      <c r="G779" s="2" t="s">
        <v>1241</v>
      </c>
      <c r="H779" s="2" t="s">
        <v>1220</v>
      </c>
      <c r="I779" s="2" t="s">
        <v>1223</v>
      </c>
      <c r="J779" s="2" t="s">
        <v>1234</v>
      </c>
      <c r="M779" s="5" t="str">
        <f t="shared" si="136"/>
        <v>Basic</v>
      </c>
      <c r="N779" s="5" t="str">
        <f t="shared" si="137"/>
        <v>Tax-Staff-Basic</v>
      </c>
      <c r="O779" s="5" t="str">
        <f t="shared" si="138"/>
        <v>Tax-Reviewer-Basic</v>
      </c>
      <c r="P779" s="5" t="str">
        <f t="shared" si="139"/>
        <v>Tax-Signer-Basic</v>
      </c>
      <c r="Q779" s="6">
        <v>1.4675000000000016</v>
      </c>
      <c r="R779" s="6">
        <v>0.29350000000000032</v>
      </c>
      <c r="S779" s="6">
        <v>0.14675000000000016</v>
      </c>
      <c r="T779" s="7">
        <f t="shared" si="145"/>
        <v>1.9077500000000021</v>
      </c>
      <c r="U779" s="6" t="e">
        <f>SUMIFS([1]Sheet1!$L:$L,[1]Sheet1!$I:$I,AJ779,[1]Sheet1!$C:$C,A779)</f>
        <v>#VALUE!</v>
      </c>
      <c r="V779" s="6"/>
      <c r="W779" s="6"/>
      <c r="X779" s="7" t="e">
        <f t="shared" si="140"/>
        <v>#VALUE!</v>
      </c>
      <c r="Y779" s="6"/>
      <c r="AJ779" s="5" t="str">
        <f t="shared" si="135"/>
        <v>NM 1040 - Personal</v>
      </c>
      <c r="AK779" s="5" t="str">
        <f t="shared" si="141"/>
        <v>NM-Tax Services-ANN-1040 - Personal_Basic</v>
      </c>
      <c r="AL779" s="5" t="str">
        <f t="shared" si="142"/>
        <v>Woodruff_7231_1111_NM 1040 - Personal</v>
      </c>
      <c r="AM779" s="5" t="str">
        <f t="shared" si="143"/>
        <v>Woodruff_7231_1111_NM-Tax Services-ANN-1040 - Personal_Basic</v>
      </c>
    </row>
    <row r="780" spans="1:39" x14ac:dyDescent="0.25">
      <c r="A780" s="2" t="s">
        <v>946</v>
      </c>
      <c r="B780" s="2" t="s">
        <v>947</v>
      </c>
      <c r="C780" s="2" t="s">
        <v>1196</v>
      </c>
      <c r="D780" s="8">
        <v>43831</v>
      </c>
      <c r="E780" s="5" t="str">
        <f t="shared" si="144"/>
        <v>Worth, Dana_01-01-20</v>
      </c>
      <c r="F780" s="2" t="s">
        <v>1203</v>
      </c>
      <c r="G780" s="2" t="s">
        <v>1241</v>
      </c>
      <c r="H780" s="2" t="s">
        <v>1220</v>
      </c>
      <c r="I780" s="2" t="s">
        <v>1221</v>
      </c>
      <c r="J780" s="2" t="s">
        <v>1234</v>
      </c>
      <c r="M780" s="5" t="str">
        <f t="shared" si="136"/>
        <v>Mid</v>
      </c>
      <c r="N780" s="5" t="str">
        <f t="shared" si="137"/>
        <v>Tax-Staff-Mid</v>
      </c>
      <c r="O780" s="5" t="str">
        <f t="shared" si="138"/>
        <v>Tax-Reviewer-Mid</v>
      </c>
      <c r="P780" s="5" t="str">
        <f t="shared" si="139"/>
        <v>Tax-Signer-Mid</v>
      </c>
      <c r="Q780" s="6">
        <v>2.7401969696969677</v>
      </c>
      <c r="R780" s="6">
        <v>0.5480393939393936</v>
      </c>
      <c r="S780" s="6">
        <v>0.2740196969696968</v>
      </c>
      <c r="T780" s="7">
        <f t="shared" si="145"/>
        <v>3.562256060606058</v>
      </c>
      <c r="U780" s="6" t="e">
        <f>SUMIFS([1]Sheet1!$L:$L,[1]Sheet1!$I:$I,AJ780,[1]Sheet1!$C:$C,A780)</f>
        <v>#VALUE!</v>
      </c>
      <c r="V780" s="6"/>
      <c r="W780" s="6"/>
      <c r="X780" s="7" t="e">
        <f t="shared" si="140"/>
        <v>#VALUE!</v>
      </c>
      <c r="Y780" s="6"/>
      <c r="AJ780" s="5" t="str">
        <f t="shared" si="135"/>
        <v>NM 1040 - Personal</v>
      </c>
      <c r="AK780" s="5" t="str">
        <f t="shared" si="141"/>
        <v>NM-Tax Services-ANN-1040 - Personal_Mid</v>
      </c>
      <c r="AL780" s="5" t="str">
        <f t="shared" si="142"/>
        <v>Worth,_3549_NM 1040 - Personal</v>
      </c>
      <c r="AM780" s="5" t="str">
        <f t="shared" si="143"/>
        <v>Worth,_3549_NM-Tax Services-ANN-1040 - Personal_Mid</v>
      </c>
    </row>
    <row r="781" spans="1:39" x14ac:dyDescent="0.25">
      <c r="A781" s="2" t="s">
        <v>1071</v>
      </c>
      <c r="B781" s="2" t="s">
        <v>1072</v>
      </c>
      <c r="C781" s="2" t="s">
        <v>1196</v>
      </c>
      <c r="D781" s="8">
        <v>43831</v>
      </c>
      <c r="E781" s="5" t="str">
        <f t="shared" si="144"/>
        <v>Yabuwi Inc_01-01-20</v>
      </c>
      <c r="F781" s="2" t="s">
        <v>1206</v>
      </c>
      <c r="G781" s="2" t="s">
        <v>1241</v>
      </c>
      <c r="H781" s="2" t="s">
        <v>1220</v>
      </c>
      <c r="I781" s="2" t="s">
        <v>1223</v>
      </c>
      <c r="J781" s="2" t="s">
        <v>1234</v>
      </c>
      <c r="M781" s="5" t="str">
        <f t="shared" si="136"/>
        <v>Basic</v>
      </c>
      <c r="N781" s="5" t="str">
        <f t="shared" si="137"/>
        <v>Tax-Staff-Basic</v>
      </c>
      <c r="O781" s="5" t="str">
        <f t="shared" si="138"/>
        <v>Tax-Reviewer-Basic</v>
      </c>
      <c r="P781" s="5" t="str">
        <f t="shared" si="139"/>
        <v>Tax-Signer-Basic</v>
      </c>
      <c r="Q781" s="6">
        <v>1.4675000000000016</v>
      </c>
      <c r="R781" s="6">
        <v>0.29350000000000032</v>
      </c>
      <c r="S781" s="6">
        <v>0.14675000000000016</v>
      </c>
      <c r="T781" s="7">
        <f t="shared" si="145"/>
        <v>1.9077500000000021</v>
      </c>
      <c r="U781" s="6" t="e">
        <f>SUMIFS([1]Sheet1!$L:$L,[1]Sheet1!$I:$I,AJ781,[1]Sheet1!$C:$C,A781)</f>
        <v>#VALUE!</v>
      </c>
      <c r="V781" s="6"/>
      <c r="W781" s="6"/>
      <c r="X781" s="7" t="e">
        <f t="shared" si="140"/>
        <v>#VALUE!</v>
      </c>
      <c r="Y781" s="6"/>
      <c r="AJ781" s="5" t="str">
        <f t="shared" si="135"/>
        <v>NM 1120 - C Corporation</v>
      </c>
      <c r="AK781" s="5" t="str">
        <f t="shared" si="141"/>
        <v>NM-Tax Services-ANN-1120 - C Corporation_Basic</v>
      </c>
      <c r="AL781" s="5" t="str">
        <f t="shared" si="142"/>
        <v>Yabuwi I_TBD_1234_NM 1120 - C Corporation</v>
      </c>
      <c r="AM781" s="5" t="str">
        <f t="shared" si="143"/>
        <v>Yabuwi I_TBD_1234_NM-Tax Services-ANN-1120 - C Corporation_Basic</v>
      </c>
    </row>
    <row r="782" spans="1:39" x14ac:dyDescent="0.25">
      <c r="A782" s="2" t="s">
        <v>1044</v>
      </c>
      <c r="B782" s="2" t="s">
        <v>1045</v>
      </c>
      <c r="C782" s="2" t="s">
        <v>1196</v>
      </c>
      <c r="D782" s="8">
        <v>43831</v>
      </c>
      <c r="E782" s="5" t="str">
        <f t="shared" si="144"/>
        <v>Yeany, Matthew R._01-01-20</v>
      </c>
      <c r="F782" s="2" t="s">
        <v>1203</v>
      </c>
      <c r="G782" s="2" t="s">
        <v>1241</v>
      </c>
      <c r="H782" s="2" t="s">
        <v>1220</v>
      </c>
      <c r="I782" s="2" t="s">
        <v>1223</v>
      </c>
      <c r="J782" s="2" t="s">
        <v>1234</v>
      </c>
      <c r="M782" s="5" t="str">
        <f t="shared" si="136"/>
        <v>Basic</v>
      </c>
      <c r="N782" s="5" t="str">
        <f t="shared" si="137"/>
        <v>Tax-Staff-Basic</v>
      </c>
      <c r="O782" s="5" t="str">
        <f t="shared" si="138"/>
        <v>Tax-Reviewer-Basic</v>
      </c>
      <c r="P782" s="5" t="str">
        <f t="shared" si="139"/>
        <v>Tax-Signer-Basic</v>
      </c>
      <c r="Q782" s="6">
        <v>1.4675000000000016</v>
      </c>
      <c r="R782" s="6">
        <v>0.29350000000000032</v>
      </c>
      <c r="S782" s="6">
        <v>0.14675000000000016</v>
      </c>
      <c r="T782" s="7">
        <f t="shared" si="145"/>
        <v>1.9077500000000021</v>
      </c>
      <c r="U782" s="6" t="e">
        <f>SUMIFS([1]Sheet1!$L:$L,[1]Sheet1!$I:$I,AJ782,[1]Sheet1!$C:$C,A782)</f>
        <v>#VALUE!</v>
      </c>
      <c r="V782" s="6"/>
      <c r="W782" s="6"/>
      <c r="X782" s="7" t="e">
        <f t="shared" si="140"/>
        <v>#VALUE!</v>
      </c>
      <c r="Y782" s="6"/>
      <c r="AJ782" s="5" t="str">
        <f t="shared" si="135"/>
        <v>NM 1040 - Personal</v>
      </c>
      <c r="AK782" s="5" t="str">
        <f t="shared" si="141"/>
        <v>NM-Tax Services-ANN-1040 - Personal_Basic</v>
      </c>
      <c r="AL782" s="5" t="str">
        <f t="shared" si="142"/>
        <v>Yeany,_3044_NM 1040 - Personal</v>
      </c>
      <c r="AM782" s="5" t="str">
        <f t="shared" si="143"/>
        <v>Yeany,_3044_NM-Tax Services-ANN-1040 - Personal_Basic</v>
      </c>
    </row>
    <row r="783" spans="1:39" x14ac:dyDescent="0.25">
      <c r="A783" s="2" t="s">
        <v>914</v>
      </c>
      <c r="B783" s="2" t="s">
        <v>915</v>
      </c>
      <c r="C783" s="2" t="s">
        <v>1197</v>
      </c>
      <c r="D783" s="8">
        <v>43831</v>
      </c>
      <c r="E783" s="5" t="str">
        <f t="shared" si="144"/>
        <v>York, David_01-01-20</v>
      </c>
      <c r="F783" s="2" t="s">
        <v>1203</v>
      </c>
      <c r="G783" s="2" t="s">
        <v>1241</v>
      </c>
      <c r="H783" s="2" t="s">
        <v>1220</v>
      </c>
      <c r="I783" s="2" t="s">
        <v>1221</v>
      </c>
      <c r="J783" s="2" t="s">
        <v>1234</v>
      </c>
      <c r="M783" s="5" t="str">
        <f t="shared" si="136"/>
        <v>Mid</v>
      </c>
      <c r="N783" s="5" t="str">
        <f t="shared" si="137"/>
        <v>Tax-Staff-Mid</v>
      </c>
      <c r="O783" s="5" t="str">
        <f t="shared" si="138"/>
        <v>Tax-Reviewer-Mid</v>
      </c>
      <c r="P783" s="5" t="str">
        <f t="shared" si="139"/>
        <v>Tax-Signer-Mid</v>
      </c>
      <c r="Q783" s="6">
        <v>2.7401969696969677</v>
      </c>
      <c r="R783" s="6">
        <v>0.5480393939393936</v>
      </c>
      <c r="S783" s="6">
        <v>0.2740196969696968</v>
      </c>
      <c r="T783" s="7">
        <f t="shared" si="145"/>
        <v>3.562256060606058</v>
      </c>
      <c r="U783" s="6" t="e">
        <f>SUMIFS([1]Sheet1!$L:$L,[1]Sheet1!$I:$I,AJ783,[1]Sheet1!$C:$C,A783)</f>
        <v>#VALUE!</v>
      </c>
      <c r="V783" s="6"/>
      <c r="W783" s="6"/>
      <c r="X783" s="7" t="e">
        <f t="shared" si="140"/>
        <v>#VALUE!</v>
      </c>
      <c r="Y783" s="6"/>
      <c r="AJ783" s="5" t="str">
        <f t="shared" si="135"/>
        <v>MO 1040 - Personal</v>
      </c>
      <c r="AK783" s="5" t="str">
        <f t="shared" si="141"/>
        <v>MO-Tax Services-ANN-1040 - Personal_Mid</v>
      </c>
      <c r="AL783" s="5" t="str">
        <f t="shared" si="142"/>
        <v>York, _7472_MO 1040 - Personal</v>
      </c>
      <c r="AM783" s="5" t="str">
        <f t="shared" si="143"/>
        <v>York, _7472_MO-Tax Services-ANN-1040 - Personal_Mid</v>
      </c>
    </row>
    <row r="784" spans="1:39" x14ac:dyDescent="0.25">
      <c r="A784" s="2" t="s">
        <v>1107</v>
      </c>
      <c r="B784" s="2" t="s">
        <v>1108</v>
      </c>
      <c r="C784" s="2" t="s">
        <v>1196</v>
      </c>
      <c r="D784" s="8">
        <v>43831</v>
      </c>
      <c r="E784" s="5" t="str">
        <f t="shared" si="144"/>
        <v>Ziesler, Rodger_01-01-20</v>
      </c>
      <c r="F784" s="2" t="s">
        <v>1203</v>
      </c>
      <c r="G784" s="2" t="s">
        <v>1241</v>
      </c>
      <c r="H784" s="2" t="s">
        <v>1220</v>
      </c>
      <c r="I784" s="2" t="s">
        <v>1223</v>
      </c>
      <c r="J784" s="2" t="s">
        <v>1234</v>
      </c>
      <c r="M784" s="5" t="str">
        <f t="shared" si="136"/>
        <v>Basic</v>
      </c>
      <c r="N784" s="5" t="str">
        <f t="shared" si="137"/>
        <v>Tax-Staff-Basic</v>
      </c>
      <c r="O784" s="5" t="str">
        <f t="shared" si="138"/>
        <v>Tax-Reviewer-Basic</v>
      </c>
      <c r="P784" s="5" t="str">
        <f t="shared" si="139"/>
        <v>Tax-Signer-Basic</v>
      </c>
      <c r="Q784" s="6">
        <v>1.4675000000000016</v>
      </c>
      <c r="R784" s="6">
        <v>0.29350000000000032</v>
      </c>
      <c r="S784" s="6">
        <v>0.14675000000000016</v>
      </c>
      <c r="T784" s="7">
        <f t="shared" si="145"/>
        <v>1.9077500000000021</v>
      </c>
      <c r="U784" s="6" t="e">
        <f>SUMIFS([1]Sheet1!$L:$L,[1]Sheet1!$I:$I,AJ784,[1]Sheet1!$C:$C,A784)</f>
        <v>#VALUE!</v>
      </c>
      <c r="V784" s="6"/>
      <c r="W784" s="6"/>
      <c r="X784" s="7" t="e">
        <f t="shared" si="140"/>
        <v>#VALUE!</v>
      </c>
      <c r="Y784" s="6"/>
      <c r="AJ784" s="5" t="str">
        <f t="shared" si="135"/>
        <v>NM 1040 - Personal</v>
      </c>
      <c r="AK784" s="5" t="str">
        <f t="shared" si="141"/>
        <v>NM-Tax Services-ANN-1040 - Personal_Basic</v>
      </c>
      <c r="AL784" s="5" t="str">
        <f t="shared" si="142"/>
        <v>Ziesle_1_NM 1040 - Personal</v>
      </c>
      <c r="AM784" s="5" t="str">
        <f t="shared" si="143"/>
        <v>Ziesle_1_NM-Tax Services-ANN-1040 - Personal_Basic</v>
      </c>
    </row>
    <row r="785" spans="1:39" x14ac:dyDescent="0.25">
      <c r="A785" s="2" t="s">
        <v>1057</v>
      </c>
      <c r="B785" s="2" t="s">
        <v>1058</v>
      </c>
      <c r="C785" s="2" t="s">
        <v>1196</v>
      </c>
      <c r="D785" s="8">
        <v>43831</v>
      </c>
      <c r="E785" s="5" t="str">
        <f t="shared" si="144"/>
        <v>Zubieta, Rosita_01-01-20</v>
      </c>
      <c r="F785" s="2" t="s">
        <v>1203</v>
      </c>
      <c r="G785" s="2" t="s">
        <v>1241</v>
      </c>
      <c r="H785" s="2" t="s">
        <v>1220</v>
      </c>
      <c r="I785" s="2" t="s">
        <v>1223</v>
      </c>
      <c r="J785" s="2" t="s">
        <v>1234</v>
      </c>
      <c r="M785" s="5" t="str">
        <f t="shared" si="136"/>
        <v>Basic</v>
      </c>
      <c r="N785" s="5" t="str">
        <f t="shared" si="137"/>
        <v>Tax-Staff-Basic</v>
      </c>
      <c r="O785" s="5" t="str">
        <f t="shared" si="138"/>
        <v>Tax-Reviewer-Basic</v>
      </c>
      <c r="P785" s="5" t="str">
        <f t="shared" si="139"/>
        <v>Tax-Signer-Basic</v>
      </c>
      <c r="Q785" s="6">
        <v>1.4675000000000016</v>
      </c>
      <c r="R785" s="6">
        <v>0.29350000000000032</v>
      </c>
      <c r="S785" s="6">
        <v>0.14675000000000016</v>
      </c>
      <c r="T785" s="7">
        <f t="shared" si="145"/>
        <v>1.9077500000000021</v>
      </c>
      <c r="U785" s="6" t="e">
        <f>SUMIFS([1]Sheet1!$L:$L,[1]Sheet1!$I:$I,AJ785,[1]Sheet1!$C:$C,A785)</f>
        <v>#VALUE!</v>
      </c>
      <c r="V785" s="6"/>
      <c r="W785" s="6"/>
      <c r="X785" s="7" t="e">
        <f t="shared" si="140"/>
        <v>#VALUE!</v>
      </c>
      <c r="Y785" s="6"/>
      <c r="AJ785" s="5" t="str">
        <f t="shared" si="135"/>
        <v>NM 1040 - Personal</v>
      </c>
      <c r="AK785" s="5" t="str">
        <f t="shared" si="141"/>
        <v>NM-Tax Services-ANN-1040 - Personal_Basic</v>
      </c>
      <c r="AL785" s="5" t="str">
        <f t="shared" si="142"/>
        <v>Zubiet_4797_NM 1040 - Personal</v>
      </c>
      <c r="AM785" s="5" t="str">
        <f t="shared" si="143"/>
        <v>Zubiet_4797_NM-Tax Services-ANN-1040 - Personal_Basic</v>
      </c>
    </row>
    <row r="786" spans="1:39" x14ac:dyDescent="0.25">
      <c r="B786" s="2" t="s">
        <v>18</v>
      </c>
      <c r="C786" s="2" t="s">
        <v>1197</v>
      </c>
      <c r="D786" s="8">
        <v>43831</v>
      </c>
      <c r="E786" s="5" t="str">
        <f t="shared" si="144"/>
        <v>McKee &amp; Associates (American Franchise Finders)_01-01-20</v>
      </c>
      <c r="F786" s="2" t="s">
        <v>1201</v>
      </c>
      <c r="G786" s="2" t="s">
        <v>1201</v>
      </c>
      <c r="H786" s="2" t="s">
        <v>1197</v>
      </c>
      <c r="I786" s="2" t="s">
        <v>1223</v>
      </c>
      <c r="J786" s="2" t="s">
        <v>1235</v>
      </c>
      <c r="M786" s="5" t="str">
        <f t="shared" si="136"/>
        <v>Basic</v>
      </c>
      <c r="N786" s="5" t="str">
        <f t="shared" si="137"/>
        <v>Accountant-Staff-Basic</v>
      </c>
      <c r="O786" s="5" t="str">
        <f t="shared" si="138"/>
        <v>Accountant-Reviewer-Basic</v>
      </c>
      <c r="P786" s="5" t="str">
        <f t="shared" si="139"/>
        <v>Accountant-Signer-Basic</v>
      </c>
      <c r="X786" s="7">
        <f t="shared" si="140"/>
        <v>0</v>
      </c>
      <c r="AJ786" s="5" t="str">
        <f t="shared" si="135"/>
        <v>MO Accounting Services</v>
      </c>
      <c r="AK786" s="5" t="str">
        <f t="shared" si="141"/>
        <v>MO-Accounting Services-MO-Accounting Services_Basic</v>
      </c>
      <c r="AL786" s="5" t="str">
        <f t="shared" si="142"/>
        <v>_MO Accounting Services</v>
      </c>
      <c r="AM786" s="5" t="str">
        <f t="shared" si="143"/>
        <v>_MO-Accounting Services-MO-Accounting Services_Basic</v>
      </c>
    </row>
    <row r="787" spans="1:39" x14ac:dyDescent="0.25">
      <c r="B787" s="2" t="s">
        <v>92</v>
      </c>
      <c r="C787" s="2" t="s">
        <v>1197</v>
      </c>
      <c r="D787" s="8">
        <v>43831</v>
      </c>
      <c r="E787" s="5" t="str">
        <f t="shared" si="144"/>
        <v>Curry, James P_01-01-20</v>
      </c>
      <c r="F787" s="2" t="s">
        <v>1201</v>
      </c>
      <c r="G787" s="2" t="s">
        <v>1201</v>
      </c>
      <c r="H787" s="2" t="s">
        <v>1197</v>
      </c>
      <c r="I787" s="2" t="s">
        <v>1223</v>
      </c>
      <c r="J787" s="2" t="s">
        <v>1235</v>
      </c>
      <c r="M787" s="5" t="str">
        <f t="shared" si="136"/>
        <v>Basic</v>
      </c>
      <c r="N787" s="5" t="str">
        <f t="shared" si="137"/>
        <v>Accountant-Staff-Basic</v>
      </c>
      <c r="O787" s="5" t="str">
        <f t="shared" si="138"/>
        <v>Accountant-Reviewer-Basic</v>
      </c>
      <c r="P787" s="5" t="str">
        <f t="shared" si="139"/>
        <v>Accountant-Signer-Basic</v>
      </c>
      <c r="X787" s="7">
        <f t="shared" si="140"/>
        <v>0</v>
      </c>
      <c r="AJ787" s="5" t="str">
        <f t="shared" si="135"/>
        <v>MO Accounting Services</v>
      </c>
      <c r="AK787" s="5" t="str">
        <f t="shared" si="141"/>
        <v>MO-Accounting Services-MO-Accounting Services_Basic</v>
      </c>
      <c r="AL787" s="5" t="str">
        <f t="shared" si="142"/>
        <v>_MO Accounting Services</v>
      </c>
      <c r="AM787" s="5" t="str">
        <f t="shared" si="143"/>
        <v>_MO-Accounting Services-MO-Accounting Services_Basic</v>
      </c>
    </row>
    <row r="788" spans="1:39" x14ac:dyDescent="0.25">
      <c r="B788" s="2" t="s">
        <v>153</v>
      </c>
      <c r="C788" s="2" t="s">
        <v>1197</v>
      </c>
      <c r="D788" s="8">
        <v>43831</v>
      </c>
      <c r="E788" s="5" t="str">
        <f t="shared" si="144"/>
        <v>Stonebridge Financial_01-01-20</v>
      </c>
      <c r="F788" s="2" t="s">
        <v>1201</v>
      </c>
      <c r="G788" s="2" t="s">
        <v>1201</v>
      </c>
      <c r="H788" s="2" t="s">
        <v>1197</v>
      </c>
      <c r="I788" s="2" t="s">
        <v>1223</v>
      </c>
      <c r="J788" s="2" t="s">
        <v>1235</v>
      </c>
      <c r="M788" s="5" t="str">
        <f t="shared" si="136"/>
        <v>Basic</v>
      </c>
      <c r="N788" s="5" t="str">
        <f t="shared" si="137"/>
        <v>Accountant-Staff-Basic</v>
      </c>
      <c r="O788" s="5" t="str">
        <f t="shared" si="138"/>
        <v>Accountant-Reviewer-Basic</v>
      </c>
      <c r="P788" s="5" t="str">
        <f t="shared" si="139"/>
        <v>Accountant-Signer-Basic</v>
      </c>
      <c r="X788" s="7">
        <f t="shared" si="140"/>
        <v>0</v>
      </c>
      <c r="AJ788" s="5" t="str">
        <f t="shared" si="135"/>
        <v>MO Accounting Services</v>
      </c>
      <c r="AK788" s="5" t="str">
        <f t="shared" si="141"/>
        <v>MO-Accounting Services-MO-Accounting Services_Basic</v>
      </c>
      <c r="AL788" s="5" t="str">
        <f t="shared" si="142"/>
        <v>_MO Accounting Services</v>
      </c>
      <c r="AM788" s="5" t="str">
        <f t="shared" si="143"/>
        <v>_MO-Accounting Services-MO-Accounting Services_Basic</v>
      </c>
    </row>
  </sheetData>
  <autoFilter ref="A1:AE788" xr:uid="{BB98E319-2790-49CC-8C62-F3A4E32B1219}"/>
  <conditionalFormatting sqref="AL1:AL788">
    <cfRule type="duplicateValues" dxfId="1" priority="295"/>
  </conditionalFormatting>
  <conditionalFormatting sqref="AM2:AM788">
    <cfRule type="duplicateValues" dxfId="0" priority="293"/>
  </conditionalFormatting>
  <pageMargins left="0.75" right="0.75" top="1" bottom="1" header="0.5" footer="0.5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6441E01EB4A459A23D4C8020B9F4B" ma:contentTypeVersion="11" ma:contentTypeDescription="Create a new document." ma:contentTypeScope="" ma:versionID="31c29da2ab9552ac2de75582ac5ec898">
  <xsd:schema xmlns:xsd="http://www.w3.org/2001/XMLSchema" xmlns:xs="http://www.w3.org/2001/XMLSchema" xmlns:p="http://schemas.microsoft.com/office/2006/metadata/properties" xmlns:ns2="58335eea-d997-45b4-b50e-6aa01b8991f6" xmlns:ns3="3aba8aa3-b794-404c-9c09-25e19428862d" targetNamespace="http://schemas.microsoft.com/office/2006/metadata/properties" ma:root="true" ma:fieldsID="ef61a949199ccdd634df76bf9918f03f" ns2:_="" ns3:_="">
    <xsd:import namespace="58335eea-d997-45b4-b50e-6aa01b8991f6"/>
    <xsd:import namespace="3aba8aa3-b794-404c-9c09-25e194288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35eea-d997-45b4-b50e-6aa01b8991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a8aa3-b794-404c-9c09-25e194288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A41C93-EE37-4BC6-A783-A4F53607F5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56235D-5F51-49EB-92DC-564072E14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35eea-d997-45b4-b50e-6aa01b8991f6"/>
    <ds:schemaRef ds:uri="3aba8aa3-b794-404c-9c09-25e194288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EE60C4-E577-4B65-88CD-897979B4C8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Proposal_Summary</vt:lpstr>
      <vt:lpstr>Proposal_Summary!_FilterDatabase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Callaway</cp:lastModifiedBy>
  <dcterms:created xsi:type="dcterms:W3CDTF">2020-06-12T05:53:33Z</dcterms:created>
  <dcterms:modified xsi:type="dcterms:W3CDTF">2025-07-23T14:02:53Z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0x010100B4B6441E01EB4A459A23D4C8020B9F4B</vt:lpwstr>
  </property>
</Properties>
</file>