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B675E3FD-4F7F-42D8-ACFF-D2FF3B590D3F}" xr6:coauthVersionLast="47" xr6:coauthVersionMax="47" xr10:uidLastSave="{00000000-0000-0000-0000-000000000000}"/>
  <bookViews>
    <workbookView xWindow="-120" yWindow="-120" windowWidth="29040" windowHeight="15720" tabRatio="713" activeTab="2" xr2:uid="{00000000-000D-0000-FFFF-FFFF00000000}"/>
  </bookViews>
  <sheets>
    <sheet name="visual" sheetId="4" r:id="rId1"/>
    <sheet name="data_table" sheetId="3" r:id="rId2"/>
    <sheet name="records" sheetId="1" r:id="rId3"/>
    <sheet name="settings" sheetId="2" r:id="rId4"/>
  </sheets>
  <definedNames>
    <definedName name="_xlnm._FilterDatabase" localSheetId="2" hidden="1">records!#REF!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2" i="3"/>
  <c r="C3" i="4"/>
  <c r="B3" i="4"/>
</calcChain>
</file>

<file path=xl/sharedStrings.xml><?xml version="1.0" encoding="utf-8"?>
<sst xmlns="http://schemas.openxmlformats.org/spreadsheetml/2006/main" count="2041" uniqueCount="336">
  <si>
    <t>Client</t>
  </si>
  <si>
    <t>Date</t>
  </si>
  <si>
    <t>Created Date</t>
  </si>
  <si>
    <t>Project</t>
  </si>
  <si>
    <t>Project
Type</t>
  </si>
  <si>
    <t>User</t>
  </si>
  <si>
    <t>Activity</t>
  </si>
  <si>
    <t>Task Code</t>
  </si>
  <si>
    <t>Description</t>
  </si>
  <si>
    <t>Billable
Time</t>
  </si>
  <si>
    <t>Total Time</t>
  </si>
  <si>
    <t>Hourly Rate</t>
  </si>
  <si>
    <t>Billable Amt</t>
  </si>
  <si>
    <t>null</t>
  </si>
  <si>
    <t>Internal Time</t>
  </si>
  <si>
    <t xml:space="preserve"> </t>
  </si>
  <si>
    <t>Kyle Callaway</t>
  </si>
  <si>
    <t>Administration</t>
  </si>
  <si>
    <t>Time entry recon / clients/projects tie out. Discuss with admins about process for adding new clients and how to keep track.</t>
  </si>
  <si>
    <t>N</t>
  </si>
  <si>
    <t>$0.00/hr</t>
  </si>
  <si>
    <t>Reviewing list of Josh owner only payrolls to determine available projects and work currently available. Meeting with Josh to discuss projects.</t>
  </si>
  <si>
    <t>WolfePak Training</t>
  </si>
  <si>
    <t>Questions and documentation of processes for TX multi affiliate returns. Upcoming training topics, reviewing notes from tax season to review issues.</t>
  </si>
  <si>
    <t>Meeting/training with Patrick on org charts and relationship to tax returns/entity structure, research on related topics.</t>
  </si>
  <si>
    <t>Running reports in bill4time and file in time.</t>
  </si>
  <si>
    <t>Creating first CaseWare file and project from scratch, going through training manual and new project: REF Neva</t>
  </si>
  <si>
    <t>Email reviews, client reviews, project updates and management.</t>
  </si>
  <si>
    <t>Preparing list of training topics/suggestions for Summar and upcoming trainings in Nov.</t>
  </si>
  <si>
    <t>Training on TX multi state/affiliate reporting.</t>
  </si>
  <si>
    <t>Meeting prep, discussions with Ann RE entity structure, etc... for Same meeting/related.</t>
  </si>
  <si>
    <t>Post meeting follow up/action items review of any/all outstanding items for Gear, review PY child return for impact of potential amendment item (RE 529 plan) and related.</t>
  </si>
  <si>
    <t>Review / clear out client emails and update projects/review lists.</t>
  </si>
  <si>
    <t>Reviewing owner only PR templates for partner review to plan staff training on only owner payroll. Begin training slides and presentation.</t>
  </si>
  <si>
    <t>Review projects/clients/emails and clean up/update lists and remove completed items.</t>
  </si>
  <si>
    <t>Research TX FTR exclusion amounts and proper entry on TX FTR/affiliates.</t>
  </si>
  <si>
    <t>Billing</t>
  </si>
  <si>
    <t>Review / discuss billing issues with admins - REF Derrick Same and related who have not been billed but we already filed/etc... Reviewing list of clients/projects to ensure filed/billed.</t>
  </si>
  <si>
    <t>Firm Meeting</t>
  </si>
  <si>
    <t>Meeting with various partners to discuss training opportunities for staff. Meeting with a few staff members to discuss interest in owner only payroll/tax estimate training.</t>
  </si>
  <si>
    <t>Email/project/client review and update lists.</t>
  </si>
  <si>
    <t>Meetings with Josh and several other check ins and quick meetings with staff/partners.</t>
  </si>
  <si>
    <t>Pulling, reviewing and training on reports from FIT and B4T per Angelina to determine staff availability, utilization and areas available to assign projects.</t>
  </si>
  <si>
    <t>Practice Development</t>
  </si>
  <si>
    <t>Call with Adam Whitten/Cultivate Bookkeeping  - catching up, reviewing new referral/tax opportunity - MOV Aesthectics Med Spa</t>
  </si>
  <si>
    <t>Developing owner only payroll training, researching available templates and putting together agenda.</t>
  </si>
  <si>
    <t>Staff training - Angela - Setup and meet on personal tax estimate projects.</t>
  </si>
  <si>
    <t>Meet with Lindsey and Christine on owner only s corp payroll - review reports, discuss clients and what has been done in the past, get examples for training tomorrow.</t>
  </si>
  <si>
    <t>Email / lots of email traffic and back/forth, document, update lists and clean out. Update list of new clients, prepare list of questions for Josh and other partners.</t>
  </si>
  <si>
    <t>Reviewing HWM services in FIT to determine where owner only payroll/tax estimates fit into the project tracking system, if at all. Compare list from Josh of S Corps to system generated owner payroll projects. Review spreadsheet template from Misty for estimate projects.</t>
  </si>
  <si>
    <t>Owner only payroll training with staff and finalize prep</t>
  </si>
  <si>
    <t>Holiday</t>
  </si>
  <si>
    <t>Thanksgiving holiday</t>
  </si>
  <si>
    <t>PTO</t>
  </si>
  <si>
    <t/>
  </si>
  <si>
    <t>Thanksgiving</t>
  </si>
  <si>
    <t>Closed for Thanksgiving</t>
  </si>
  <si>
    <t>Training staff on s corp tax estimates, reviewing firm templates and spreadsheets/methods.</t>
  </si>
  <si>
    <t>Prepare agenda/update projects and clients for meeting with Josh / meet with Josh/runthrough.</t>
  </si>
  <si>
    <t>Firm wide training with Summar/Spencer - GoSys inputs, Caseware, Misc tax</t>
  </si>
  <si>
    <t>Returning from Thanksgiving / travling.</t>
  </si>
  <si>
    <t>Run through with Josh RE projects, new clients, updates. Prep and meeting time.</t>
  </si>
  <si>
    <t>Review/update projects and new/potential clients list.</t>
  </si>
  <si>
    <t>Creating / sending out project info to staff for assignments, updating lists and emails.</t>
  </si>
  <si>
    <t>Reviewing templates for upcoming training on tax estimate. Staff provided several versions of tax estimate excel templates used for calculating tax estimates. Comparing against each other and with firm doc library to avoid duplicating efforts. Finish follow up items from tax estimate training and who will be assigned projects / setup projects.</t>
  </si>
  <si>
    <t>Cleaning up / organizing lists of clients and projects. Going through email and call list notes, seeing who is in what system and who still needs to be setup and where. Consolidating various duplicated items from lists of clients and projects.</t>
  </si>
  <si>
    <t>Reviewing project lists from FIT and my dashboard, confirming if consulting projects are present in system and updating lists to match. Reviewing list of S Corp's from Josh to see if/how payroll is handled on some example list items to get specific questions / issues to address.</t>
  </si>
  <si>
    <t>Clean up/clear out emails and meeting notes from day/week. Update lists for relevant details.</t>
  </si>
  <si>
    <t xml:space="preserve"> Meeting with Josh to discuss action items / open items from clients/projects list.</t>
  </si>
  <si>
    <t>Project management  - setting up / checking in on projects with staff, updating status and notes.</t>
  </si>
  <si>
    <t>Dealing with lost/stolen phone, replacing phone</t>
  </si>
  <si>
    <t>Billing resolution call with Derrick Same, notes and email updates after call.</t>
  </si>
  <si>
    <t>Sharefile resolution, Sharefile not working, re-setup, test and proceed with client send.</t>
  </si>
  <si>
    <t>Project management - including setup and organize projects and hand off to various staff, go over questions to get staff/projects rolling.</t>
  </si>
  <si>
    <t>Meetings with various staff, reviewing lists of clients and updating status/reports.</t>
  </si>
  <si>
    <t>Resolving issues with phone transition from new back to old. NOTE - I am happy to switch this to PTO if needed, had lots of issues getting everything moved over including work email and client text messages. Please just let me know if I need to update to PTO and I can do so.</t>
  </si>
  <si>
    <t>Updating and comparing different versions of tax estimate spreadsheets - Misty vs firm library, etc... Update and provide to staff for use in projects.</t>
  </si>
  <si>
    <t>Updating calendar and confirming meetings with admins, updating emails/client lists.</t>
  </si>
  <si>
    <t>Going through training materials from training I was unable to attend but some materials provided after.</t>
  </si>
  <si>
    <t>Call with Josh Vinyard RE expanding our services for Prius Intelli to include aspects of accounting/bookkeeping, gaining access to QBO.</t>
  </si>
  <si>
    <t>Re-setup sharefile and send draft returns for Jim Eagle and Brandon Gill via secure email / sharefile.</t>
  </si>
  <si>
    <t>Call with Kaylen / internal staff training RE tax return analysis to help clients understand options and value for services provided.. Prep time and actual call.</t>
  </si>
  <si>
    <t>Development and review of tax estimate spreadsheets to address different scenarios.</t>
  </si>
  <si>
    <t>Client / project management / update lists, clear out emails and connect with various staff members on project status.</t>
  </si>
  <si>
    <t>Gaining access to various firm QBO accounts and training on methods for adding clients by partner.</t>
  </si>
  <si>
    <t>Emails, client one off requests, updating lists.</t>
  </si>
  <si>
    <t>Internal staff training - tax analysis / return analysis and presentation items to clients. Training with Kaylen.</t>
  </si>
  <si>
    <t>Working on quote spreadsheet for capturing Josh V / Prius and future combined tax / accounting / consulting clients. Updating / developing template for return analysis for individuals.</t>
  </si>
  <si>
    <t>Setup / arrange and move to new office, clean up cubical and restore to original.</t>
  </si>
  <si>
    <t>Per Lauren email 10/25/23, firm closed.</t>
  </si>
  <si>
    <t>Per Lauren email 10/25/23</t>
  </si>
  <si>
    <t>COVID-19 Leave of Absence</t>
  </si>
  <si>
    <t>PTO / Covid</t>
  </si>
  <si>
    <t>Half day PTO, fighting covid, up and down with client work an battling sickness.</t>
  </si>
  <si>
    <t>Totals For null</t>
  </si>
  <si>
    <t>Advocate Financial Partners Lonestar LLC</t>
  </si>
  <si>
    <t>Non-Project Related</t>
  </si>
  <si>
    <t>Meeting</t>
  </si>
  <si>
    <t>Meeting prep/call with Ann, initial research prior to meeting, meet with clients.</t>
  </si>
  <si>
    <t>Y</t>
  </si>
  <si>
    <t>$250.00/hr</t>
  </si>
  <si>
    <t>Totals For Advocate Financial Partners Lonestar LLC</t>
  </si>
  <si>
    <t>Barlele LLC</t>
  </si>
  <si>
    <t>1120S</t>
  </si>
  <si>
    <t>TAX</t>
  </si>
  <si>
    <t>Phone Call</t>
  </si>
  <si>
    <t>Call with owner to discuss her questions, tax planning, future of her account, etc... Includes pre meeting planning and note review and post meeting follow ups.</t>
  </si>
  <si>
    <t>Totals For Barlele LLC</t>
  </si>
  <si>
    <t>Black Shoe Investments, LLC</t>
  </si>
  <si>
    <t>TFT</t>
  </si>
  <si>
    <t>Preparation</t>
  </si>
  <si>
    <t>Finalize prep after discussion with Spencer, add new entity, review PY sold entity for follow up action items, compile notes for signer.</t>
  </si>
  <si>
    <t>Totals For Black Shoe Investments, LLC</t>
  </si>
  <si>
    <t>Courtney, Brandon</t>
  </si>
  <si>
    <t>Brandon Courtney - Call RE 2023 tax estimate and planning for entity/related.</t>
  </si>
  <si>
    <t>Totals For Courtney, Brandon</t>
  </si>
  <si>
    <t>CVU, LLC</t>
  </si>
  <si>
    <t>Review</t>
  </si>
  <si>
    <t>Review close out paperwork for final/dissolution of entity with TX.</t>
  </si>
  <si>
    <t>Totals For CVU, LLC</t>
  </si>
  <si>
    <t>Dykstra, Cutter &amp; Sigler, Jamie</t>
  </si>
  <si>
    <t>Prep and draft of NM SOS initial report, send to Josh for confirmation.</t>
  </si>
  <si>
    <t>Totals For Dykstra, Cutter &amp; Sigler, Jamie</t>
  </si>
  <si>
    <t>Eagle, James M</t>
  </si>
  <si>
    <t>Review currently provided tax WP's with preparer, look through client additional PBC and add to tax WP's where applicable. Update/discuss current status with preparer.</t>
  </si>
  <si>
    <t>Call RE 2022 1040 and impact of additional businesses and business expenses. Internal follow up to confirm / research outstanding k1 believed to be prepared by HWM.</t>
  </si>
  <si>
    <t>Finish updates and call client to get final info/go over findings.</t>
  </si>
  <si>
    <t>Totals For Eagle, James M</t>
  </si>
  <si>
    <t>Eddy, Stephen &amp; Beverlee</t>
  </si>
  <si>
    <t>Research</t>
  </si>
  <si>
    <t>Researching sale scenarios and emailing Josh with findings.</t>
  </si>
  <si>
    <t>Totals For Eddy, Stephen &amp; Beverlee</t>
  </si>
  <si>
    <t>Gainey, Collin &amp; Angela</t>
  </si>
  <si>
    <t>Planning</t>
  </si>
  <si>
    <t>Initiate 2023 tax estimate/plan project through questions to signer.</t>
  </si>
  <si>
    <t>2023 tax estimate - review and confirm outstanding items, send email to client with PBC request data.</t>
  </si>
  <si>
    <t>Correspondence</t>
  </si>
  <si>
    <t>Additional info for tax est, collect, evaluate and forward to preparer. Briefly discuss updates and finish out of project.</t>
  </si>
  <si>
    <t>2023 tax estimate, updates and call with client to discuss.</t>
  </si>
  <si>
    <t>Update/finalize 2023 tax estimate based on new info from client.</t>
  </si>
  <si>
    <t>Totals For Gainey, Collin &amp; Angela</t>
  </si>
  <si>
    <t>Gear, Libby L.</t>
  </si>
  <si>
    <t>Researching any outstanding issues to address with other action items / email to Gears.</t>
  </si>
  <si>
    <t>Other</t>
  </si>
  <si>
    <t>Review/pay IRS notice RE 2022 underpayment/penalty. Per Josh, firm will cover since it was our mistake.</t>
  </si>
  <si>
    <t>Totals For Gear, Libby L.</t>
  </si>
  <si>
    <t>Gear, Mary K.</t>
  </si>
  <si>
    <t>Totals For Gear, Mary K.</t>
  </si>
  <si>
    <t>Gear, Wade C. &amp; Katherine G.</t>
  </si>
  <si>
    <t>Research and setup for meeting in house</t>
  </si>
  <si>
    <t>Meeting and follow up notes/related, discussion with Josh and action items.</t>
  </si>
  <si>
    <t>Gear follow up on meeting action items. Daughters/dependent issues - IRS and related.</t>
  </si>
  <si>
    <t>Call with staff member to discuss amended returns from 2020 &amp; 2021 RE NIIT reduction. Reviewing options in GoSys for amended returns since we didn't prepare org returns.</t>
  </si>
  <si>
    <t>Gear meeting prep - final items - Finalize amd return calcs for 2020/2021, respond/updates related to Gear emails, tax estimates research, related.</t>
  </si>
  <si>
    <t>In office meeting with Wade/Kathy to sign amended return and discuss other action items from original list.</t>
  </si>
  <si>
    <t>Totals For Gear, Wade C. &amp; Katherine G.</t>
  </si>
  <si>
    <t>Gill, Brandon &amp; Danielle</t>
  </si>
  <si>
    <t>Call with Brandon Gill RE final changes and suggestions on 2022 1040. Update notes and related.</t>
  </si>
  <si>
    <t>Totals For Gill, Brandon &amp; Danielle</t>
  </si>
  <si>
    <t>Harms, Kristen &amp; Luke</t>
  </si>
  <si>
    <t>Training</t>
  </si>
  <si>
    <t>Training Angela on tax estimates in Go Systems, Harms as example and first project for her.</t>
  </si>
  <si>
    <t>Emails back and forth RE updates for 2023 tax estimate and activity for Kristen's S Corp.</t>
  </si>
  <si>
    <t>Updating 2023 tax estimate/plan for new info/changes from client. Setup meeting to discuss.</t>
  </si>
  <si>
    <t>Updates and client call for 2023 tax estimate.</t>
  </si>
  <si>
    <t>Totals For Harms, Kristen &amp; Luke</t>
  </si>
  <si>
    <t>Harrison, Cole &amp; Eleanor</t>
  </si>
  <si>
    <t>Tax estimate from checkstubs and related info.</t>
  </si>
  <si>
    <t>Re-work tax estimate based on additional information provided and new info, including paystub for spouse.</t>
  </si>
  <si>
    <t>Tax estimate finalize draft and send to Cole, call / follow up about options to make impactful change to tax situation.</t>
  </si>
  <si>
    <t>Final revision to tax estimate 2023</t>
  </si>
  <si>
    <t>Totals For Harrison, Cole &amp; Eleanor</t>
  </si>
  <si>
    <t>Hartman, Jeff &amp; Rebecca</t>
  </si>
  <si>
    <t>Call/email follow up with info on structure changes for attorney, missing info so emailed Jeff to get outstanding items.</t>
  </si>
  <si>
    <t>Totals For Hartman, Jeff &amp; Rebecca</t>
  </si>
  <si>
    <t>Junction Industries LLC</t>
  </si>
  <si>
    <t>Reviewing PY return and history to determine appropriate filing method for CY and formulate proper questions.</t>
  </si>
  <si>
    <t>Finalize prep and consolidate notes for signer.</t>
  </si>
  <si>
    <t>final updates and execution of approved return.</t>
  </si>
  <si>
    <t>Totals For Junction Industries LLC</t>
  </si>
  <si>
    <t>Klaustermeier, Ron</t>
  </si>
  <si>
    <t>Detail review of new/first year client 1040 w/ schedule C and rental property sale. Including back and forth with preparer to clarify various items.</t>
  </si>
  <si>
    <t>Totals For Klaustermeier, Ron</t>
  </si>
  <si>
    <t>Komatsu, Karl &amp; Nancy</t>
  </si>
  <si>
    <t>Email RE out of state payroll per Misty.</t>
  </si>
  <si>
    <t>Totals For Komatsu, Karl &amp; Nancy</t>
  </si>
  <si>
    <t>Komatsu/Rangel, Inc.</t>
  </si>
  <si>
    <t>Consulting</t>
  </si>
  <si>
    <t>Phone call with George and Karl RE finalizing FL payroll setup.</t>
  </si>
  <si>
    <t>Totals For Komatsu/Rangel, Inc.</t>
  </si>
  <si>
    <t>Lux Mentis, Inc.</t>
  </si>
  <si>
    <t>Review ERC info provided by Rich and impact on CY 1120</t>
  </si>
  <si>
    <t>Call state to obtain TX webfile #, efile TX  ftr online</t>
  </si>
  <si>
    <t>Totals For Lux Mentis, Inc.</t>
  </si>
  <si>
    <t>McKeehan, Kenton &amp; Gwen</t>
  </si>
  <si>
    <t>Researching / reviewing 2022 return for RE professional designation options and alternatives. Creating analysis and notes, send to Josh.</t>
  </si>
  <si>
    <t>Discuss changes/return with preparer, review / update and confirm changes with updates to RE prof per Josh and I discussion. Updates to Big V and Hines K1s.</t>
  </si>
  <si>
    <t>Finalize updates from meeting - switch overpayment to refund, update with DD info.</t>
  </si>
  <si>
    <t>Totals For McKeehan, Kenton &amp; Gwen</t>
  </si>
  <si>
    <t>Neva Energy Holdings, LLC</t>
  </si>
  <si>
    <t>Continuing with prep and setup of new entity, looking through WP's to extract PS related items and build PS financials where not available. Send questions to Lindsey.</t>
  </si>
  <si>
    <t>Continue with new ps entity, final items to address on setup, conversation with Josh on open items.</t>
  </si>
  <si>
    <t>Totals For Neva Energy Holdings, LLC</t>
  </si>
  <si>
    <t>Pelican Mineral Partners LLC</t>
  </si>
  <si>
    <t>Reviewing current entity structure per data provided by Jeff. Formulating email / language to pass along to the attorney for updating legal agreements with proposed new structure. Back and forths with Jeff RE desire on how to handle.</t>
  </si>
  <si>
    <t>Call with Jeff to review updated org chart an purpose of each entity / structure. Meeting prep and write up for Jeff.</t>
  </si>
  <si>
    <t>Call with Lee (attorney) and Jeff H about new entity structure. Follow up email/notes.</t>
  </si>
  <si>
    <t>Totals For Pelican Mineral Partners LLC</t>
  </si>
  <si>
    <t>Potential Client</t>
  </si>
  <si>
    <t>Phone call with Claudia RE the calculation walkthrough for Novamed and follow up steps.</t>
  </si>
  <si>
    <t>Referral phone call for Josh REF: Lydia, meeting setup, related</t>
  </si>
  <si>
    <t>Research of NM situation and getting background on Cutter/Sigstar - Ref Josh email 11/3/23.</t>
  </si>
  <si>
    <t>Call/walk through with Claudia Heinritz about 2023 tax est and Novamed.</t>
  </si>
  <si>
    <t>Call with new potential client Lydia</t>
  </si>
  <si>
    <t>New/potential client call and follow up notes/etc REF Jim Elliott</t>
  </si>
  <si>
    <t>New/potential client call and follow up notes/etc REF Amy ? (referral from financial advisor to Josh)</t>
  </si>
  <si>
    <t>Review situation with new client from Spencer REF Mike Parrott, appears new for 2023, identify current docs and what is outstanding/available vs what we need to request to setup, confirm added to project lists, etc...</t>
  </si>
  <si>
    <t>Meeting prep for initial meeting with Brandon Courtney (from Josh)</t>
  </si>
  <si>
    <t>Providing updates related to tax rates and impact of contribution to Claudia Heinritz. Should be part of a separate billable tax estimate engagement.</t>
  </si>
  <si>
    <t>Meeting follow up from Derrick Same, reviewing notes RE his business partner and their new joint entity. Running scenarios and options to present to them.</t>
  </si>
  <si>
    <t>Call with Lydia Wilson (Josh referral), discuss situation, take notes and follow up brief research.</t>
  </si>
  <si>
    <t>Follow ups with multiple potential clients - Amy Watts, Lawson, Jim Elliott</t>
  </si>
  <si>
    <t>Call with Brandon Courtney, review initial docs provided and discuss YOY and next steps.</t>
  </si>
  <si>
    <t>Brandon Gill tax prep, research, analysis. Fed and NY, back and forth with client/signer.</t>
  </si>
  <si>
    <t>Brandon Gill tax prep - Finalize and send to signer, finalize questions with client.</t>
  </si>
  <si>
    <t>Initial conversation/potential new client call - REF Spencer Davis</t>
  </si>
  <si>
    <t>Initial phone call/setup meeting with potential new client Bob Tortorello.</t>
  </si>
  <si>
    <t>New client consultation/meeting with Bob Tortorello. Meeting, follow up and notes.</t>
  </si>
  <si>
    <t>Initial call/setup info for Bryce Cook.</t>
  </si>
  <si>
    <t>Initial meeting with new potential clients Brittany and Amanda of Medspa/referral from Adam Whitten. Meeting, notes, follow up email.</t>
  </si>
  <si>
    <t>Initial conf call / onboard of Bryce Cook, client ended up having to reschedule after we waiting on the conf line for 15-20 min</t>
  </si>
  <si>
    <t>Brandon Courtney - 2023 tax estimate, project setup and notes/details for staff to prepare project.</t>
  </si>
  <si>
    <t>Call with Brittany Collins RE items around emails on 11/29 related to form 2553 and related elections with law firm that set up their business.</t>
  </si>
  <si>
    <t>Bryce Cook - Follow up email RE items needed for 2023 tax est and 2023 tax return.</t>
  </si>
  <si>
    <t>Brandon Courtney - Follow up call to discuss updated info for tax estimate with additional information provided.</t>
  </si>
  <si>
    <t>REF Kyle Watkins / Atlas Installations - Initial call and high level return review/discussion with Nick's new client Atlas.</t>
  </si>
  <si>
    <t>REF Brandon Gill - Updates to Brandon Gill return per discussion on re-assignment of schedule C entities.</t>
  </si>
  <si>
    <t>Call/initial discussion with potential new client Nico Barzoukas (and return review).</t>
  </si>
  <si>
    <t>Updating Brandon Gill fed and states for additional change / suggestion to make one other change RE schedule C entities and division of legal ownership b/w husband / wife.</t>
  </si>
  <si>
    <t>Finish updating state of NY, prepare and send draft to client.</t>
  </si>
  <si>
    <t>Phone call with Jeremy Brittain about return review, related.</t>
  </si>
  <si>
    <t>Meeting with TDI at their office to review sale detail and discuss potential for future. Includes prep and travel time (travel time from office to client, not from KC house).</t>
  </si>
  <si>
    <t>Review PY returns for new client Kyle Watkins in prep for return review call.</t>
  </si>
  <si>
    <t>Review info and notes for potential new client Jeremy Brittain, compile notes for meeting on Thursday.</t>
  </si>
  <si>
    <t>Meeting to discuss initial research / findings with Bob. Specifically kids and trust income. Inclues meeting prep and actual meeting.</t>
  </si>
  <si>
    <t>REF Jeremy Brittain - Additional call prep / return analysis of 2021 and 2022 and preparing plan for 2023 if we were to be engaged. Discuss options related to real estate and specific topics for their future returns. Review state return (AL) for any specific nuances.</t>
  </si>
  <si>
    <t>Return review and initial phone call with Jonathan LaVilla.</t>
  </si>
  <si>
    <t>Finalize research and compile / send to Bob.</t>
  </si>
  <si>
    <t>Call with Kyle Watkins/Atlas RE questions about bookkeeper.</t>
  </si>
  <si>
    <t>Totals For Potential Client</t>
  </si>
  <si>
    <t>Prius Intelli LLC</t>
  </si>
  <si>
    <t xml:space="preserve">Resolving balance sheet issues and questions from internal bookkeeper. </t>
  </si>
  <si>
    <t>Review client questions and updated financials after bookkeeper updates, research book/tax differences and confirm with internal staff correct entry.</t>
  </si>
  <si>
    <t>Additional review of QBO and emails with Josh/Rachel to ensure issues are resolved, specifically the equity / buy out between Josh and his partners.</t>
  </si>
  <si>
    <t>Prep for / review QBO and specific issues requested by Josh. Have call / discuss findings and desired outcomes for future with client. Includes prep time and meeting time.</t>
  </si>
  <si>
    <t>Totals For Prius Intelli LLC</t>
  </si>
  <si>
    <t xml:space="preserve">Same Financial Services LLC </t>
  </si>
  <si>
    <t>Meeting with Josh and his business partner regarding entity and new structure / setup for the future.</t>
  </si>
  <si>
    <t xml:space="preserve">Totals For Same Financial Services LLC </t>
  </si>
  <si>
    <t>Same, Derrick &amp; Shelly</t>
  </si>
  <si>
    <t>Review CY/PY returns for planning opportunities, to discuss in meeting RE business and personal returns.</t>
  </si>
  <si>
    <t xml:space="preserve">Email with action items and call follow up points for 2023 YE planning and new entity structuring. </t>
  </si>
  <si>
    <t>Call / emails requesting year end info to prepare tax estimate for personal and entity.</t>
  </si>
  <si>
    <t>Totals For Same, Derrick &amp; Shelly</t>
  </si>
  <si>
    <t>Satriano, John &amp; Danielle</t>
  </si>
  <si>
    <t>assisting with setup of new entity and ein application</t>
  </si>
  <si>
    <t>Reviewing action items list and noting follow up items for client/HWM, preparing list and updating clients with progress.</t>
  </si>
  <si>
    <t>Totals For Satriano, John &amp; Danielle</t>
  </si>
  <si>
    <t>Sigstar Inc</t>
  </si>
  <si>
    <t xml:space="preserve">Call with State of NM to confirm filing requirements and filing periods/current status. </t>
  </si>
  <si>
    <t>Update RA in NM and potentially elsewhere.</t>
  </si>
  <si>
    <t>Totals For Sigstar Inc</t>
  </si>
  <si>
    <t>Smith, Theodocia H.</t>
  </si>
  <si>
    <t>Setup 2023 tax planning project for Theodocia Smith and send to / discuss with preparer.</t>
  </si>
  <si>
    <t>Totals For Smith, Theodocia H.</t>
  </si>
  <si>
    <t>Trublowski, Matt &amp; Nicole</t>
  </si>
  <si>
    <t>Initial meeting/discussion with new client, review/save notes and determine any follow ups needed.</t>
  </si>
  <si>
    <t>Totals For Trublowski, Matt &amp; Nicole</t>
  </si>
  <si>
    <t>Trubzzz Anesthesia Management LLC</t>
  </si>
  <si>
    <t>Create/send 2553 for signature electronically.</t>
  </si>
  <si>
    <t>Totals For Trubzzz Anesthesia Management LLC</t>
  </si>
  <si>
    <t>Verner S&amp;P LLC</t>
  </si>
  <si>
    <t>Training with Madi on TX entity restoration process.</t>
  </si>
  <si>
    <t>Totals For Verner S&amp;P LLC</t>
  </si>
  <si>
    <t>Grand Total</t>
  </si>
  <si>
    <t>DateStart</t>
  </si>
  <si>
    <t>DateEnd</t>
  </si>
  <si>
    <t>Clients</t>
  </si>
  <si>
    <t>Projects</t>
  </si>
  <si>
    <t>All</t>
  </si>
  <si>
    <t>Users</t>
  </si>
  <si>
    <t>KyleCallaway</t>
  </si>
  <si>
    <t>ClientType</t>
  </si>
  <si>
    <t>ProjectType</t>
  </si>
  <si>
    <t>Location</t>
  </si>
  <si>
    <t>BillingMethod</t>
  </si>
  <si>
    <t>PaidStatus</t>
  </si>
  <si>
    <t>GroupBy</t>
  </si>
  <si>
    <t>Name</t>
  </si>
  <si>
    <t>Value</t>
  </si>
  <si>
    <t>Desc</t>
  </si>
  <si>
    <t>Count of projects in report</t>
  </si>
  <si>
    <t>Count of clients in report</t>
  </si>
  <si>
    <t>Entries</t>
  </si>
  <si>
    <t>Count of entries in report</t>
  </si>
  <si>
    <t>Activities</t>
  </si>
  <si>
    <t>Count of activities in reports</t>
  </si>
  <si>
    <t>Billable Y-N</t>
  </si>
  <si>
    <t>Contact</t>
  </si>
  <si>
    <t>FirmStaff</t>
  </si>
  <si>
    <r>
      <t xml:space="preserve">1: </t>
    </r>
    <r>
      <rPr>
        <b/>
        <sz val="12"/>
        <color rgb="FFFF0000"/>
        <rFont val="Calibri"/>
        <family val="2"/>
      </rPr>
      <t>M-&gt;</t>
    </r>
  </si>
  <si>
    <t>"Book Time By Staff Mbr"</t>
  </si>
  <si>
    <t>Firm</t>
  </si>
  <si>
    <t>Service Line</t>
  </si>
  <si>
    <t>Accounting</t>
  </si>
  <si>
    <t>Tax</t>
  </si>
  <si>
    <t>Advisory/Consulting</t>
  </si>
  <si>
    <r>
      <t xml:space="preserve">1: </t>
    </r>
    <r>
      <rPr>
        <b/>
        <sz val="11"/>
        <color theme="9" tint="-0.249977111117893"/>
        <rFont val="Calibri"/>
        <family val="2"/>
      </rPr>
      <t>M-&gt;</t>
    </r>
  </si>
  <si>
    <t>Ann. Recurrance</t>
  </si>
  <si>
    <t>2 x MO, 1 x MO , 1 x QTR, 2x YR, 1x YR)</t>
  </si>
  <si>
    <t>Project Based</t>
  </si>
  <si>
    <t>1 x QTR,  1x YR)</t>
  </si>
  <si>
    <t>Jurisdiction</t>
  </si>
  <si>
    <t>Fed/State gen</t>
  </si>
  <si>
    <t>Makes Up</t>
  </si>
  <si>
    <t xml:space="preserve">Idx - See next pg </t>
  </si>
  <si>
    <t>Note - Many firms use "Tasks", which are the templates assigned to projects that are made up of prefomring certain activities.</t>
  </si>
  <si>
    <t>Task</t>
  </si>
  <si>
    <t>UUID - By Time Period &amp; Resets at Each New Period but REQUIRED AT LEAST ANNUALLY</t>
  </si>
  <si>
    <t>This is how firms check project lists because they should be empty and restart after each 12 mo period</t>
  </si>
  <si>
    <t>UUID:</t>
  </si>
  <si>
    <t>Contact.email</t>
  </si>
  <si>
    <t>Client.Name + Client.EIN</t>
  </si>
  <si>
    <t>ClientUID</t>
  </si>
  <si>
    <t>Project=product+jurisdiction+client</t>
  </si>
  <si>
    <t>ProjectUUID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</si>
</sst>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quot;$&quot;#,##0.00"/>
  </numFmts>
  <fonts count="18" x14ac:knownFonts="1">
    <font>
      <sz val="11"/>
      <name val="Calibri"/>
    </font>
    <font>
      <b/>
      <sz val="11"/>
      <name val="Calibri"/>
      <family val="2"/>
    </font>
    <font>
      <b/>
      <sz val="9"/>
      <name val="Calibri"/>
      <family val="2"/>
    </font>
    <font>
      <b/>
      <sz val="6.5"/>
      <name val="Calibri"/>
      <family val="2"/>
    </font>
    <font>
      <u/>
      <sz val="11"/>
      <name val="Calibri"/>
      <family val="2"/>
    </font>
    <font>
      <sz val="11"/>
      <name val="Calibri"/>
      <family val="2"/>
    </font>
    <font>
      <b/>
      <sz val="11"/>
      <color rgb="FFFF0000"/>
      <name val="Calibri"/>
      <family val="2"/>
    </font>
    <font>
      <b/>
      <u/>
      <sz val="11"/>
      <color rgb="FFFF0000"/>
      <name val="Calibri"/>
      <family val="2"/>
    </font>
    <font>
      <sz val="12"/>
      <name val="Calibri"/>
      <family val="2"/>
    </font>
    <font>
      <b/>
      <sz val="12"/>
      <color rgb="FFFF0000"/>
      <name val="Calibri"/>
      <family val="2"/>
    </font>
    <font>
      <b/>
      <sz val="14"/>
      <color rgb="FF0070C0"/>
      <name val="Calibri"/>
      <family val="2"/>
    </font>
    <font>
      <b/>
      <sz val="11"/>
      <color theme="9" tint="-0.249977111117893"/>
      <name val="Calibri"/>
      <family val="2"/>
    </font>
    <font>
      <u/>
      <sz val="11"/>
      <color rgb="FFFF0000"/>
      <name val="Calibri"/>
      <family val="2"/>
    </font>
    <font>
      <b/>
      <sz val="12"/>
      <color rgb="FF00B050"/>
      <name val="Calibri"/>
      <family val="2"/>
    </font>
    <font>
      <b/>
      <sz val="14"/>
      <color rgb="FF00B050"/>
      <name val="Calibri"/>
      <family val="2"/>
    </font>
    <font>
      <b/>
      <sz val="14"/>
      <color rgb="FFFF0000"/>
      <name val="Calibri"/>
      <family val="2"/>
    </font>
    <font>
      <b/>
      <sz val="11"/>
      <color rgb="FFC00000"/>
      <name val="Calibri"/>
      <family val="2"/>
    </font>
    <font>
      <sz val="12"/>
      <color rgb="FFC00000"/>
      <name val="Calibri"/>
      <family val="2"/>
    </font>
  </fonts>
  <fills count="5">
    <fill>
      <patternFill patternType="none"/>
    </fill>
    <fill>
      <patternFill patternType="gray125"/>
    </fill>
    <fill>
      <patternFill patternType="solid">
        <fgColor rgb="FFEAF4FD"/>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58">
    <xf numFmtId="0" fontId="0" fillId="0" borderId="0" xfId="0"/>
    <xf numFmtId="0" fontId="0" fillId="0" borderId="0" xfId="0" applyAlignment="1">
      <alignment vertical="top"/>
    </xf>
    <xf numFmtId="0" fontId="1" fillId="0" borderId="0" xfId="0" applyFont="1" applyAlignment="1">
      <alignment vertical="top"/>
    </xf>
    <xf numFmtId="0" fontId="1" fillId="0" borderId="0" xfId="0" applyFont="1" applyAlignment="1">
      <alignment horizontal="center" vertical="top"/>
    </xf>
    <xf numFmtId="0" fontId="2" fillId="0" borderId="0" xfId="0" applyFont="1" applyAlignment="1">
      <alignment horizontal="center" vertical="top"/>
    </xf>
    <xf numFmtId="0" fontId="0" fillId="0" borderId="0" xfId="0"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wrapText="1"/>
    </xf>
    <xf numFmtId="0" fontId="0" fillId="2" borderId="0" xfId="0" applyFill="1" applyAlignment="1">
      <alignment vertical="top"/>
    </xf>
    <xf numFmtId="164" fontId="0" fillId="2" borderId="0" xfId="0" applyNumberFormat="1" applyFill="1" applyAlignment="1">
      <alignment vertical="top" wrapText="1"/>
    </xf>
    <xf numFmtId="164" fontId="0" fillId="2" borderId="0" xfId="0" applyNumberFormat="1" applyFill="1" applyAlignment="1">
      <alignment vertical="top"/>
    </xf>
    <xf numFmtId="0" fontId="0" fillId="2" borderId="0" xfId="0" applyFill="1" applyAlignment="1">
      <alignment horizontal="left" vertical="top"/>
    </xf>
    <xf numFmtId="0" fontId="0" fillId="2" borderId="0" xfId="0" applyFill="1" applyAlignment="1">
      <alignment vertical="top" wrapText="1"/>
    </xf>
    <xf numFmtId="2" fontId="0" fillId="2" borderId="0" xfId="0" applyNumberFormat="1" applyFill="1" applyAlignment="1">
      <alignment horizontal="left" vertical="top"/>
    </xf>
    <xf numFmtId="165" fontId="0" fillId="2" borderId="0" xfId="0" applyNumberFormat="1" applyFill="1" applyAlignment="1">
      <alignment horizontal="left" vertical="top"/>
    </xf>
    <xf numFmtId="164" fontId="0" fillId="0" borderId="0" xfId="0" applyNumberFormat="1" applyAlignment="1">
      <alignment vertical="top" wrapText="1"/>
    </xf>
    <xf numFmtId="164" fontId="0" fillId="0" borderId="0" xfId="0" applyNumberFormat="1" applyAlignment="1">
      <alignment vertical="top"/>
    </xf>
    <xf numFmtId="0" fontId="0" fillId="0" borderId="0" xfId="0" applyAlignment="1">
      <alignment vertical="top" wrapText="1"/>
    </xf>
    <xf numFmtId="2" fontId="0" fillId="0" borderId="0" xfId="0" applyNumberFormat="1" applyAlignment="1">
      <alignment horizontal="left" vertical="top"/>
    </xf>
    <xf numFmtId="165" fontId="0" fillId="0" borderId="0" xfId="0" applyNumberFormat="1" applyAlignment="1">
      <alignment horizontal="left" vertical="top"/>
    </xf>
    <xf numFmtId="0" fontId="1" fillId="0" borderId="0" xfId="0" applyFont="1" applyAlignment="1">
      <alignment horizontal="right" vertical="top"/>
    </xf>
    <xf numFmtId="2" fontId="1" fillId="0" borderId="0" xfId="0" applyNumberFormat="1" applyFont="1" applyAlignment="1">
      <alignment horizontal="left" vertical="top"/>
    </xf>
    <xf numFmtId="165" fontId="1" fillId="0" borderId="0" xfId="0" applyNumberFormat="1" applyFont="1" applyAlignment="1">
      <alignment vertical="top"/>
    </xf>
    <xf numFmtId="1" fontId="0" fillId="2" borderId="0" xfId="0" applyNumberFormat="1" applyFill="1" applyAlignment="1">
      <alignment vertical="top"/>
    </xf>
    <xf numFmtId="1" fontId="0" fillId="0" borderId="0" xfId="0" applyNumberFormat="1" applyAlignment="1">
      <alignment vertical="top"/>
    </xf>
    <xf numFmtId="0" fontId="0" fillId="0" borderId="0" xfId="0" applyAlignment="1">
      <alignment horizontal="left"/>
    </xf>
    <xf numFmtId="14" fontId="0" fillId="0" borderId="0" xfId="0" applyNumberFormat="1" applyAlignment="1">
      <alignment horizontal="left"/>
    </xf>
    <xf numFmtId="0" fontId="4" fillId="0" borderId="0" xfId="0" applyFont="1"/>
    <xf numFmtId="0" fontId="4" fillId="0" borderId="0" xfId="0" applyFont="1" applyAlignment="1">
      <alignment horizontal="left"/>
    </xf>
    <xf numFmtId="0" fontId="5" fillId="0" borderId="0" xfId="0" applyFont="1"/>
    <xf numFmtId="0" fontId="5" fillId="0" borderId="0" xfId="0" applyFont="1" applyAlignment="1">
      <alignment vertical="top"/>
    </xf>
    <xf numFmtId="0" fontId="4" fillId="0" borderId="0" xfId="0" applyFont="1" applyAlignment="1">
      <alignment vertical="top"/>
    </xf>
    <xf numFmtId="0" fontId="0" fillId="0" borderId="0" xfId="0" applyAlignment="1">
      <alignment wrapText="1"/>
    </xf>
    <xf numFmtId="0" fontId="0" fillId="4" borderId="0" xfId="0" applyFill="1"/>
    <xf numFmtId="0" fontId="1" fillId="0" borderId="0" xfId="0" applyFont="1"/>
    <xf numFmtId="0" fontId="0" fillId="4" borderId="0" xfId="0" applyFill="1" applyAlignment="1">
      <alignment vertical="top"/>
    </xf>
    <xf numFmtId="164" fontId="0" fillId="4" borderId="0" xfId="0" applyNumberFormat="1" applyFill="1" applyAlignment="1">
      <alignment vertical="top"/>
    </xf>
    <xf numFmtId="0" fontId="1" fillId="0" borderId="0" xfId="0" applyFont="1" applyAlignment="1">
      <alignment horizontal="right" vertical="top"/>
    </xf>
    <xf numFmtId="14" fontId="0" fillId="3" borderId="0" xfId="0" applyNumberFormat="1" applyFill="1" applyAlignment="1">
      <alignment horizontal="left"/>
    </xf>
    <xf numFmtId="0" fontId="6" fillId="0" borderId="0" xfId="0" applyFont="1" applyAlignment="1">
      <alignment horizontal="right" indent="1"/>
    </xf>
    <xf numFmtId="0" fontId="7" fillId="0" borderId="0" xfId="0" applyFont="1" applyAlignment="1">
      <alignment vertical="top"/>
    </xf>
    <xf numFmtId="20" fontId="8" fillId="0" borderId="0" xfId="0" quotePrefix="1" applyNumberFormat="1" applyFont="1" applyAlignment="1">
      <alignment horizontal="left" indent="1"/>
    </xf>
    <xf numFmtId="0" fontId="10" fillId="0" borderId="0" xfId="0" applyFont="1"/>
    <xf numFmtId="0" fontId="11" fillId="0" borderId="1" xfId="0" applyFont="1" applyBorder="1"/>
    <xf numFmtId="0" fontId="12" fillId="0" borderId="0" xfId="0" applyFont="1" applyAlignment="1">
      <alignment vertical="top"/>
    </xf>
    <xf numFmtId="0" fontId="5" fillId="0" borderId="0" xfId="0" quotePrefix="1" applyFont="1"/>
    <xf numFmtId="0" fontId="5" fillId="0" borderId="0" xfId="0" quotePrefix="1" applyFont="1" applyAlignment="1">
      <alignment wrapText="1"/>
    </xf>
    <xf numFmtId="0" fontId="5" fillId="0" borderId="0" xfId="0" applyFont="1" applyAlignment="1">
      <alignment vertical="center" wrapText="1"/>
    </xf>
    <xf numFmtId="0" fontId="5" fillId="0" borderId="0" xfId="0" applyFont="1" applyAlignment="1">
      <alignment vertical="center"/>
    </xf>
    <xf numFmtId="0" fontId="13" fillId="0" borderId="0" xfId="0" applyFont="1"/>
    <xf numFmtId="0" fontId="14" fillId="0" borderId="0" xfId="0" applyFont="1"/>
    <xf numFmtId="0" fontId="4" fillId="4" borderId="0" xfId="0" applyFont="1" applyFill="1"/>
    <xf numFmtId="0" fontId="5" fillId="4" borderId="0" xfId="0" applyFont="1" applyFill="1"/>
    <xf numFmtId="0" fontId="15" fillId="0" borderId="0" xfId="0" applyFont="1"/>
    <xf numFmtId="0" fontId="16" fillId="0" borderId="0" xfId="0" applyFont="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724939685569611E-2"/>
          <c:y val="0.17171296296296298"/>
          <c:w val="0.90580704684641689"/>
          <c:h val="0.72088764946048411"/>
        </c:manualLayout>
      </c:layout>
      <c:barChart>
        <c:barDir val="col"/>
        <c:grouping val="cluster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0-86E0-46BF-9D76-BFA8F8B35A63}"/>
            </c:ext>
          </c:extLst>
        </c:ser>
        <c:dLbls>
          <c:showLegendKey val="0"/>
          <c:showVal val="0"/>
          <c:showCatName val="0"/>
          <c:showSerName val="0"/>
          <c:showPercent val="0"/>
          <c:showBubbleSize val="0"/>
        </c:dLbls>
        <c:gapWidth val="219"/>
        <c:overlap val="-27"/>
        <c:axId val="243519360"/>
        <c:axId val="1579293952"/>
      </c:barChart>
      <c:catAx>
        <c:axId val="24351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93952"/>
        <c:crosses val="autoZero"/>
        <c:auto val="1"/>
        <c:lblAlgn val="ctr"/>
        <c:lblOffset val="100"/>
        <c:noMultiLvlLbl val="0"/>
      </c:catAx>
      <c:valAx>
        <c:axId val="157929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51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514350</xdr:colOff>
      <xdr:row>4</xdr:row>
      <xdr:rowOff>100012</xdr:rowOff>
    </xdr:from>
    <xdr:to>
      <xdr:col>8</xdr:col>
      <xdr:colOff>209550</xdr:colOff>
      <xdr:row>18</xdr:row>
      <xdr:rowOff>176212</xdr:rowOff>
    </xdr:to>
    <xdr:graphicFrame macro="">
      <xdr:nvGraphicFramePr>
        <xdr:cNvPr id="2" name="Chart 1">
          <a:extLst>
            <a:ext uri="{FF2B5EF4-FFF2-40B4-BE49-F238E27FC236}">
              <a16:creationId xmlns:a16="http://schemas.microsoft.com/office/drawing/2014/main" id="{CF0D1A43-4B77-63B4-A692-1C618FFFC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209551</xdr:colOff>
      <xdr:row>21</xdr:row>
      <xdr:rowOff>66674</xdr:rowOff>
    </xdr:from>
    <xdr:to>
      <xdr:col>16</xdr:col>
      <xdr:colOff>314326</xdr:colOff>
      <xdr:row>24</xdr:row>
      <xdr:rowOff>76199</xdr:rowOff>
    </xdr:to>
    <xdr:cxnSp macro="">
      <xdr:nvCxnSpPr>
        <xdr:cNvPr id="4" name="Connector: Elbow 3">
          <a:extLst>
            <a:ext uri="{FF2B5EF4-FFF2-40B4-BE49-F238E27FC236}">
              <a16:creationId xmlns:a16="http://schemas.microsoft.com/office/drawing/2014/main" id="{C17A47E3-8E7D-57DF-2D5E-FAA375AE309E}"/>
            </a:ext>
          </a:extLst>
        </xdr:cNvPr>
        <xdr:cNvCxnSpPr/>
      </xdr:nvCxnSpPr>
      <xdr:spPr>
        <a:xfrm rot="10800000" flipV="1">
          <a:off x="13792201" y="4171949"/>
          <a:ext cx="1323975" cy="58102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419101</xdr:colOff>
      <xdr:row>21</xdr:row>
      <xdr:rowOff>95253</xdr:rowOff>
    </xdr:from>
    <xdr:to>
      <xdr:col>11</xdr:col>
      <xdr:colOff>371476</xdr:colOff>
      <xdr:row>26</xdr:row>
      <xdr:rowOff>161926</xdr:rowOff>
    </xdr:to>
    <xdr:cxnSp macro="">
      <xdr:nvCxnSpPr>
        <xdr:cNvPr id="5" name="Connector: Elbow 4">
          <a:extLst>
            <a:ext uri="{FF2B5EF4-FFF2-40B4-BE49-F238E27FC236}">
              <a16:creationId xmlns:a16="http://schemas.microsoft.com/office/drawing/2014/main" id="{9B59E9C0-3B32-41E3-A008-C0FAEF6F6171}"/>
            </a:ext>
          </a:extLst>
        </xdr:cNvPr>
        <xdr:cNvCxnSpPr/>
      </xdr:nvCxnSpPr>
      <xdr:spPr>
        <a:xfrm rot="10800000">
          <a:off x="10953751" y="4200528"/>
          <a:ext cx="1171575" cy="101917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DC28-ED77-4247-BC10-961499D1BC33}">
  <dimension ref="B3:C3"/>
  <sheetViews>
    <sheetView workbookViewId="0">
      <selection activeCell="A15" sqref="A15"/>
    </sheetView>
  </sheetViews>
  <sheetFormatPr defaultRowHeight="15" x14ac:dyDescent="0.25"/>
  <cols>
    <col min="2" max="2" width="9.7109375" bestFit="1" customWidth="1"/>
    <col min="3" max="3" width="10.7109375" bestFit="1" customWidth="1"/>
  </cols>
  <sheetData>
    <row r="3" spans="2:3" x14ac:dyDescent="0.25">
      <c r="B3" s="28" t="e">
        <f>data_table!#REF!</f>
        <v>#REF!</v>
      </c>
      <c r="C3" s="28" t="e">
        <f>data_table!#REF!</f>
        <v>#REF!</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6C3F-35E2-4E10-A860-142EAA0EC551}">
  <dimension ref="A1:P55"/>
  <sheetViews>
    <sheetView workbookViewId="0">
      <pane xSplit="6" ySplit="18" topLeftCell="G19" activePane="bottomRight" state="frozen"/>
      <selection pane="topRight" activeCell="E1" sqref="E1"/>
      <selection pane="bottomLeft" activeCell="A2" sqref="A2"/>
      <selection pane="bottomRight" activeCell="A3" sqref="A3"/>
    </sheetView>
  </sheetViews>
  <sheetFormatPr defaultRowHeight="15" x14ac:dyDescent="0.25"/>
  <cols>
    <col min="1" max="1" width="11.7109375" bestFit="1" customWidth="1"/>
    <col min="2" max="2" width="10.7109375" bestFit="1" customWidth="1"/>
    <col min="3" max="3" width="23" customWidth="1"/>
    <col min="4" max="4" width="15.5703125" customWidth="1"/>
    <col min="5" max="5" width="21" customWidth="1"/>
    <col min="6" max="6" width="37.5703125" bestFit="1" customWidth="1"/>
    <col min="7" max="7" width="14.7109375" customWidth="1"/>
  </cols>
  <sheetData>
    <row r="1" spans="1:10" x14ac:dyDescent="0.25">
      <c r="A1" s="29" t="s">
        <v>298</v>
      </c>
      <c r="B1" s="30" t="s">
        <v>299</v>
      </c>
      <c r="C1" s="29" t="s">
        <v>300</v>
      </c>
    </row>
    <row r="2" spans="1:10" x14ac:dyDescent="0.25">
      <c r="A2" s="1" t="s">
        <v>285</v>
      </c>
      <c r="B2" s="40">
        <f>VLOOKUP(A2,settings!$A:$B,2,FALSE)</f>
        <v>45231</v>
      </c>
    </row>
    <row r="3" spans="1:10" x14ac:dyDescent="0.25">
      <c r="A3" s="1" t="s">
        <v>286</v>
      </c>
      <c r="B3" s="40">
        <f>VLOOKUP(A3,settings!$A:$B,2,FALSE)</f>
        <v>45291</v>
      </c>
    </row>
    <row r="4" spans="1:10" x14ac:dyDescent="0.25">
      <c r="A4" s="1" t="s">
        <v>287</v>
      </c>
      <c r="B4" s="27">
        <v>127</v>
      </c>
      <c r="C4" s="31" t="s">
        <v>302</v>
      </c>
    </row>
    <row r="5" spans="1:10" x14ac:dyDescent="0.25">
      <c r="A5" s="1" t="s">
        <v>288</v>
      </c>
      <c r="B5" s="27">
        <v>8</v>
      </c>
      <c r="C5" s="31" t="s">
        <v>301</v>
      </c>
    </row>
    <row r="6" spans="1:10" x14ac:dyDescent="0.25">
      <c r="A6" s="32" t="s">
        <v>303</v>
      </c>
      <c r="B6" s="27">
        <v>-1</v>
      </c>
      <c r="C6" s="31" t="s">
        <v>304</v>
      </c>
    </row>
    <row r="7" spans="1:10" x14ac:dyDescent="0.25">
      <c r="A7" s="32" t="s">
        <v>305</v>
      </c>
      <c r="B7" s="27">
        <v>18</v>
      </c>
      <c r="C7" s="31" t="s">
        <v>306</v>
      </c>
    </row>
    <row r="8" spans="1:10" x14ac:dyDescent="0.25">
      <c r="B8" s="32"/>
      <c r="C8" s="27"/>
      <c r="F8" s="31"/>
      <c r="G8" s="31"/>
    </row>
    <row r="9" spans="1:10" x14ac:dyDescent="0.25">
      <c r="A9" s="2" t="s">
        <v>312</v>
      </c>
      <c r="B9" s="27"/>
    </row>
    <row r="10" spans="1:10" x14ac:dyDescent="0.25">
      <c r="B10" s="31" t="s">
        <v>317</v>
      </c>
      <c r="C10" s="45" t="s">
        <v>313</v>
      </c>
      <c r="D10" s="29" t="s">
        <v>318</v>
      </c>
      <c r="E10" s="29" t="s">
        <v>322</v>
      </c>
      <c r="F10" s="31"/>
    </row>
    <row r="11" spans="1:10" ht="30" x14ac:dyDescent="0.25">
      <c r="B11" s="34"/>
      <c r="C11" s="49" t="s">
        <v>314</v>
      </c>
      <c r="D11" s="48" t="s">
        <v>319</v>
      </c>
      <c r="E11" s="50" t="s">
        <v>323</v>
      </c>
    </row>
    <row r="12" spans="1:10" x14ac:dyDescent="0.25">
      <c r="C12" s="31" t="s">
        <v>315</v>
      </c>
      <c r="D12" s="47" t="s">
        <v>321</v>
      </c>
      <c r="E12" s="50" t="s">
        <v>323</v>
      </c>
    </row>
    <row r="13" spans="1:10" x14ac:dyDescent="0.25">
      <c r="C13" s="31" t="s">
        <v>316</v>
      </c>
      <c r="D13" s="31" t="s">
        <v>320</v>
      </c>
      <c r="J13" s="54" t="s">
        <v>326</v>
      </c>
    </row>
    <row r="14" spans="1:10" x14ac:dyDescent="0.25">
      <c r="C14" s="31" t="s">
        <v>143</v>
      </c>
    </row>
    <row r="15" spans="1:10" ht="18.75" x14ac:dyDescent="0.3">
      <c r="B15" s="55" t="s">
        <v>328</v>
      </c>
    </row>
    <row r="16" spans="1:10" x14ac:dyDescent="0.25">
      <c r="B16" s="56" t="s">
        <v>329</v>
      </c>
      <c r="E16" s="31"/>
      <c r="F16" s="31"/>
    </row>
    <row r="17" spans="1:16" x14ac:dyDescent="0.25">
      <c r="B17" s="56"/>
      <c r="E17" s="31"/>
      <c r="F17" s="31"/>
    </row>
    <row r="18" spans="1:16" ht="18.75" x14ac:dyDescent="0.3">
      <c r="D18" s="36" t="s">
        <v>308</v>
      </c>
      <c r="E18" s="43" t="s">
        <v>310</v>
      </c>
      <c r="G18" s="36" t="s">
        <v>309</v>
      </c>
      <c r="H18" s="43" t="s">
        <v>310</v>
      </c>
      <c r="J18" s="44" t="s">
        <v>311</v>
      </c>
    </row>
    <row r="19" spans="1:16" ht="18.75" x14ac:dyDescent="0.3">
      <c r="A19" s="55" t="s">
        <v>330</v>
      </c>
      <c r="E19" s="41"/>
      <c r="F19" s="42" t="s">
        <v>287</v>
      </c>
      <c r="G19" s="33"/>
      <c r="H19" s="33"/>
      <c r="I19" s="46" t="s">
        <v>288</v>
      </c>
      <c r="J19" s="33"/>
      <c r="K19" s="53" t="s">
        <v>327</v>
      </c>
      <c r="L19" s="32"/>
      <c r="M19" s="33" t="s">
        <v>305</v>
      </c>
      <c r="P19" s="33" t="s">
        <v>303</v>
      </c>
    </row>
    <row r="20" spans="1:16" ht="15.75" x14ac:dyDescent="0.25">
      <c r="B20" s="57" t="s">
        <v>331</v>
      </c>
      <c r="F20" t="s">
        <v>95</v>
      </c>
      <c r="I20" s="27">
        <v>1040</v>
      </c>
      <c r="K20" s="43" t="s">
        <v>310</v>
      </c>
      <c r="M20" t="s">
        <v>17</v>
      </c>
      <c r="P20" s="51" t="s">
        <v>325</v>
      </c>
    </row>
    <row r="21" spans="1:16" x14ac:dyDescent="0.25">
      <c r="A21" s="31" t="s">
        <v>333</v>
      </c>
      <c r="C21" s="31" t="s">
        <v>332</v>
      </c>
      <c r="F21" t="s">
        <v>102</v>
      </c>
      <c r="I21" s="27">
        <v>1120</v>
      </c>
      <c r="M21" t="s">
        <v>36</v>
      </c>
    </row>
    <row r="22" spans="1:16" x14ac:dyDescent="0.25">
      <c r="A22" s="31" t="s">
        <v>335</v>
      </c>
      <c r="B22" s="31" t="s">
        <v>334</v>
      </c>
      <c r="F22" t="s">
        <v>108</v>
      </c>
      <c r="I22" s="27" t="s">
        <v>103</v>
      </c>
      <c r="M22" t="s">
        <v>136</v>
      </c>
    </row>
    <row r="23" spans="1:16" x14ac:dyDescent="0.25">
      <c r="F23" t="s">
        <v>113</v>
      </c>
      <c r="I23" s="27" t="s">
        <v>187</v>
      </c>
      <c r="M23" t="s">
        <v>91</v>
      </c>
    </row>
    <row r="24" spans="1:16" x14ac:dyDescent="0.25">
      <c r="F24" t="s">
        <v>116</v>
      </c>
      <c r="I24" s="27" t="s">
        <v>14</v>
      </c>
      <c r="M24" t="s">
        <v>38</v>
      </c>
    </row>
    <row r="25" spans="1:16" x14ac:dyDescent="0.25">
      <c r="F25" t="s">
        <v>120</v>
      </c>
      <c r="I25" s="27" t="s">
        <v>96</v>
      </c>
      <c r="M25" t="s">
        <v>51</v>
      </c>
    </row>
    <row r="26" spans="1:16" x14ac:dyDescent="0.25">
      <c r="F26" t="s">
        <v>123</v>
      </c>
      <c r="I26" s="27" t="s">
        <v>109</v>
      </c>
      <c r="M26" t="s">
        <v>97</v>
      </c>
    </row>
    <row r="27" spans="1:16" ht="18.75" x14ac:dyDescent="0.3">
      <c r="F27" t="s">
        <v>128</v>
      </c>
      <c r="M27" t="s">
        <v>143</v>
      </c>
      <c r="P27" s="52" t="s">
        <v>324</v>
      </c>
    </row>
    <row r="28" spans="1:16" x14ac:dyDescent="0.25">
      <c r="F28" t="s">
        <v>132</v>
      </c>
      <c r="M28" t="s">
        <v>105</v>
      </c>
    </row>
    <row r="29" spans="1:16" x14ac:dyDescent="0.25">
      <c r="F29" t="s">
        <v>141</v>
      </c>
      <c r="M29" t="s">
        <v>133</v>
      </c>
    </row>
    <row r="30" spans="1:16" x14ac:dyDescent="0.25">
      <c r="F30" t="s">
        <v>146</v>
      </c>
      <c r="M30" t="s">
        <v>43</v>
      </c>
    </row>
    <row r="31" spans="1:16" x14ac:dyDescent="0.25">
      <c r="F31" t="s">
        <v>148</v>
      </c>
      <c r="I31" s="35"/>
      <c r="M31" t="s">
        <v>110</v>
      </c>
    </row>
    <row r="32" spans="1:16" x14ac:dyDescent="0.25">
      <c r="F32" t="s">
        <v>156</v>
      </c>
      <c r="M32" t="s">
        <v>53</v>
      </c>
    </row>
    <row r="33" spans="6:13" x14ac:dyDescent="0.25">
      <c r="F33" t="s">
        <v>284</v>
      </c>
      <c r="M33" t="s">
        <v>129</v>
      </c>
    </row>
    <row r="34" spans="6:13" x14ac:dyDescent="0.25">
      <c r="F34" t="s">
        <v>159</v>
      </c>
      <c r="M34" t="s">
        <v>117</v>
      </c>
    </row>
    <row r="35" spans="6:13" x14ac:dyDescent="0.25">
      <c r="F35" t="s">
        <v>166</v>
      </c>
      <c r="M35" t="s">
        <v>160</v>
      </c>
    </row>
    <row r="36" spans="6:13" x14ac:dyDescent="0.25">
      <c r="F36" t="s">
        <v>172</v>
      </c>
      <c r="M36" t="s">
        <v>22</v>
      </c>
    </row>
    <row r="37" spans="6:13" x14ac:dyDescent="0.25">
      <c r="F37" t="s">
        <v>175</v>
      </c>
    </row>
    <row r="38" spans="6:13" x14ac:dyDescent="0.25">
      <c r="F38" t="s">
        <v>180</v>
      </c>
    </row>
    <row r="39" spans="6:13" x14ac:dyDescent="0.25">
      <c r="F39" t="s">
        <v>183</v>
      </c>
    </row>
    <row r="40" spans="6:13" x14ac:dyDescent="0.25">
      <c r="F40" t="s">
        <v>186</v>
      </c>
    </row>
    <row r="41" spans="6:13" x14ac:dyDescent="0.25">
      <c r="F41" t="s">
        <v>190</v>
      </c>
    </row>
    <row r="42" spans="6:13" x14ac:dyDescent="0.25">
      <c r="F42" t="s">
        <v>194</v>
      </c>
    </row>
    <row r="43" spans="6:13" x14ac:dyDescent="0.25">
      <c r="F43" t="s">
        <v>199</v>
      </c>
    </row>
    <row r="44" spans="6:13" x14ac:dyDescent="0.25">
      <c r="F44" t="s">
        <v>13</v>
      </c>
    </row>
    <row r="45" spans="6:13" x14ac:dyDescent="0.25">
      <c r="F45" t="s">
        <v>203</v>
      </c>
    </row>
    <row r="46" spans="6:13" x14ac:dyDescent="0.25">
      <c r="F46" t="s">
        <v>208</v>
      </c>
    </row>
    <row r="47" spans="6:13" x14ac:dyDescent="0.25">
      <c r="F47" t="s">
        <v>250</v>
      </c>
    </row>
    <row r="48" spans="6:13" x14ac:dyDescent="0.25">
      <c r="F48" t="s">
        <v>256</v>
      </c>
    </row>
    <row r="49" spans="6:6" x14ac:dyDescent="0.25">
      <c r="F49" t="s">
        <v>259</v>
      </c>
    </row>
    <row r="50" spans="6:6" x14ac:dyDescent="0.25">
      <c r="F50" t="s">
        <v>264</v>
      </c>
    </row>
    <row r="51" spans="6:6" x14ac:dyDescent="0.25">
      <c r="F51" t="s">
        <v>268</v>
      </c>
    </row>
    <row r="52" spans="6:6" x14ac:dyDescent="0.25">
      <c r="F52" t="s">
        <v>272</v>
      </c>
    </row>
    <row r="53" spans="6:6" x14ac:dyDescent="0.25">
      <c r="F53" t="s">
        <v>275</v>
      </c>
    </row>
    <row r="54" spans="6:6" x14ac:dyDescent="0.25">
      <c r="F54" t="s">
        <v>278</v>
      </c>
    </row>
    <row r="55" spans="6:6" x14ac:dyDescent="0.25">
      <c r="F55" t="s">
        <v>281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2"/>
  <sheetViews>
    <sheetView tabSelected="1" workbookViewId="0">
      <selection activeCell="H1" sqref="H1"/>
    </sheetView>
  </sheetViews>
  <sheetFormatPr defaultRowHeight="15" x14ac:dyDescent="0.25"/>
  <cols>
    <col min="1" max="1" width="47" bestFit="1" customWidth="1"/>
    <col min="2" max="3" width="10.7109375" bestFit="1" customWidth="1"/>
    <col min="4" max="5" width="19.28515625" bestFit="1" customWidth="1"/>
    <col min="6" max="6" width="13.28515625" bestFit="1" customWidth="1"/>
    <col min="7" max="7" width="25.85546875" bestFit="1" customWidth="1"/>
    <col min="8" max="8" width="8.140625" bestFit="1" customWidth="1"/>
    <col min="9" max="9" width="75.5703125" customWidth="1"/>
    <col min="10" max="10" width="6.5703125" bestFit="1" customWidth="1"/>
    <col min="11" max="11" width="8.5703125" bestFit="1" customWidth="1"/>
    <col min="12" max="12" width="10.140625" bestFit="1" customWidth="1"/>
    <col min="13" max="13" width="10.28515625" bestFit="1" customWidth="1"/>
    <col min="14" max="14" width="9.7109375" bestFit="1" customWidth="1"/>
  </cols>
  <sheetData>
    <row r="1" spans="1:14" ht="24" x14ac:dyDescent="0.25">
      <c r="A1" s="4" t="s">
        <v>0</v>
      </c>
      <c r="B1" s="7" t="s">
        <v>1</v>
      </c>
      <c r="C1" s="4" t="s">
        <v>2</v>
      </c>
      <c r="D1" s="7" t="s">
        <v>3</v>
      </c>
      <c r="E1" s="8" t="s">
        <v>4</v>
      </c>
      <c r="F1" s="7" t="s">
        <v>5</v>
      </c>
      <c r="G1" s="7" t="s">
        <v>6</v>
      </c>
      <c r="H1" s="7" t="s">
        <v>7</v>
      </c>
      <c r="I1" s="7" t="s">
        <v>8</v>
      </c>
      <c r="J1" s="8" t="s">
        <v>9</v>
      </c>
      <c r="K1" s="7" t="s">
        <v>10</v>
      </c>
      <c r="L1" s="9" t="s">
        <v>307</v>
      </c>
      <c r="M1" s="7" t="s">
        <v>11</v>
      </c>
      <c r="N1" s="7" t="s">
        <v>12</v>
      </c>
    </row>
    <row r="2" spans="1:14" ht="30" x14ac:dyDescent="0.25">
      <c r="A2" s="10" t="s">
        <v>13</v>
      </c>
      <c r="B2" s="11">
        <v>45231</v>
      </c>
      <c r="C2" s="12">
        <v>45236</v>
      </c>
      <c r="D2" s="10" t="s">
        <v>14</v>
      </c>
      <c r="E2" s="10" t="s">
        <v>15</v>
      </c>
      <c r="F2" s="10" t="s">
        <v>16</v>
      </c>
      <c r="G2" s="13" t="s">
        <v>17</v>
      </c>
      <c r="H2" s="13" t="s">
        <v>15</v>
      </c>
      <c r="I2" s="14" t="s">
        <v>18</v>
      </c>
      <c r="J2" s="15">
        <v>0</v>
      </c>
      <c r="K2" s="15">
        <v>4</v>
      </c>
      <c r="L2" s="13" t="s">
        <v>19</v>
      </c>
      <c r="M2" s="13" t="s">
        <v>20</v>
      </c>
      <c r="N2" s="16">
        <v>0</v>
      </c>
    </row>
    <row r="3" spans="1:14" ht="30" x14ac:dyDescent="0.25">
      <c r="A3" s="1" t="s">
        <v>13</v>
      </c>
      <c r="B3" s="17">
        <v>45231</v>
      </c>
      <c r="C3" s="18">
        <v>45236</v>
      </c>
      <c r="D3" s="1" t="s">
        <v>14</v>
      </c>
      <c r="E3" s="1" t="s">
        <v>15</v>
      </c>
      <c r="F3" s="1" t="s">
        <v>16</v>
      </c>
      <c r="G3" s="5" t="s">
        <v>17</v>
      </c>
      <c r="H3" s="5" t="s">
        <v>15</v>
      </c>
      <c r="I3" s="19" t="s">
        <v>21</v>
      </c>
      <c r="J3" s="20">
        <v>0</v>
      </c>
      <c r="K3" s="20">
        <v>2</v>
      </c>
      <c r="L3" s="5" t="s">
        <v>19</v>
      </c>
      <c r="M3" s="5" t="s">
        <v>20</v>
      </c>
      <c r="N3" s="21">
        <v>0</v>
      </c>
    </row>
    <row r="4" spans="1:14" ht="30" x14ac:dyDescent="0.25">
      <c r="A4" s="10" t="s">
        <v>13</v>
      </c>
      <c r="B4" s="11">
        <v>45232</v>
      </c>
      <c r="C4" s="12">
        <v>45236</v>
      </c>
      <c r="D4" s="10" t="s">
        <v>14</v>
      </c>
      <c r="E4" s="10" t="s">
        <v>15</v>
      </c>
      <c r="F4" s="10" t="s">
        <v>16</v>
      </c>
      <c r="G4" s="13" t="s">
        <v>22</v>
      </c>
      <c r="H4" s="13" t="s">
        <v>15</v>
      </c>
      <c r="I4" s="14" t="s">
        <v>23</v>
      </c>
      <c r="J4" s="15">
        <v>0</v>
      </c>
      <c r="K4" s="15">
        <v>4</v>
      </c>
      <c r="L4" s="13" t="s">
        <v>19</v>
      </c>
      <c r="M4" s="13" t="s">
        <v>20</v>
      </c>
      <c r="N4" s="16">
        <v>0</v>
      </c>
    </row>
    <row r="5" spans="1:14" ht="30" x14ac:dyDescent="0.25">
      <c r="A5" s="1" t="s">
        <v>13</v>
      </c>
      <c r="B5" s="17">
        <v>45232</v>
      </c>
      <c r="C5" s="18">
        <v>45236</v>
      </c>
      <c r="D5" s="1" t="s">
        <v>14</v>
      </c>
      <c r="E5" s="1" t="s">
        <v>15</v>
      </c>
      <c r="F5" s="1" t="s">
        <v>16</v>
      </c>
      <c r="G5" s="5" t="s">
        <v>17</v>
      </c>
      <c r="H5" s="5" t="s">
        <v>15</v>
      </c>
      <c r="I5" s="19" t="s">
        <v>24</v>
      </c>
      <c r="J5" s="20">
        <v>0</v>
      </c>
      <c r="K5" s="20">
        <v>1</v>
      </c>
      <c r="L5" s="5" t="s">
        <v>19</v>
      </c>
      <c r="M5" s="5" t="s">
        <v>20</v>
      </c>
      <c r="N5" s="21">
        <v>0</v>
      </c>
    </row>
    <row r="6" spans="1:14" x14ac:dyDescent="0.25">
      <c r="A6" s="10" t="s">
        <v>13</v>
      </c>
      <c r="B6" s="11">
        <v>45232</v>
      </c>
      <c r="C6" s="38">
        <v>45236</v>
      </c>
      <c r="D6" s="10" t="s">
        <v>14</v>
      </c>
      <c r="E6" s="10" t="s">
        <v>15</v>
      </c>
      <c r="F6" s="10" t="s">
        <v>16</v>
      </c>
      <c r="G6" s="13" t="s">
        <v>22</v>
      </c>
      <c r="H6" s="13" t="s">
        <v>15</v>
      </c>
      <c r="I6" s="10" t="s">
        <v>25</v>
      </c>
      <c r="J6" s="15">
        <v>0</v>
      </c>
      <c r="K6" s="15">
        <v>1</v>
      </c>
      <c r="L6" s="13" t="s">
        <v>19</v>
      </c>
      <c r="M6" s="13" t="s">
        <v>20</v>
      </c>
      <c r="N6" s="16">
        <v>0</v>
      </c>
    </row>
    <row r="7" spans="1:14" ht="30" x14ac:dyDescent="0.25">
      <c r="A7" s="1" t="s">
        <v>13</v>
      </c>
      <c r="B7" s="17">
        <v>45233</v>
      </c>
      <c r="C7" s="18">
        <v>45236</v>
      </c>
      <c r="D7" s="1" t="s">
        <v>14</v>
      </c>
      <c r="E7" s="1" t="s">
        <v>15</v>
      </c>
      <c r="F7" s="1" t="s">
        <v>16</v>
      </c>
      <c r="G7" s="5" t="s">
        <v>22</v>
      </c>
      <c r="H7" s="5" t="s">
        <v>15</v>
      </c>
      <c r="I7" s="19" t="s">
        <v>26</v>
      </c>
      <c r="J7" s="20">
        <v>0</v>
      </c>
      <c r="K7" s="20">
        <v>4</v>
      </c>
      <c r="L7" s="5" t="s">
        <v>19</v>
      </c>
      <c r="M7" s="5" t="s">
        <v>20</v>
      </c>
      <c r="N7" s="21">
        <v>0</v>
      </c>
    </row>
    <row r="8" spans="1:14" x14ac:dyDescent="0.25">
      <c r="A8" s="10" t="s">
        <v>13</v>
      </c>
      <c r="B8" s="11">
        <v>45236</v>
      </c>
      <c r="C8" s="12">
        <v>45238</v>
      </c>
      <c r="D8" s="10" t="s">
        <v>14</v>
      </c>
      <c r="E8" s="10" t="s">
        <v>15</v>
      </c>
      <c r="F8" s="10" t="s">
        <v>16</v>
      </c>
      <c r="G8" s="13" t="s">
        <v>17</v>
      </c>
      <c r="H8" s="13" t="s">
        <v>15</v>
      </c>
      <c r="I8" s="10" t="s">
        <v>27</v>
      </c>
      <c r="J8" s="15">
        <v>0</v>
      </c>
      <c r="K8" s="15">
        <v>3</v>
      </c>
      <c r="L8" s="13" t="s">
        <v>19</v>
      </c>
      <c r="M8" s="13" t="s">
        <v>20</v>
      </c>
      <c r="N8" s="16">
        <v>0</v>
      </c>
    </row>
    <row r="9" spans="1:14" ht="30" x14ac:dyDescent="0.25">
      <c r="A9" s="1" t="s">
        <v>13</v>
      </c>
      <c r="B9" s="17">
        <v>45236</v>
      </c>
      <c r="C9" s="18">
        <v>45238</v>
      </c>
      <c r="D9" s="1" t="s">
        <v>14</v>
      </c>
      <c r="E9" s="1" t="s">
        <v>15</v>
      </c>
      <c r="F9" s="1" t="s">
        <v>16</v>
      </c>
      <c r="G9" s="5" t="s">
        <v>22</v>
      </c>
      <c r="H9" s="5" t="s">
        <v>15</v>
      </c>
      <c r="I9" s="19" t="s">
        <v>28</v>
      </c>
      <c r="J9" s="20">
        <v>0</v>
      </c>
      <c r="K9" s="20">
        <v>1</v>
      </c>
      <c r="L9" s="5" t="s">
        <v>19</v>
      </c>
      <c r="M9" s="5" t="s">
        <v>20</v>
      </c>
      <c r="N9" s="21">
        <v>0</v>
      </c>
    </row>
    <row r="10" spans="1:14" x14ac:dyDescent="0.25">
      <c r="A10" s="10" t="s">
        <v>13</v>
      </c>
      <c r="B10" s="11">
        <v>45233</v>
      </c>
      <c r="C10" s="12">
        <v>45238</v>
      </c>
      <c r="D10" s="10" t="s">
        <v>14</v>
      </c>
      <c r="E10" s="10" t="s">
        <v>15</v>
      </c>
      <c r="F10" s="10" t="s">
        <v>16</v>
      </c>
      <c r="G10" s="13" t="s">
        <v>22</v>
      </c>
      <c r="H10" s="13" t="s">
        <v>15</v>
      </c>
      <c r="I10" s="10" t="s">
        <v>29</v>
      </c>
      <c r="J10" s="15">
        <v>0</v>
      </c>
      <c r="K10" s="15">
        <v>0.5</v>
      </c>
      <c r="L10" s="13" t="s">
        <v>19</v>
      </c>
      <c r="M10" s="13" t="s">
        <v>20</v>
      </c>
      <c r="N10" s="16">
        <v>0</v>
      </c>
    </row>
    <row r="11" spans="1:14" ht="30" x14ac:dyDescent="0.25">
      <c r="A11" s="1" t="s">
        <v>13</v>
      </c>
      <c r="B11" s="17">
        <v>45237</v>
      </c>
      <c r="C11" s="18">
        <v>45238</v>
      </c>
      <c r="D11" s="1" t="s">
        <v>14</v>
      </c>
      <c r="E11" s="37" t="s">
        <v>15</v>
      </c>
      <c r="F11" s="1" t="s">
        <v>16</v>
      </c>
      <c r="G11" s="5" t="s">
        <v>17</v>
      </c>
      <c r="H11" s="5" t="s">
        <v>15</v>
      </c>
      <c r="I11" s="19" t="s">
        <v>30</v>
      </c>
      <c r="J11" s="20">
        <v>0</v>
      </c>
      <c r="K11" s="20">
        <v>2</v>
      </c>
      <c r="L11" s="5" t="s">
        <v>19</v>
      </c>
      <c r="M11" s="5" t="s">
        <v>20</v>
      </c>
      <c r="N11" s="21">
        <v>0</v>
      </c>
    </row>
    <row r="12" spans="1:14" ht="45" x14ac:dyDescent="0.25">
      <c r="A12" s="10" t="s">
        <v>13</v>
      </c>
      <c r="B12" s="11">
        <v>45239</v>
      </c>
      <c r="C12" s="12">
        <v>45243</v>
      </c>
      <c r="D12" s="10" t="s">
        <v>14</v>
      </c>
      <c r="E12" s="10" t="s">
        <v>15</v>
      </c>
      <c r="F12" s="10" t="s">
        <v>16</v>
      </c>
      <c r="G12" s="13" t="s">
        <v>17</v>
      </c>
      <c r="H12" s="13" t="s">
        <v>15</v>
      </c>
      <c r="I12" s="14" t="s">
        <v>31</v>
      </c>
      <c r="J12" s="15">
        <v>0</v>
      </c>
      <c r="K12" s="15">
        <v>1</v>
      </c>
      <c r="L12" s="13" t="s">
        <v>19</v>
      </c>
      <c r="M12" s="13" t="s">
        <v>20</v>
      </c>
      <c r="N12" s="16">
        <v>0</v>
      </c>
    </row>
    <row r="13" spans="1:14" x14ac:dyDescent="0.25">
      <c r="A13" s="1" t="s">
        <v>13</v>
      </c>
      <c r="B13" s="17">
        <v>45238</v>
      </c>
      <c r="C13" s="18">
        <v>45243</v>
      </c>
      <c r="D13" s="1" t="s">
        <v>14</v>
      </c>
      <c r="E13" s="1" t="s">
        <v>15</v>
      </c>
      <c r="F13" s="1" t="s">
        <v>16</v>
      </c>
      <c r="G13" s="5" t="s">
        <v>17</v>
      </c>
      <c r="H13" s="5" t="s">
        <v>15</v>
      </c>
      <c r="I13" s="1" t="s">
        <v>32</v>
      </c>
      <c r="J13" s="20">
        <v>0</v>
      </c>
      <c r="K13" s="20">
        <v>2</v>
      </c>
      <c r="L13" s="5" t="s">
        <v>19</v>
      </c>
      <c r="M13" s="5" t="s">
        <v>20</v>
      </c>
      <c r="N13" s="21">
        <v>0</v>
      </c>
    </row>
    <row r="14" spans="1:14" ht="30" x14ac:dyDescent="0.25">
      <c r="A14" s="10" t="s">
        <v>13</v>
      </c>
      <c r="B14" s="11">
        <v>45240</v>
      </c>
      <c r="C14" s="12">
        <v>45243</v>
      </c>
      <c r="D14" s="10" t="s">
        <v>14</v>
      </c>
      <c r="E14" s="10" t="s">
        <v>15</v>
      </c>
      <c r="F14" s="10" t="s">
        <v>16</v>
      </c>
      <c r="G14" s="13" t="s">
        <v>22</v>
      </c>
      <c r="H14" s="13" t="s">
        <v>15</v>
      </c>
      <c r="I14" s="14" t="s">
        <v>33</v>
      </c>
      <c r="J14" s="15">
        <v>0</v>
      </c>
      <c r="K14" s="15">
        <v>4</v>
      </c>
      <c r="L14" s="13" t="s">
        <v>19</v>
      </c>
      <c r="M14" s="13" t="s">
        <v>20</v>
      </c>
      <c r="N14" s="16">
        <v>0</v>
      </c>
    </row>
    <row r="15" spans="1:14" ht="30" x14ac:dyDescent="0.25">
      <c r="A15" s="1" t="s">
        <v>13</v>
      </c>
      <c r="B15" s="17">
        <v>45240</v>
      </c>
      <c r="C15" s="18">
        <v>45243</v>
      </c>
      <c r="D15" s="1" t="s">
        <v>14</v>
      </c>
      <c r="E15" s="1" t="s">
        <v>15</v>
      </c>
      <c r="F15" s="1" t="s">
        <v>16</v>
      </c>
      <c r="G15" s="5" t="s">
        <v>17</v>
      </c>
      <c r="H15" s="5" t="s">
        <v>15</v>
      </c>
      <c r="I15" s="19" t="s">
        <v>34</v>
      </c>
      <c r="J15" s="20">
        <v>0</v>
      </c>
      <c r="K15" s="20">
        <v>1.75</v>
      </c>
      <c r="L15" s="5" t="s">
        <v>19</v>
      </c>
      <c r="M15" s="5" t="s">
        <v>20</v>
      </c>
      <c r="N15" s="21">
        <v>0</v>
      </c>
    </row>
    <row r="16" spans="1:14" x14ac:dyDescent="0.25">
      <c r="A16" s="10" t="s">
        <v>13</v>
      </c>
      <c r="B16" s="11">
        <v>45238</v>
      </c>
      <c r="C16" s="12">
        <v>45243</v>
      </c>
      <c r="D16" s="10" t="s">
        <v>14</v>
      </c>
      <c r="E16" s="10" t="s">
        <v>15</v>
      </c>
      <c r="F16" s="10" t="s">
        <v>16</v>
      </c>
      <c r="G16" s="13" t="s">
        <v>22</v>
      </c>
      <c r="H16" s="13" t="s">
        <v>15</v>
      </c>
      <c r="I16" s="14" t="s">
        <v>35</v>
      </c>
      <c r="J16" s="15">
        <v>0</v>
      </c>
      <c r="K16" s="15">
        <v>1</v>
      </c>
      <c r="L16" s="13" t="s">
        <v>19</v>
      </c>
      <c r="M16" s="13" t="s">
        <v>20</v>
      </c>
      <c r="N16" s="16">
        <v>0</v>
      </c>
    </row>
    <row r="17" spans="1:14" ht="45" x14ac:dyDescent="0.25">
      <c r="A17" s="1" t="s">
        <v>13</v>
      </c>
      <c r="B17" s="17">
        <v>45237</v>
      </c>
      <c r="C17" s="18">
        <v>45243</v>
      </c>
      <c r="D17" s="1" t="s">
        <v>14</v>
      </c>
      <c r="E17" s="1" t="s">
        <v>15</v>
      </c>
      <c r="F17" s="1" t="s">
        <v>16</v>
      </c>
      <c r="G17" s="5" t="s">
        <v>36</v>
      </c>
      <c r="H17" s="5" t="s">
        <v>15</v>
      </c>
      <c r="I17" s="19" t="s">
        <v>37</v>
      </c>
      <c r="J17" s="20">
        <v>0</v>
      </c>
      <c r="K17" s="20">
        <v>2</v>
      </c>
      <c r="L17" s="5" t="s">
        <v>19</v>
      </c>
      <c r="M17" s="5" t="s">
        <v>20</v>
      </c>
      <c r="N17" s="21">
        <v>0</v>
      </c>
    </row>
    <row r="18" spans="1:14" ht="45" x14ac:dyDescent="0.25">
      <c r="A18" s="10" t="s">
        <v>13</v>
      </c>
      <c r="B18" s="11">
        <v>45239</v>
      </c>
      <c r="C18" s="12">
        <v>45243</v>
      </c>
      <c r="D18" s="10" t="s">
        <v>14</v>
      </c>
      <c r="E18" s="10" t="s">
        <v>15</v>
      </c>
      <c r="F18" s="10" t="s">
        <v>16</v>
      </c>
      <c r="G18" s="13" t="s">
        <v>38</v>
      </c>
      <c r="H18" s="13" t="s">
        <v>15</v>
      </c>
      <c r="I18" s="14" t="s">
        <v>39</v>
      </c>
      <c r="J18" s="15">
        <v>0</v>
      </c>
      <c r="K18" s="15">
        <v>1</v>
      </c>
      <c r="L18" s="13" t="s">
        <v>19</v>
      </c>
      <c r="M18" s="13" t="s">
        <v>20</v>
      </c>
      <c r="N18" s="16">
        <v>0</v>
      </c>
    </row>
    <row r="19" spans="1:14" x14ac:dyDescent="0.25">
      <c r="A19" s="1" t="s">
        <v>13</v>
      </c>
      <c r="B19" s="17">
        <v>45243</v>
      </c>
      <c r="C19" s="18">
        <v>45244</v>
      </c>
      <c r="D19" s="1" t="s">
        <v>14</v>
      </c>
      <c r="E19" s="1" t="s">
        <v>15</v>
      </c>
      <c r="F19" s="1" t="s">
        <v>16</v>
      </c>
      <c r="G19" s="5" t="s">
        <v>17</v>
      </c>
      <c r="H19" s="5" t="s">
        <v>15</v>
      </c>
      <c r="I19" s="1" t="s">
        <v>40</v>
      </c>
      <c r="J19" s="20">
        <v>0</v>
      </c>
      <c r="K19" s="20">
        <v>1.5</v>
      </c>
      <c r="L19" s="5" t="s">
        <v>19</v>
      </c>
      <c r="M19" s="5" t="s">
        <v>20</v>
      </c>
      <c r="N19" s="21">
        <v>0</v>
      </c>
    </row>
    <row r="20" spans="1:14" ht="30" x14ac:dyDescent="0.25">
      <c r="A20" s="10" t="s">
        <v>13</v>
      </c>
      <c r="B20" s="11">
        <v>45243</v>
      </c>
      <c r="C20" s="12">
        <v>45244</v>
      </c>
      <c r="D20" s="10" t="s">
        <v>14</v>
      </c>
      <c r="E20" s="10" t="s">
        <v>15</v>
      </c>
      <c r="F20" s="10" t="s">
        <v>16</v>
      </c>
      <c r="G20" s="13" t="s">
        <v>38</v>
      </c>
      <c r="H20" s="13" t="s">
        <v>15</v>
      </c>
      <c r="I20" s="14" t="s">
        <v>41</v>
      </c>
      <c r="J20" s="15">
        <v>0</v>
      </c>
      <c r="K20" s="15">
        <v>1.5</v>
      </c>
      <c r="L20" s="13" t="s">
        <v>19</v>
      </c>
      <c r="M20" s="13" t="s">
        <v>20</v>
      </c>
      <c r="N20" s="16">
        <v>0</v>
      </c>
    </row>
    <row r="21" spans="1:14" ht="30" x14ac:dyDescent="0.25">
      <c r="A21" s="1" t="s">
        <v>13</v>
      </c>
      <c r="B21" s="17">
        <v>45238</v>
      </c>
      <c r="C21" s="18">
        <v>45244</v>
      </c>
      <c r="D21" s="1" t="s">
        <v>14</v>
      </c>
      <c r="E21" s="1" t="s">
        <v>15</v>
      </c>
      <c r="F21" s="1" t="s">
        <v>16</v>
      </c>
      <c r="G21" s="5" t="s">
        <v>22</v>
      </c>
      <c r="H21" s="5" t="s">
        <v>15</v>
      </c>
      <c r="I21" s="19" t="s">
        <v>42</v>
      </c>
      <c r="J21" s="20">
        <v>0</v>
      </c>
      <c r="K21" s="20">
        <v>2.5</v>
      </c>
      <c r="L21" s="5" t="s">
        <v>19</v>
      </c>
      <c r="M21" s="5" t="s">
        <v>20</v>
      </c>
      <c r="N21" s="21">
        <v>0</v>
      </c>
    </row>
    <row r="22" spans="1:14" ht="30" x14ac:dyDescent="0.25">
      <c r="A22" s="10" t="s">
        <v>13</v>
      </c>
      <c r="B22" s="11">
        <v>45244</v>
      </c>
      <c r="C22" s="12">
        <v>45246</v>
      </c>
      <c r="D22" s="10" t="s">
        <v>14</v>
      </c>
      <c r="E22" s="10" t="s">
        <v>15</v>
      </c>
      <c r="F22" s="10" t="s">
        <v>16</v>
      </c>
      <c r="G22" s="13" t="s">
        <v>43</v>
      </c>
      <c r="H22" s="13" t="s">
        <v>15</v>
      </c>
      <c r="I22" s="14" t="s">
        <v>44</v>
      </c>
      <c r="J22" s="15">
        <v>0</v>
      </c>
      <c r="K22" s="15">
        <v>1.25</v>
      </c>
      <c r="L22" s="13" t="s">
        <v>19</v>
      </c>
      <c r="M22" s="13" t="s">
        <v>20</v>
      </c>
      <c r="N22" s="16">
        <v>0</v>
      </c>
    </row>
    <row r="23" spans="1:14" ht="30" x14ac:dyDescent="0.25">
      <c r="A23" s="1" t="s">
        <v>13</v>
      </c>
      <c r="B23" s="17">
        <v>45244</v>
      </c>
      <c r="C23" s="18">
        <v>45246</v>
      </c>
      <c r="D23" s="1" t="s">
        <v>14</v>
      </c>
      <c r="E23" s="1" t="s">
        <v>15</v>
      </c>
      <c r="F23" s="1" t="s">
        <v>16</v>
      </c>
      <c r="G23" s="5" t="s">
        <v>43</v>
      </c>
      <c r="H23" s="5" t="s">
        <v>15</v>
      </c>
      <c r="I23" s="19" t="s">
        <v>45</v>
      </c>
      <c r="J23" s="20">
        <v>0</v>
      </c>
      <c r="K23" s="20">
        <v>2.5</v>
      </c>
      <c r="L23" s="5" t="s">
        <v>19</v>
      </c>
      <c r="M23" s="5" t="s">
        <v>20</v>
      </c>
      <c r="N23" s="21">
        <v>0</v>
      </c>
    </row>
    <row r="24" spans="1:14" x14ac:dyDescent="0.25">
      <c r="A24" s="10" t="s">
        <v>13</v>
      </c>
      <c r="B24" s="11">
        <v>45245</v>
      </c>
      <c r="C24" s="12">
        <v>45246</v>
      </c>
      <c r="D24" s="10" t="s">
        <v>14</v>
      </c>
      <c r="E24" s="10" t="s">
        <v>15</v>
      </c>
      <c r="F24" s="10" t="s">
        <v>16</v>
      </c>
      <c r="G24" s="13" t="s">
        <v>43</v>
      </c>
      <c r="H24" s="13" t="s">
        <v>15</v>
      </c>
      <c r="I24" s="14" t="s">
        <v>46</v>
      </c>
      <c r="J24" s="15">
        <v>0</v>
      </c>
      <c r="K24" s="15">
        <v>1</v>
      </c>
      <c r="L24" s="13" t="s">
        <v>19</v>
      </c>
      <c r="M24" s="13" t="s">
        <v>20</v>
      </c>
      <c r="N24" s="16">
        <v>0</v>
      </c>
    </row>
    <row r="25" spans="1:14" ht="45" x14ac:dyDescent="0.25">
      <c r="A25" s="1" t="s">
        <v>13</v>
      </c>
      <c r="B25" s="17">
        <v>45245</v>
      </c>
      <c r="C25" s="18">
        <v>45246</v>
      </c>
      <c r="D25" s="1" t="s">
        <v>14</v>
      </c>
      <c r="E25" s="1" t="s">
        <v>15</v>
      </c>
      <c r="F25" s="1" t="s">
        <v>16</v>
      </c>
      <c r="G25" s="5" t="s">
        <v>38</v>
      </c>
      <c r="H25" s="5" t="s">
        <v>15</v>
      </c>
      <c r="I25" s="19" t="s">
        <v>47</v>
      </c>
      <c r="J25" s="20">
        <v>0</v>
      </c>
      <c r="K25" s="20">
        <v>2.25</v>
      </c>
      <c r="L25" s="5" t="s">
        <v>19</v>
      </c>
      <c r="M25" s="5" t="s">
        <v>20</v>
      </c>
      <c r="N25" s="21">
        <v>0</v>
      </c>
    </row>
    <row r="26" spans="1:14" ht="30" x14ac:dyDescent="0.25">
      <c r="A26" s="10" t="s">
        <v>13</v>
      </c>
      <c r="B26" s="11">
        <v>45245</v>
      </c>
      <c r="C26" s="12">
        <v>45246</v>
      </c>
      <c r="D26" s="10" t="s">
        <v>14</v>
      </c>
      <c r="E26" s="10" t="s">
        <v>15</v>
      </c>
      <c r="F26" s="10" t="s">
        <v>16</v>
      </c>
      <c r="G26" s="13" t="s">
        <v>17</v>
      </c>
      <c r="H26" s="13" t="s">
        <v>15</v>
      </c>
      <c r="I26" s="14" t="s">
        <v>48</v>
      </c>
      <c r="J26" s="15">
        <v>0</v>
      </c>
      <c r="K26" s="15">
        <v>2</v>
      </c>
      <c r="L26" s="13" t="s">
        <v>19</v>
      </c>
      <c r="M26" s="13" t="s">
        <v>20</v>
      </c>
      <c r="N26" s="16">
        <v>0</v>
      </c>
    </row>
    <row r="27" spans="1:14" ht="60" x14ac:dyDescent="0.25">
      <c r="A27" s="1" t="s">
        <v>13</v>
      </c>
      <c r="B27" s="17">
        <v>45239</v>
      </c>
      <c r="C27" s="18">
        <v>45246</v>
      </c>
      <c r="D27" s="1" t="s">
        <v>14</v>
      </c>
      <c r="E27" s="1" t="s">
        <v>15</v>
      </c>
      <c r="F27" s="1" t="s">
        <v>16</v>
      </c>
      <c r="G27" s="5" t="s">
        <v>17</v>
      </c>
      <c r="H27" s="5" t="s">
        <v>15</v>
      </c>
      <c r="I27" s="19" t="s">
        <v>49</v>
      </c>
      <c r="J27" s="20">
        <v>0</v>
      </c>
      <c r="K27" s="20">
        <v>2.5</v>
      </c>
      <c r="L27" s="5" t="s">
        <v>19</v>
      </c>
      <c r="M27" s="5" t="s">
        <v>20</v>
      </c>
      <c r="N27" s="21">
        <v>0</v>
      </c>
    </row>
    <row r="28" spans="1:14" x14ac:dyDescent="0.25">
      <c r="A28" s="10" t="s">
        <v>13</v>
      </c>
      <c r="B28" s="11">
        <v>45246</v>
      </c>
      <c r="C28" s="12">
        <v>45250</v>
      </c>
      <c r="D28" s="10" t="s">
        <v>14</v>
      </c>
      <c r="E28" s="10" t="s">
        <v>15</v>
      </c>
      <c r="F28" s="10" t="s">
        <v>16</v>
      </c>
      <c r="G28" s="13" t="s">
        <v>22</v>
      </c>
      <c r="H28" s="13" t="s">
        <v>15</v>
      </c>
      <c r="I28" s="10" t="s">
        <v>50</v>
      </c>
      <c r="J28" s="15">
        <v>0</v>
      </c>
      <c r="K28" s="15">
        <v>2.5</v>
      </c>
      <c r="L28" s="13" t="s">
        <v>19</v>
      </c>
      <c r="M28" s="13" t="s">
        <v>20</v>
      </c>
      <c r="N28" s="16">
        <v>0</v>
      </c>
    </row>
    <row r="29" spans="1:14" x14ac:dyDescent="0.25">
      <c r="A29" s="1" t="s">
        <v>13</v>
      </c>
      <c r="B29" s="17">
        <v>45253</v>
      </c>
      <c r="C29" s="18">
        <v>45257</v>
      </c>
      <c r="D29" s="1" t="s">
        <v>14</v>
      </c>
      <c r="E29" s="1" t="s">
        <v>15</v>
      </c>
      <c r="F29" s="1" t="s">
        <v>16</v>
      </c>
      <c r="G29" s="5" t="s">
        <v>51</v>
      </c>
      <c r="H29" s="5" t="s">
        <v>15</v>
      </c>
      <c r="I29" s="1" t="s">
        <v>52</v>
      </c>
      <c r="J29" s="20">
        <v>0</v>
      </c>
      <c r="K29" s="20">
        <v>8</v>
      </c>
      <c r="L29" s="5" t="s">
        <v>19</v>
      </c>
      <c r="M29" s="5" t="s">
        <v>20</v>
      </c>
      <c r="N29" s="21">
        <v>0</v>
      </c>
    </row>
    <row r="30" spans="1:14" x14ac:dyDescent="0.25">
      <c r="A30" s="10" t="s">
        <v>13</v>
      </c>
      <c r="B30" s="11">
        <v>45252</v>
      </c>
      <c r="C30" s="12">
        <v>45257</v>
      </c>
      <c r="D30" s="10" t="s">
        <v>14</v>
      </c>
      <c r="E30" s="10" t="s">
        <v>15</v>
      </c>
      <c r="F30" s="10" t="s">
        <v>16</v>
      </c>
      <c r="G30" s="13" t="s">
        <v>53</v>
      </c>
      <c r="H30" s="13" t="s">
        <v>15</v>
      </c>
      <c r="I30" s="10" t="s">
        <v>54</v>
      </c>
      <c r="J30" s="15">
        <v>0</v>
      </c>
      <c r="K30" s="15">
        <v>4</v>
      </c>
      <c r="L30" s="13" t="s">
        <v>19</v>
      </c>
      <c r="M30" s="13" t="s">
        <v>20</v>
      </c>
      <c r="N30" s="16">
        <v>0</v>
      </c>
    </row>
    <row r="31" spans="1:14" x14ac:dyDescent="0.25">
      <c r="A31" s="1" t="s">
        <v>13</v>
      </c>
      <c r="B31" s="17">
        <v>45252</v>
      </c>
      <c r="C31" s="18">
        <v>45257</v>
      </c>
      <c r="D31" s="1" t="s">
        <v>14</v>
      </c>
      <c r="E31" s="1" t="s">
        <v>15</v>
      </c>
      <c r="F31" s="1" t="s">
        <v>16</v>
      </c>
      <c r="G31" s="5" t="s">
        <v>51</v>
      </c>
      <c r="H31" s="5" t="s">
        <v>15</v>
      </c>
      <c r="I31" s="1" t="s">
        <v>55</v>
      </c>
      <c r="J31" s="20">
        <v>0</v>
      </c>
      <c r="K31" s="20">
        <v>4</v>
      </c>
      <c r="L31" s="5" t="s">
        <v>19</v>
      </c>
      <c r="M31" s="5" t="s">
        <v>20</v>
      </c>
      <c r="N31" s="21">
        <v>0</v>
      </c>
    </row>
    <row r="32" spans="1:14" x14ac:dyDescent="0.25">
      <c r="A32" s="10" t="s">
        <v>13</v>
      </c>
      <c r="B32" s="11">
        <v>45254</v>
      </c>
      <c r="C32" s="12">
        <v>45257</v>
      </c>
      <c r="D32" s="10" t="s">
        <v>14</v>
      </c>
      <c r="E32" s="10" t="s">
        <v>15</v>
      </c>
      <c r="F32" s="10" t="s">
        <v>16</v>
      </c>
      <c r="G32" s="13" t="s">
        <v>51</v>
      </c>
      <c r="H32" s="13" t="s">
        <v>15</v>
      </c>
      <c r="I32" s="10" t="s">
        <v>56</v>
      </c>
      <c r="J32" s="15">
        <v>0</v>
      </c>
      <c r="K32" s="15">
        <v>8</v>
      </c>
      <c r="L32" s="13" t="s">
        <v>19</v>
      </c>
      <c r="M32" s="13" t="s">
        <v>20</v>
      </c>
      <c r="N32" s="16">
        <v>0</v>
      </c>
    </row>
    <row r="33" spans="1:14" ht="30" x14ac:dyDescent="0.25">
      <c r="A33" s="1" t="s">
        <v>13</v>
      </c>
      <c r="B33" s="17">
        <v>45257</v>
      </c>
      <c r="C33" s="18">
        <v>45258</v>
      </c>
      <c r="D33" s="1" t="s">
        <v>14</v>
      </c>
      <c r="E33" s="1" t="s">
        <v>15</v>
      </c>
      <c r="F33" s="1" t="s">
        <v>16</v>
      </c>
      <c r="G33" s="5" t="s">
        <v>22</v>
      </c>
      <c r="H33" s="5" t="s">
        <v>15</v>
      </c>
      <c r="I33" s="19" t="s">
        <v>57</v>
      </c>
      <c r="J33" s="20">
        <v>0</v>
      </c>
      <c r="K33" s="20">
        <v>2</v>
      </c>
      <c r="L33" s="5" t="s">
        <v>19</v>
      </c>
      <c r="M33" s="5" t="s">
        <v>20</v>
      </c>
      <c r="N33" s="21">
        <v>0</v>
      </c>
    </row>
    <row r="34" spans="1:14" ht="30" x14ac:dyDescent="0.25">
      <c r="A34" s="10" t="s">
        <v>13</v>
      </c>
      <c r="B34" s="11">
        <v>45250</v>
      </c>
      <c r="C34" s="12">
        <v>45258</v>
      </c>
      <c r="D34" s="10" t="s">
        <v>14</v>
      </c>
      <c r="E34" s="10" t="s">
        <v>15</v>
      </c>
      <c r="F34" s="10" t="s">
        <v>16</v>
      </c>
      <c r="G34" s="13" t="s">
        <v>38</v>
      </c>
      <c r="H34" s="13" t="s">
        <v>15</v>
      </c>
      <c r="I34" s="14" t="s">
        <v>58</v>
      </c>
      <c r="J34" s="15">
        <v>0</v>
      </c>
      <c r="K34" s="15">
        <v>1</v>
      </c>
      <c r="L34" s="13" t="s">
        <v>19</v>
      </c>
      <c r="M34" s="13" t="s">
        <v>20</v>
      </c>
      <c r="N34" s="16">
        <v>0</v>
      </c>
    </row>
    <row r="35" spans="1:14" x14ac:dyDescent="0.25">
      <c r="A35" s="1" t="s">
        <v>13</v>
      </c>
      <c r="B35" s="17">
        <v>45258</v>
      </c>
      <c r="C35" s="18">
        <v>45260</v>
      </c>
      <c r="D35" s="1" t="s">
        <v>14</v>
      </c>
      <c r="E35" s="1" t="s">
        <v>15</v>
      </c>
      <c r="F35" s="1" t="s">
        <v>16</v>
      </c>
      <c r="G35" s="5" t="s">
        <v>22</v>
      </c>
      <c r="H35" s="5" t="s">
        <v>15</v>
      </c>
      <c r="I35" s="19" t="s">
        <v>59</v>
      </c>
      <c r="J35" s="20">
        <v>0</v>
      </c>
      <c r="K35" s="20">
        <v>2</v>
      </c>
      <c r="L35" s="5" t="s">
        <v>19</v>
      </c>
      <c r="M35" s="5" t="s">
        <v>20</v>
      </c>
      <c r="N35" s="21">
        <v>0</v>
      </c>
    </row>
    <row r="36" spans="1:14" x14ac:dyDescent="0.25">
      <c r="A36" s="10" t="s">
        <v>13</v>
      </c>
      <c r="B36" s="11">
        <v>45257</v>
      </c>
      <c r="C36" s="12">
        <v>45260</v>
      </c>
      <c r="D36" s="10" t="s">
        <v>14</v>
      </c>
      <c r="E36" s="10" t="s">
        <v>15</v>
      </c>
      <c r="F36" s="10" t="s">
        <v>16</v>
      </c>
      <c r="G36" s="13" t="s">
        <v>53</v>
      </c>
      <c r="H36" s="13" t="s">
        <v>15</v>
      </c>
      <c r="I36" s="10" t="s">
        <v>60</v>
      </c>
      <c r="J36" s="15">
        <v>0</v>
      </c>
      <c r="K36" s="15">
        <v>4</v>
      </c>
      <c r="L36" s="13" t="s">
        <v>19</v>
      </c>
      <c r="M36" s="13" t="s">
        <v>20</v>
      </c>
      <c r="N36" s="16">
        <v>0</v>
      </c>
    </row>
    <row r="37" spans="1:14" x14ac:dyDescent="0.25">
      <c r="A37" s="1" t="s">
        <v>13</v>
      </c>
      <c r="B37" s="17">
        <v>45257</v>
      </c>
      <c r="C37" s="18">
        <v>45260</v>
      </c>
      <c r="D37" s="1" t="s">
        <v>14</v>
      </c>
      <c r="E37" s="1" t="s">
        <v>15</v>
      </c>
      <c r="F37" s="1" t="s">
        <v>16</v>
      </c>
      <c r="G37" s="5" t="s">
        <v>38</v>
      </c>
      <c r="H37" s="5" t="s">
        <v>15</v>
      </c>
      <c r="I37" s="19" t="s">
        <v>61</v>
      </c>
      <c r="J37" s="20">
        <v>0</v>
      </c>
      <c r="K37" s="20">
        <v>1</v>
      </c>
      <c r="L37" s="5" t="s">
        <v>19</v>
      </c>
      <c r="M37" s="5" t="s">
        <v>20</v>
      </c>
      <c r="N37" s="21">
        <v>0</v>
      </c>
    </row>
    <row r="38" spans="1:14" x14ac:dyDescent="0.25">
      <c r="A38" s="10" t="s">
        <v>13</v>
      </c>
      <c r="B38" s="11">
        <v>45257</v>
      </c>
      <c r="C38" s="12">
        <v>45260</v>
      </c>
      <c r="D38" s="10" t="s">
        <v>14</v>
      </c>
      <c r="E38" s="10" t="s">
        <v>15</v>
      </c>
      <c r="F38" s="10" t="s">
        <v>16</v>
      </c>
      <c r="G38" s="13" t="s">
        <v>17</v>
      </c>
      <c r="H38" s="13" t="s">
        <v>15</v>
      </c>
      <c r="I38" s="10" t="s">
        <v>62</v>
      </c>
      <c r="J38" s="15">
        <v>0</v>
      </c>
      <c r="K38" s="15">
        <v>0.5</v>
      </c>
      <c r="L38" s="13" t="s">
        <v>19</v>
      </c>
      <c r="M38" s="13" t="s">
        <v>20</v>
      </c>
      <c r="N38" s="16">
        <v>0</v>
      </c>
    </row>
    <row r="39" spans="1:14" ht="30" x14ac:dyDescent="0.25">
      <c r="A39" s="1" t="s">
        <v>13</v>
      </c>
      <c r="B39" s="17">
        <v>45258</v>
      </c>
      <c r="C39" s="18">
        <v>45260</v>
      </c>
      <c r="D39" s="1" t="s">
        <v>14</v>
      </c>
      <c r="E39" s="1" t="s">
        <v>15</v>
      </c>
      <c r="F39" s="1" t="s">
        <v>16</v>
      </c>
      <c r="G39" s="5" t="s">
        <v>17</v>
      </c>
      <c r="H39" s="5" t="s">
        <v>15</v>
      </c>
      <c r="I39" s="19" t="s">
        <v>63</v>
      </c>
      <c r="J39" s="20">
        <v>0</v>
      </c>
      <c r="K39" s="20">
        <v>2</v>
      </c>
      <c r="L39" s="5" t="s">
        <v>19</v>
      </c>
      <c r="M39" s="5" t="s">
        <v>20</v>
      </c>
      <c r="N39" s="21">
        <v>0</v>
      </c>
    </row>
    <row r="40" spans="1:14" ht="75" x14ac:dyDescent="0.25">
      <c r="A40" s="10" t="s">
        <v>13</v>
      </c>
      <c r="B40" s="11">
        <v>45251</v>
      </c>
      <c r="C40" s="12">
        <v>45260</v>
      </c>
      <c r="D40" s="10" t="s">
        <v>14</v>
      </c>
      <c r="E40" s="10" t="s">
        <v>15</v>
      </c>
      <c r="F40" s="10" t="s">
        <v>16</v>
      </c>
      <c r="G40" s="13" t="s">
        <v>17</v>
      </c>
      <c r="H40" s="13" t="s">
        <v>15</v>
      </c>
      <c r="I40" s="14" t="s">
        <v>64</v>
      </c>
      <c r="J40" s="15">
        <v>0</v>
      </c>
      <c r="K40" s="15">
        <v>4.25</v>
      </c>
      <c r="L40" s="13" t="s">
        <v>19</v>
      </c>
      <c r="M40" s="13" t="s">
        <v>20</v>
      </c>
      <c r="N40" s="16">
        <v>0</v>
      </c>
    </row>
    <row r="41" spans="1:14" ht="45" x14ac:dyDescent="0.25">
      <c r="A41" s="1" t="s">
        <v>13</v>
      </c>
      <c r="B41" s="17">
        <v>45250</v>
      </c>
      <c r="C41" s="18">
        <v>45260</v>
      </c>
      <c r="D41" s="1" t="s">
        <v>14</v>
      </c>
      <c r="E41" s="1" t="s">
        <v>15</v>
      </c>
      <c r="F41" s="1" t="s">
        <v>16</v>
      </c>
      <c r="G41" s="5" t="s">
        <v>17</v>
      </c>
      <c r="H41" s="5" t="s">
        <v>15</v>
      </c>
      <c r="I41" s="19" t="s">
        <v>65</v>
      </c>
      <c r="J41" s="20">
        <v>0</v>
      </c>
      <c r="K41" s="20">
        <v>3.5</v>
      </c>
      <c r="L41" s="5" t="s">
        <v>19</v>
      </c>
      <c r="M41" s="5" t="s">
        <v>20</v>
      </c>
      <c r="N41" s="21">
        <v>0</v>
      </c>
    </row>
    <row r="42" spans="1:14" ht="60" x14ac:dyDescent="0.25">
      <c r="A42" s="10" t="s">
        <v>13</v>
      </c>
      <c r="B42" s="11">
        <v>45246</v>
      </c>
      <c r="C42" s="12">
        <v>45260</v>
      </c>
      <c r="D42" s="10" t="s">
        <v>14</v>
      </c>
      <c r="E42" s="10" t="s">
        <v>15</v>
      </c>
      <c r="F42" s="10" t="s">
        <v>16</v>
      </c>
      <c r="G42" s="13" t="s">
        <v>17</v>
      </c>
      <c r="H42" s="13" t="s">
        <v>15</v>
      </c>
      <c r="I42" s="14" t="s">
        <v>66</v>
      </c>
      <c r="J42" s="15">
        <v>0</v>
      </c>
      <c r="K42" s="15">
        <v>3.25</v>
      </c>
      <c r="L42" s="13" t="s">
        <v>19</v>
      </c>
      <c r="M42" s="13" t="s">
        <v>20</v>
      </c>
      <c r="N42" s="16">
        <v>0</v>
      </c>
    </row>
    <row r="43" spans="1:14" ht="30" x14ac:dyDescent="0.25">
      <c r="A43" s="1" t="s">
        <v>13</v>
      </c>
      <c r="B43" s="17">
        <v>45247</v>
      </c>
      <c r="C43" s="18">
        <v>45260</v>
      </c>
      <c r="D43" s="1" t="s">
        <v>14</v>
      </c>
      <c r="E43" s="1" t="s">
        <v>15</v>
      </c>
      <c r="F43" s="1" t="s">
        <v>16</v>
      </c>
      <c r="G43" s="5" t="s">
        <v>17</v>
      </c>
      <c r="H43" s="5" t="s">
        <v>15</v>
      </c>
      <c r="I43" s="19" t="s">
        <v>67</v>
      </c>
      <c r="J43" s="20">
        <v>0</v>
      </c>
      <c r="K43" s="20">
        <v>1.25</v>
      </c>
      <c r="L43" s="5" t="s">
        <v>19</v>
      </c>
      <c r="M43" s="5" t="s">
        <v>20</v>
      </c>
      <c r="N43" s="21">
        <v>0</v>
      </c>
    </row>
    <row r="44" spans="1:14" x14ac:dyDescent="0.25">
      <c r="A44" s="10" t="s">
        <v>13</v>
      </c>
      <c r="B44" s="11">
        <v>45261</v>
      </c>
      <c r="C44" s="12">
        <v>45264</v>
      </c>
      <c r="D44" s="10" t="s">
        <v>14</v>
      </c>
      <c r="E44" s="10" t="s">
        <v>15</v>
      </c>
      <c r="F44" s="10" t="s">
        <v>16</v>
      </c>
      <c r="G44" s="13" t="s">
        <v>38</v>
      </c>
      <c r="H44" s="13" t="s">
        <v>15</v>
      </c>
      <c r="I44" s="14" t="s">
        <v>68</v>
      </c>
      <c r="J44" s="15">
        <v>0</v>
      </c>
      <c r="K44" s="15">
        <v>0.5</v>
      </c>
      <c r="L44" s="13" t="s">
        <v>19</v>
      </c>
      <c r="M44" s="13" t="s">
        <v>20</v>
      </c>
      <c r="N44" s="16">
        <v>0</v>
      </c>
    </row>
    <row r="45" spans="1:14" ht="30" x14ac:dyDescent="0.25">
      <c r="A45" s="1" t="s">
        <v>13</v>
      </c>
      <c r="B45" s="17">
        <v>45260</v>
      </c>
      <c r="C45" s="18">
        <v>45264</v>
      </c>
      <c r="D45" s="1" t="s">
        <v>14</v>
      </c>
      <c r="E45" s="1" t="s">
        <v>15</v>
      </c>
      <c r="F45" s="1" t="s">
        <v>16</v>
      </c>
      <c r="G45" s="5" t="s">
        <v>17</v>
      </c>
      <c r="H45" s="5" t="s">
        <v>15</v>
      </c>
      <c r="I45" s="19" t="s">
        <v>69</v>
      </c>
      <c r="J45" s="20">
        <v>0</v>
      </c>
      <c r="K45" s="20">
        <v>1.25</v>
      </c>
      <c r="L45" s="5" t="s">
        <v>19</v>
      </c>
      <c r="M45" s="5" t="s">
        <v>20</v>
      </c>
      <c r="N45" s="21">
        <v>0</v>
      </c>
    </row>
    <row r="46" spans="1:14" x14ac:dyDescent="0.25">
      <c r="A46" s="10" t="s">
        <v>13</v>
      </c>
      <c r="B46" s="11">
        <v>45261</v>
      </c>
      <c r="C46" s="12">
        <v>45264</v>
      </c>
      <c r="D46" s="10" t="s">
        <v>14</v>
      </c>
      <c r="E46" s="10" t="s">
        <v>15</v>
      </c>
      <c r="F46" s="10" t="s">
        <v>16</v>
      </c>
      <c r="G46" s="13" t="s">
        <v>53</v>
      </c>
      <c r="H46" s="13" t="s">
        <v>15</v>
      </c>
      <c r="I46" s="10" t="s">
        <v>70</v>
      </c>
      <c r="J46" s="15">
        <v>0</v>
      </c>
      <c r="K46" s="15">
        <v>3.75</v>
      </c>
      <c r="L46" s="13" t="s">
        <v>19</v>
      </c>
      <c r="M46" s="13" t="s">
        <v>20</v>
      </c>
      <c r="N46" s="16">
        <v>0</v>
      </c>
    </row>
    <row r="47" spans="1:14" x14ac:dyDescent="0.25">
      <c r="A47" s="1" t="s">
        <v>13</v>
      </c>
      <c r="B47" s="17">
        <v>45264</v>
      </c>
      <c r="C47" s="18">
        <v>45268</v>
      </c>
      <c r="D47" s="1" t="s">
        <v>14</v>
      </c>
      <c r="E47" s="1" t="s">
        <v>15</v>
      </c>
      <c r="F47" s="1" t="s">
        <v>16</v>
      </c>
      <c r="G47" s="5" t="s">
        <v>36</v>
      </c>
      <c r="H47" s="5" t="s">
        <v>15</v>
      </c>
      <c r="I47" s="19" t="s">
        <v>71</v>
      </c>
      <c r="J47" s="20">
        <v>0</v>
      </c>
      <c r="K47" s="20">
        <v>1.5</v>
      </c>
      <c r="L47" s="5" t="s">
        <v>19</v>
      </c>
      <c r="M47" s="5" t="s">
        <v>20</v>
      </c>
      <c r="N47" s="21">
        <v>0</v>
      </c>
    </row>
    <row r="48" spans="1:14" ht="30" x14ac:dyDescent="0.25">
      <c r="A48" s="10" t="s">
        <v>13</v>
      </c>
      <c r="B48" s="11">
        <v>45264</v>
      </c>
      <c r="C48" s="12">
        <v>45268</v>
      </c>
      <c r="D48" s="10" t="s">
        <v>14</v>
      </c>
      <c r="E48" s="10" t="s">
        <v>15</v>
      </c>
      <c r="F48" s="10" t="s">
        <v>16</v>
      </c>
      <c r="G48" s="13" t="s">
        <v>22</v>
      </c>
      <c r="H48" s="13" t="s">
        <v>15</v>
      </c>
      <c r="I48" s="14" t="s">
        <v>72</v>
      </c>
      <c r="J48" s="15">
        <v>0</v>
      </c>
      <c r="K48" s="15">
        <v>0.75</v>
      </c>
      <c r="L48" s="13" t="s">
        <v>19</v>
      </c>
      <c r="M48" s="13" t="s">
        <v>20</v>
      </c>
      <c r="N48" s="16">
        <v>0</v>
      </c>
    </row>
    <row r="49" spans="1:14" ht="30" x14ac:dyDescent="0.25">
      <c r="A49" s="1" t="s">
        <v>13</v>
      </c>
      <c r="B49" s="17">
        <v>45264</v>
      </c>
      <c r="C49" s="18">
        <v>45268</v>
      </c>
      <c r="D49" s="1" t="s">
        <v>14</v>
      </c>
      <c r="E49" s="1" t="s">
        <v>15</v>
      </c>
      <c r="F49" s="1" t="s">
        <v>16</v>
      </c>
      <c r="G49" s="5" t="s">
        <v>17</v>
      </c>
      <c r="H49" s="5" t="s">
        <v>15</v>
      </c>
      <c r="I49" s="19" t="s">
        <v>73</v>
      </c>
      <c r="J49" s="20">
        <v>0</v>
      </c>
      <c r="K49" s="20">
        <v>1.5</v>
      </c>
      <c r="L49" s="5" t="s">
        <v>19</v>
      </c>
      <c r="M49" s="5" t="s">
        <v>20</v>
      </c>
      <c r="N49" s="21">
        <v>0</v>
      </c>
    </row>
    <row r="50" spans="1:14" x14ac:dyDescent="0.25">
      <c r="A50" s="10" t="s">
        <v>13</v>
      </c>
      <c r="B50" s="11">
        <v>45264</v>
      </c>
      <c r="C50" s="12">
        <v>45268</v>
      </c>
      <c r="D50" s="10" t="s">
        <v>14</v>
      </c>
      <c r="E50" s="10" t="s">
        <v>15</v>
      </c>
      <c r="F50" s="10" t="s">
        <v>16</v>
      </c>
      <c r="G50" s="13" t="s">
        <v>17</v>
      </c>
      <c r="H50" s="13" t="s">
        <v>15</v>
      </c>
      <c r="I50" s="14" t="s">
        <v>74</v>
      </c>
      <c r="J50" s="15">
        <v>0</v>
      </c>
      <c r="K50" s="15">
        <v>1.75</v>
      </c>
      <c r="L50" s="13" t="s">
        <v>19</v>
      </c>
      <c r="M50" s="13" t="s">
        <v>20</v>
      </c>
      <c r="N50" s="16">
        <v>0</v>
      </c>
    </row>
    <row r="51" spans="1:14" ht="60" x14ac:dyDescent="0.25">
      <c r="A51" s="1" t="s">
        <v>13</v>
      </c>
      <c r="B51" s="17">
        <v>45266</v>
      </c>
      <c r="C51" s="18">
        <v>45268</v>
      </c>
      <c r="D51" s="1" t="s">
        <v>14</v>
      </c>
      <c r="E51" s="1" t="s">
        <v>15</v>
      </c>
      <c r="F51" s="1" t="s">
        <v>16</v>
      </c>
      <c r="G51" s="5" t="s">
        <v>17</v>
      </c>
      <c r="H51" s="5" t="s">
        <v>15</v>
      </c>
      <c r="I51" s="19" t="s">
        <v>75</v>
      </c>
      <c r="J51" s="20">
        <v>0</v>
      </c>
      <c r="K51" s="20">
        <v>4</v>
      </c>
      <c r="L51" s="5" t="s">
        <v>19</v>
      </c>
      <c r="M51" s="5" t="s">
        <v>20</v>
      </c>
      <c r="N51" s="21">
        <v>0</v>
      </c>
    </row>
    <row r="52" spans="1:14" ht="30" x14ac:dyDescent="0.25">
      <c r="A52" s="10" t="s">
        <v>13</v>
      </c>
      <c r="B52" s="11">
        <v>45266</v>
      </c>
      <c r="C52" s="12">
        <v>45268</v>
      </c>
      <c r="D52" s="10" t="s">
        <v>14</v>
      </c>
      <c r="E52" s="10" t="s">
        <v>15</v>
      </c>
      <c r="F52" s="10" t="s">
        <v>16</v>
      </c>
      <c r="G52" s="13" t="s">
        <v>43</v>
      </c>
      <c r="H52" s="13" t="s">
        <v>15</v>
      </c>
      <c r="I52" s="14" t="s">
        <v>76</v>
      </c>
      <c r="J52" s="15">
        <v>0</v>
      </c>
      <c r="K52" s="15">
        <v>2</v>
      </c>
      <c r="L52" s="13" t="s">
        <v>19</v>
      </c>
      <c r="M52" s="13" t="s">
        <v>20</v>
      </c>
      <c r="N52" s="16">
        <v>0</v>
      </c>
    </row>
    <row r="53" spans="1:14" ht="30" x14ac:dyDescent="0.25">
      <c r="A53" s="1" t="s">
        <v>13</v>
      </c>
      <c r="B53" s="17">
        <v>45266</v>
      </c>
      <c r="C53" s="18">
        <v>45268</v>
      </c>
      <c r="D53" s="1" t="s">
        <v>14</v>
      </c>
      <c r="E53" s="1" t="s">
        <v>15</v>
      </c>
      <c r="F53" s="1" t="s">
        <v>16</v>
      </c>
      <c r="G53" s="5" t="s">
        <v>17</v>
      </c>
      <c r="H53" s="5" t="s">
        <v>15</v>
      </c>
      <c r="I53" s="19" t="s">
        <v>77</v>
      </c>
      <c r="J53" s="20">
        <v>0</v>
      </c>
      <c r="K53" s="20">
        <v>1</v>
      </c>
      <c r="L53" s="5" t="s">
        <v>19</v>
      </c>
      <c r="M53" s="5" t="s">
        <v>20</v>
      </c>
      <c r="N53" s="21">
        <v>0</v>
      </c>
    </row>
    <row r="54" spans="1:14" ht="30" x14ac:dyDescent="0.25">
      <c r="A54" s="10" t="s">
        <v>13</v>
      </c>
      <c r="B54" s="11">
        <v>45267</v>
      </c>
      <c r="C54" s="12">
        <v>45268</v>
      </c>
      <c r="D54" s="10" t="s">
        <v>14</v>
      </c>
      <c r="E54" s="10" t="s">
        <v>15</v>
      </c>
      <c r="F54" s="10" t="s">
        <v>16</v>
      </c>
      <c r="G54" s="13" t="s">
        <v>22</v>
      </c>
      <c r="H54" s="13" t="s">
        <v>15</v>
      </c>
      <c r="I54" s="14" t="s">
        <v>78</v>
      </c>
      <c r="J54" s="15">
        <v>0</v>
      </c>
      <c r="K54" s="15">
        <v>1</v>
      </c>
      <c r="L54" s="13" t="s">
        <v>19</v>
      </c>
      <c r="M54" s="13" t="s">
        <v>20</v>
      </c>
      <c r="N54" s="16">
        <v>0</v>
      </c>
    </row>
    <row r="55" spans="1:14" ht="30" x14ac:dyDescent="0.25">
      <c r="A55" s="1" t="s">
        <v>13</v>
      </c>
      <c r="B55" s="17">
        <v>45268</v>
      </c>
      <c r="C55" s="18">
        <v>45268</v>
      </c>
      <c r="D55" s="1" t="s">
        <v>14</v>
      </c>
      <c r="E55" s="1" t="s">
        <v>15</v>
      </c>
      <c r="F55" s="1" t="s">
        <v>16</v>
      </c>
      <c r="G55" s="5" t="s">
        <v>43</v>
      </c>
      <c r="H55" s="5" t="s">
        <v>15</v>
      </c>
      <c r="I55" s="19" t="s">
        <v>79</v>
      </c>
      <c r="J55" s="20">
        <v>0</v>
      </c>
      <c r="K55" s="20">
        <v>1</v>
      </c>
      <c r="L55" s="5" t="s">
        <v>19</v>
      </c>
      <c r="M55" s="5" t="s">
        <v>20</v>
      </c>
      <c r="N55" s="21">
        <v>0</v>
      </c>
    </row>
    <row r="56" spans="1:14" ht="30" x14ac:dyDescent="0.25">
      <c r="A56" s="10" t="s">
        <v>13</v>
      </c>
      <c r="B56" s="11">
        <v>45268</v>
      </c>
      <c r="C56" s="12">
        <v>45272</v>
      </c>
      <c r="D56" s="10" t="s">
        <v>14</v>
      </c>
      <c r="E56" s="10" t="s">
        <v>15</v>
      </c>
      <c r="F56" s="10" t="s">
        <v>16</v>
      </c>
      <c r="G56" s="13" t="s">
        <v>22</v>
      </c>
      <c r="H56" s="13" t="s">
        <v>15</v>
      </c>
      <c r="I56" s="14" t="s">
        <v>80</v>
      </c>
      <c r="J56" s="15">
        <v>0</v>
      </c>
      <c r="K56" s="15">
        <v>1</v>
      </c>
      <c r="L56" s="13" t="s">
        <v>19</v>
      </c>
      <c r="M56" s="13" t="s">
        <v>20</v>
      </c>
      <c r="N56" s="16">
        <v>0</v>
      </c>
    </row>
    <row r="57" spans="1:14" ht="30" x14ac:dyDescent="0.25">
      <c r="A57" s="1" t="s">
        <v>13</v>
      </c>
      <c r="B57" s="17">
        <v>45272</v>
      </c>
      <c r="C57" s="18">
        <v>45274</v>
      </c>
      <c r="D57" s="1" t="s">
        <v>14</v>
      </c>
      <c r="E57" s="1" t="s">
        <v>15</v>
      </c>
      <c r="F57" s="1" t="s">
        <v>16</v>
      </c>
      <c r="G57" s="5" t="s">
        <v>22</v>
      </c>
      <c r="H57" s="5" t="s">
        <v>15</v>
      </c>
      <c r="I57" s="19" t="s">
        <v>81</v>
      </c>
      <c r="J57" s="20">
        <v>0</v>
      </c>
      <c r="K57" s="20">
        <v>1.25</v>
      </c>
      <c r="L57" s="5" t="s">
        <v>19</v>
      </c>
      <c r="M57" s="5" t="s">
        <v>20</v>
      </c>
      <c r="N57" s="21">
        <v>0</v>
      </c>
    </row>
    <row r="58" spans="1:14" ht="30" x14ac:dyDescent="0.25">
      <c r="A58" s="10" t="s">
        <v>13</v>
      </c>
      <c r="B58" s="11">
        <v>45265</v>
      </c>
      <c r="C58" s="12">
        <v>45275</v>
      </c>
      <c r="D58" s="10" t="s">
        <v>14</v>
      </c>
      <c r="E58" s="10" t="s">
        <v>15</v>
      </c>
      <c r="F58" s="10" t="s">
        <v>16</v>
      </c>
      <c r="G58" s="13" t="s">
        <v>17</v>
      </c>
      <c r="H58" s="13" t="s">
        <v>15</v>
      </c>
      <c r="I58" s="14" t="s">
        <v>82</v>
      </c>
      <c r="J58" s="15">
        <v>0</v>
      </c>
      <c r="K58" s="15">
        <v>2.5</v>
      </c>
      <c r="L58" s="13" t="s">
        <v>19</v>
      </c>
      <c r="M58" s="13" t="s">
        <v>20</v>
      </c>
      <c r="N58" s="16">
        <v>0</v>
      </c>
    </row>
    <row r="59" spans="1:14" ht="30" x14ac:dyDescent="0.25">
      <c r="A59" s="1" t="s">
        <v>13</v>
      </c>
      <c r="B59" s="17">
        <v>45265</v>
      </c>
      <c r="C59" s="18">
        <v>45275</v>
      </c>
      <c r="D59" s="1" t="s">
        <v>14</v>
      </c>
      <c r="E59" s="1" t="s">
        <v>15</v>
      </c>
      <c r="F59" s="1" t="s">
        <v>16</v>
      </c>
      <c r="G59" s="5" t="s">
        <v>17</v>
      </c>
      <c r="H59" s="5" t="s">
        <v>15</v>
      </c>
      <c r="I59" s="19" t="s">
        <v>83</v>
      </c>
      <c r="J59" s="20">
        <v>0</v>
      </c>
      <c r="K59" s="20">
        <v>3</v>
      </c>
      <c r="L59" s="5" t="s">
        <v>19</v>
      </c>
      <c r="M59" s="5" t="s">
        <v>20</v>
      </c>
      <c r="N59" s="21">
        <v>0</v>
      </c>
    </row>
    <row r="60" spans="1:14" ht="30" x14ac:dyDescent="0.25">
      <c r="A60" s="10" t="s">
        <v>13</v>
      </c>
      <c r="B60" s="11">
        <v>45267</v>
      </c>
      <c r="C60" s="12">
        <v>45275</v>
      </c>
      <c r="D60" s="10" t="s">
        <v>14</v>
      </c>
      <c r="E60" s="10" t="s">
        <v>15</v>
      </c>
      <c r="F60" s="10" t="s">
        <v>16</v>
      </c>
      <c r="G60" s="13" t="s">
        <v>22</v>
      </c>
      <c r="H60" s="13" t="s">
        <v>15</v>
      </c>
      <c r="I60" s="14" t="s">
        <v>84</v>
      </c>
      <c r="J60" s="15">
        <v>0</v>
      </c>
      <c r="K60" s="15">
        <v>1.75</v>
      </c>
      <c r="L60" s="13" t="s">
        <v>19</v>
      </c>
      <c r="M60" s="13" t="s">
        <v>20</v>
      </c>
      <c r="N60" s="16">
        <v>0</v>
      </c>
    </row>
    <row r="61" spans="1:14" x14ac:dyDescent="0.25">
      <c r="A61" s="1" t="s">
        <v>13</v>
      </c>
      <c r="B61" s="17">
        <v>45268</v>
      </c>
      <c r="C61" s="18">
        <v>45275</v>
      </c>
      <c r="D61" s="1" t="s">
        <v>14</v>
      </c>
      <c r="E61" s="1" t="s">
        <v>15</v>
      </c>
      <c r="F61" s="1" t="s">
        <v>16</v>
      </c>
      <c r="G61" s="5" t="s">
        <v>17</v>
      </c>
      <c r="H61" s="5" t="s">
        <v>15</v>
      </c>
      <c r="I61" s="1" t="s">
        <v>85</v>
      </c>
      <c r="J61" s="20">
        <v>0</v>
      </c>
      <c r="K61" s="20">
        <v>1.5</v>
      </c>
      <c r="L61" s="5" t="s">
        <v>19</v>
      </c>
      <c r="M61" s="5" t="s">
        <v>20</v>
      </c>
      <c r="N61" s="21">
        <v>0</v>
      </c>
    </row>
    <row r="62" spans="1:14" ht="30" x14ac:dyDescent="0.25">
      <c r="A62" s="10" t="s">
        <v>13</v>
      </c>
      <c r="B62" s="11">
        <v>45275</v>
      </c>
      <c r="C62" s="12">
        <v>45279</v>
      </c>
      <c r="D62" s="10" t="s">
        <v>14</v>
      </c>
      <c r="E62" s="10" t="s">
        <v>15</v>
      </c>
      <c r="F62" s="10" t="s">
        <v>16</v>
      </c>
      <c r="G62" s="13" t="s">
        <v>22</v>
      </c>
      <c r="H62" s="13" t="s">
        <v>15</v>
      </c>
      <c r="I62" s="14" t="s">
        <v>86</v>
      </c>
      <c r="J62" s="15">
        <v>0</v>
      </c>
      <c r="K62" s="15">
        <v>1.5</v>
      </c>
      <c r="L62" s="13" t="s">
        <v>19</v>
      </c>
      <c r="M62" s="13" t="s">
        <v>20</v>
      </c>
      <c r="N62" s="16">
        <v>0</v>
      </c>
    </row>
    <row r="63" spans="1:14" ht="45" x14ac:dyDescent="0.25">
      <c r="A63" s="1" t="s">
        <v>13</v>
      </c>
      <c r="B63" s="17">
        <v>45274</v>
      </c>
      <c r="C63" s="18">
        <v>45279</v>
      </c>
      <c r="D63" s="1" t="s">
        <v>14</v>
      </c>
      <c r="E63" s="1" t="s">
        <v>15</v>
      </c>
      <c r="F63" s="1" t="s">
        <v>16</v>
      </c>
      <c r="G63" s="5" t="s">
        <v>17</v>
      </c>
      <c r="H63" s="5" t="s">
        <v>15</v>
      </c>
      <c r="I63" s="19" t="s">
        <v>87</v>
      </c>
      <c r="J63" s="20">
        <v>0</v>
      </c>
      <c r="K63" s="20">
        <v>3.5</v>
      </c>
      <c r="L63" s="5" t="s">
        <v>19</v>
      </c>
      <c r="M63" s="5" t="s">
        <v>20</v>
      </c>
      <c r="N63" s="21">
        <v>0</v>
      </c>
    </row>
    <row r="64" spans="1:14" x14ac:dyDescent="0.25">
      <c r="A64" s="10" t="s">
        <v>13</v>
      </c>
      <c r="B64" s="11">
        <v>45271</v>
      </c>
      <c r="C64" s="12">
        <v>45279</v>
      </c>
      <c r="D64" s="10" t="s">
        <v>14</v>
      </c>
      <c r="E64" s="10" t="s">
        <v>15</v>
      </c>
      <c r="F64" s="10" t="s">
        <v>16</v>
      </c>
      <c r="G64" s="13" t="s">
        <v>17</v>
      </c>
      <c r="H64" s="13" t="s">
        <v>15</v>
      </c>
      <c r="I64" s="14" t="s">
        <v>88</v>
      </c>
      <c r="J64" s="15">
        <v>0</v>
      </c>
      <c r="K64" s="15">
        <v>1.25</v>
      </c>
      <c r="L64" s="13" t="s">
        <v>19</v>
      </c>
      <c r="M64" s="13" t="s">
        <v>20</v>
      </c>
      <c r="N64" s="16">
        <v>0</v>
      </c>
    </row>
    <row r="65" spans="1:14" x14ac:dyDescent="0.25">
      <c r="A65" s="1" t="s">
        <v>13</v>
      </c>
      <c r="B65" s="17">
        <v>45282</v>
      </c>
      <c r="C65" s="18">
        <v>45287</v>
      </c>
      <c r="D65" s="1" t="s">
        <v>14</v>
      </c>
      <c r="E65" s="1" t="s">
        <v>15</v>
      </c>
      <c r="F65" s="1" t="s">
        <v>16</v>
      </c>
      <c r="G65" s="5" t="s">
        <v>51</v>
      </c>
      <c r="H65" s="5" t="s">
        <v>15</v>
      </c>
      <c r="I65" s="1" t="s">
        <v>89</v>
      </c>
      <c r="J65" s="20">
        <v>0</v>
      </c>
      <c r="K65" s="20">
        <v>8</v>
      </c>
      <c r="L65" s="5" t="s">
        <v>19</v>
      </c>
      <c r="M65" s="5" t="s">
        <v>20</v>
      </c>
      <c r="N65" s="21">
        <v>0</v>
      </c>
    </row>
    <row r="66" spans="1:14" x14ac:dyDescent="0.25">
      <c r="A66" s="10" t="s">
        <v>13</v>
      </c>
      <c r="B66" s="11">
        <v>45285</v>
      </c>
      <c r="C66" s="12">
        <v>45287</v>
      </c>
      <c r="D66" s="10" t="s">
        <v>14</v>
      </c>
      <c r="E66" s="10" t="s">
        <v>15</v>
      </c>
      <c r="F66" s="10" t="s">
        <v>16</v>
      </c>
      <c r="G66" s="13" t="s">
        <v>51</v>
      </c>
      <c r="H66" s="13" t="s">
        <v>15</v>
      </c>
      <c r="I66" s="10" t="s">
        <v>90</v>
      </c>
      <c r="J66" s="15">
        <v>0</v>
      </c>
      <c r="K66" s="15">
        <v>8</v>
      </c>
      <c r="L66" s="13" t="s">
        <v>19</v>
      </c>
      <c r="M66" s="13" t="s">
        <v>20</v>
      </c>
      <c r="N66" s="16">
        <v>0</v>
      </c>
    </row>
    <row r="67" spans="1:14" x14ac:dyDescent="0.25">
      <c r="A67" s="1" t="s">
        <v>13</v>
      </c>
      <c r="B67" s="17">
        <v>45286</v>
      </c>
      <c r="C67" s="18">
        <v>45287</v>
      </c>
      <c r="D67" s="1" t="s">
        <v>14</v>
      </c>
      <c r="E67" s="1" t="s">
        <v>15</v>
      </c>
      <c r="F67" s="1" t="s">
        <v>16</v>
      </c>
      <c r="G67" s="5" t="s">
        <v>91</v>
      </c>
      <c r="H67" s="5" t="s">
        <v>15</v>
      </c>
      <c r="I67" s="1" t="s">
        <v>92</v>
      </c>
      <c r="J67" s="20">
        <v>0</v>
      </c>
      <c r="K67" s="20">
        <v>8</v>
      </c>
      <c r="L67" s="5" t="s">
        <v>19</v>
      </c>
      <c r="M67" s="5" t="s">
        <v>20</v>
      </c>
      <c r="N67" s="21">
        <v>0</v>
      </c>
    </row>
    <row r="68" spans="1:14" x14ac:dyDescent="0.25">
      <c r="A68" s="10" t="s">
        <v>13</v>
      </c>
      <c r="B68" s="11">
        <v>45281</v>
      </c>
      <c r="C68" s="12">
        <v>45287</v>
      </c>
      <c r="D68" s="10" t="s">
        <v>14</v>
      </c>
      <c r="E68" s="10" t="s">
        <v>15</v>
      </c>
      <c r="F68" s="10" t="s">
        <v>16</v>
      </c>
      <c r="G68" s="13" t="s">
        <v>91</v>
      </c>
      <c r="H68" s="13" t="s">
        <v>15</v>
      </c>
      <c r="I68" s="14" t="s">
        <v>93</v>
      </c>
      <c r="J68" s="15">
        <v>0</v>
      </c>
      <c r="K68" s="15">
        <v>4</v>
      </c>
      <c r="L68" s="13" t="s">
        <v>19</v>
      </c>
      <c r="M68" s="13" t="s">
        <v>20</v>
      </c>
      <c r="N68" s="16">
        <v>0</v>
      </c>
    </row>
    <row r="69" spans="1:14" x14ac:dyDescent="0.25">
      <c r="A69" s="1" t="s">
        <v>13</v>
      </c>
      <c r="B69" s="17">
        <v>45280</v>
      </c>
      <c r="C69" s="18">
        <v>45287</v>
      </c>
      <c r="D69" s="1" t="s">
        <v>14</v>
      </c>
      <c r="E69" s="1" t="s">
        <v>15</v>
      </c>
      <c r="F69" s="1" t="s">
        <v>16</v>
      </c>
      <c r="G69" s="5" t="s">
        <v>91</v>
      </c>
      <c r="H69" s="5" t="s">
        <v>15</v>
      </c>
      <c r="I69" s="19" t="s">
        <v>93</v>
      </c>
      <c r="J69" s="20">
        <v>0</v>
      </c>
      <c r="K69" s="20">
        <v>4</v>
      </c>
      <c r="L69" s="5" t="s">
        <v>19</v>
      </c>
      <c r="M69" s="5" t="s">
        <v>20</v>
      </c>
      <c r="N69" s="21">
        <v>0</v>
      </c>
    </row>
    <row r="70" spans="1:14" ht="33.200000000000003" customHeight="1" x14ac:dyDescent="0.25">
      <c r="A70" s="22" t="s">
        <v>94</v>
      </c>
      <c r="B70" s="3" t="s">
        <v>54</v>
      </c>
      <c r="C70" s="3" t="s">
        <v>54</v>
      </c>
      <c r="D70" s="3" t="s">
        <v>54</v>
      </c>
      <c r="E70" s="3" t="s">
        <v>54</v>
      </c>
      <c r="F70" s="3" t="s">
        <v>54</v>
      </c>
      <c r="G70" s="3" t="s">
        <v>54</v>
      </c>
      <c r="H70" s="3" t="s">
        <v>54</v>
      </c>
      <c r="I70" s="23">
        <v>0</v>
      </c>
      <c r="J70" s="23">
        <v>172.75</v>
      </c>
      <c r="K70" s="6" t="s">
        <v>54</v>
      </c>
      <c r="L70" s="2" t="s">
        <v>54</v>
      </c>
      <c r="M70" s="24">
        <v>0</v>
      </c>
    </row>
    <row r="71" spans="1:14" x14ac:dyDescent="0.25">
      <c r="A71" s="10" t="s">
        <v>95</v>
      </c>
      <c r="B71" s="12">
        <v>45245</v>
      </c>
      <c r="C71" s="12">
        <v>45246</v>
      </c>
      <c r="D71" s="10" t="s">
        <v>96</v>
      </c>
      <c r="E71" s="10" t="s">
        <v>96</v>
      </c>
      <c r="F71" s="10" t="s">
        <v>16</v>
      </c>
      <c r="G71" s="13" t="s">
        <v>97</v>
      </c>
      <c r="H71" s="13" t="s">
        <v>15</v>
      </c>
      <c r="I71" s="14" t="s">
        <v>98</v>
      </c>
      <c r="J71" s="15">
        <v>1.5</v>
      </c>
      <c r="K71" s="15">
        <v>1.5</v>
      </c>
      <c r="L71" s="13" t="s">
        <v>99</v>
      </c>
      <c r="M71" s="13" t="s">
        <v>100</v>
      </c>
      <c r="N71" s="16">
        <v>375</v>
      </c>
    </row>
    <row r="72" spans="1:14" ht="86.85" customHeight="1" x14ac:dyDescent="0.25">
      <c r="A72" s="22" t="s">
        <v>101</v>
      </c>
      <c r="B72" s="3" t="s">
        <v>54</v>
      </c>
      <c r="C72" s="3" t="s">
        <v>54</v>
      </c>
      <c r="D72" s="3" t="s">
        <v>54</v>
      </c>
      <c r="E72" s="3" t="s">
        <v>54</v>
      </c>
      <c r="F72" s="3" t="s">
        <v>54</v>
      </c>
      <c r="G72" s="3" t="s">
        <v>54</v>
      </c>
      <c r="H72" s="3" t="s">
        <v>54</v>
      </c>
      <c r="I72" s="23">
        <v>1.5</v>
      </c>
      <c r="J72" s="23">
        <v>1.5</v>
      </c>
      <c r="K72" s="6" t="s">
        <v>54</v>
      </c>
      <c r="L72" s="2" t="s">
        <v>54</v>
      </c>
      <c r="M72" s="24">
        <v>375</v>
      </c>
    </row>
    <row r="73" spans="1:14" ht="30" x14ac:dyDescent="0.25">
      <c r="A73" s="10" t="s">
        <v>102</v>
      </c>
      <c r="B73" s="12">
        <v>45278</v>
      </c>
      <c r="C73" s="12">
        <v>45287</v>
      </c>
      <c r="D73" s="10" t="s">
        <v>103</v>
      </c>
      <c r="E73" s="10" t="s">
        <v>104</v>
      </c>
      <c r="F73" s="10" t="s">
        <v>16</v>
      </c>
      <c r="G73" s="13" t="s">
        <v>105</v>
      </c>
      <c r="H73" s="13" t="s">
        <v>15</v>
      </c>
      <c r="I73" s="14" t="s">
        <v>106</v>
      </c>
      <c r="J73" s="15">
        <v>1.75</v>
      </c>
      <c r="K73" s="15">
        <v>1.75</v>
      </c>
      <c r="L73" s="13" t="s">
        <v>99</v>
      </c>
      <c r="M73" s="13" t="s">
        <v>100</v>
      </c>
      <c r="N73" s="16">
        <v>437.5</v>
      </c>
    </row>
    <row r="74" spans="1:14" ht="46.7" customHeight="1" x14ac:dyDescent="0.25">
      <c r="A74" s="22" t="s">
        <v>107</v>
      </c>
      <c r="B74" s="3" t="s">
        <v>54</v>
      </c>
      <c r="C74" s="3" t="s">
        <v>54</v>
      </c>
      <c r="D74" s="3" t="s">
        <v>54</v>
      </c>
      <c r="E74" s="3" t="s">
        <v>54</v>
      </c>
      <c r="F74" s="3" t="s">
        <v>54</v>
      </c>
      <c r="G74" s="3" t="s">
        <v>54</v>
      </c>
      <c r="H74" s="3" t="s">
        <v>54</v>
      </c>
      <c r="I74" s="23">
        <v>1.75</v>
      </c>
      <c r="J74" s="23">
        <v>1.75</v>
      </c>
      <c r="K74" s="6" t="s">
        <v>54</v>
      </c>
      <c r="L74" s="2" t="s">
        <v>54</v>
      </c>
      <c r="M74" s="24">
        <v>437.5</v>
      </c>
    </row>
    <row r="75" spans="1:14" ht="30" x14ac:dyDescent="0.25">
      <c r="A75" s="10" t="s">
        <v>108</v>
      </c>
      <c r="B75" s="12">
        <v>45233</v>
      </c>
      <c r="C75" s="12">
        <v>45236</v>
      </c>
      <c r="D75" s="10" t="s">
        <v>109</v>
      </c>
      <c r="E75" s="10" t="s">
        <v>104</v>
      </c>
      <c r="F75" s="10" t="s">
        <v>16</v>
      </c>
      <c r="G75" s="13" t="s">
        <v>110</v>
      </c>
      <c r="H75" s="13" t="s">
        <v>15</v>
      </c>
      <c r="I75" s="14" t="s">
        <v>111</v>
      </c>
      <c r="J75" s="15">
        <v>1.5</v>
      </c>
      <c r="K75" s="15">
        <v>1.5</v>
      </c>
      <c r="L75" s="13" t="s">
        <v>99</v>
      </c>
      <c r="M75" s="13" t="s">
        <v>100</v>
      </c>
      <c r="N75" s="16">
        <v>129.09</v>
      </c>
    </row>
    <row r="76" spans="1:14" ht="73.5" customHeight="1" x14ac:dyDescent="0.25">
      <c r="A76" s="22" t="s">
        <v>112</v>
      </c>
      <c r="B76" s="3" t="s">
        <v>54</v>
      </c>
      <c r="C76" s="3" t="s">
        <v>54</v>
      </c>
      <c r="D76" s="3" t="s">
        <v>54</v>
      </c>
      <c r="E76" s="3" t="s">
        <v>54</v>
      </c>
      <c r="F76" s="3" t="s">
        <v>54</v>
      </c>
      <c r="G76" s="3" t="s">
        <v>54</v>
      </c>
      <c r="H76" s="3" t="s">
        <v>54</v>
      </c>
      <c r="I76" s="23">
        <v>1.5</v>
      </c>
      <c r="J76" s="23">
        <v>1.5</v>
      </c>
      <c r="K76" s="6" t="s">
        <v>54</v>
      </c>
      <c r="L76" s="2" t="s">
        <v>54</v>
      </c>
      <c r="M76" s="24">
        <v>129.09</v>
      </c>
    </row>
    <row r="77" spans="1:14" x14ac:dyDescent="0.25">
      <c r="A77" s="10" t="s">
        <v>113</v>
      </c>
      <c r="B77" s="12">
        <v>45260</v>
      </c>
      <c r="C77" s="12">
        <v>45264</v>
      </c>
      <c r="D77" s="25">
        <v>1040</v>
      </c>
      <c r="E77" s="10" t="s">
        <v>104</v>
      </c>
      <c r="F77" s="10" t="s">
        <v>16</v>
      </c>
      <c r="G77" s="13" t="s">
        <v>105</v>
      </c>
      <c r="H77" s="13" t="s">
        <v>15</v>
      </c>
      <c r="I77" s="14" t="s">
        <v>114</v>
      </c>
      <c r="J77" s="15">
        <v>1.5</v>
      </c>
      <c r="K77" s="15">
        <v>1.5</v>
      </c>
      <c r="L77" s="13" t="s">
        <v>99</v>
      </c>
      <c r="M77" s="13" t="s">
        <v>100</v>
      </c>
      <c r="N77" s="16">
        <v>375</v>
      </c>
    </row>
    <row r="78" spans="1:14" ht="46.7" customHeight="1" x14ac:dyDescent="0.25">
      <c r="A78" s="22" t="s">
        <v>115</v>
      </c>
      <c r="B78" s="3" t="s">
        <v>54</v>
      </c>
      <c r="C78" s="3" t="s">
        <v>54</v>
      </c>
      <c r="D78" s="3" t="s">
        <v>54</v>
      </c>
      <c r="E78" s="3" t="s">
        <v>54</v>
      </c>
      <c r="F78" s="3" t="s">
        <v>54</v>
      </c>
      <c r="G78" s="3" t="s">
        <v>54</v>
      </c>
      <c r="H78" s="3" t="s">
        <v>54</v>
      </c>
      <c r="I78" s="23">
        <v>1.5</v>
      </c>
      <c r="J78" s="23">
        <v>1.5</v>
      </c>
      <c r="K78" s="6" t="s">
        <v>54</v>
      </c>
      <c r="L78" s="2" t="s">
        <v>54</v>
      </c>
      <c r="M78" s="24">
        <v>375</v>
      </c>
    </row>
    <row r="79" spans="1:14" ht="19.899999999999999" customHeight="1" x14ac:dyDescent="0.25">
      <c r="A79" s="10" t="s">
        <v>116</v>
      </c>
      <c r="B79" s="12">
        <v>45271</v>
      </c>
      <c r="C79" s="12">
        <v>45274</v>
      </c>
      <c r="D79" s="10" t="s">
        <v>96</v>
      </c>
      <c r="E79" s="10" t="s">
        <v>96</v>
      </c>
      <c r="F79" s="10" t="s">
        <v>16</v>
      </c>
      <c r="G79" s="13" t="s">
        <v>117</v>
      </c>
      <c r="H79" s="13" t="s">
        <v>15</v>
      </c>
      <c r="I79" s="10" t="s">
        <v>118</v>
      </c>
      <c r="J79" s="15">
        <v>0.25</v>
      </c>
      <c r="K79" s="15">
        <v>0.25</v>
      </c>
      <c r="L79" s="13" t="s">
        <v>99</v>
      </c>
      <c r="M79" s="13" t="s">
        <v>100</v>
      </c>
      <c r="N79" s="16">
        <v>62.5</v>
      </c>
    </row>
    <row r="80" spans="1:14" ht="33.200000000000003" customHeight="1" x14ac:dyDescent="0.25">
      <c r="A80" s="22" t="s">
        <v>119</v>
      </c>
      <c r="B80" s="3" t="s">
        <v>54</v>
      </c>
      <c r="C80" s="3" t="s">
        <v>54</v>
      </c>
      <c r="D80" s="3" t="s">
        <v>54</v>
      </c>
      <c r="E80" s="3" t="s">
        <v>54</v>
      </c>
      <c r="F80" s="3" t="s">
        <v>54</v>
      </c>
      <c r="G80" s="3" t="s">
        <v>54</v>
      </c>
      <c r="H80" s="3" t="s">
        <v>54</v>
      </c>
      <c r="I80" s="23">
        <v>0.25</v>
      </c>
      <c r="J80" s="23">
        <v>0.25</v>
      </c>
      <c r="K80" s="6" t="s">
        <v>54</v>
      </c>
      <c r="L80" s="2" t="s">
        <v>54</v>
      </c>
      <c r="M80" s="24">
        <v>62.5</v>
      </c>
    </row>
    <row r="81" spans="1:14" x14ac:dyDescent="0.25">
      <c r="A81" s="10" t="s">
        <v>120</v>
      </c>
      <c r="B81" s="12">
        <v>45244</v>
      </c>
      <c r="C81" s="12">
        <v>45246</v>
      </c>
      <c r="D81" s="10" t="s">
        <v>96</v>
      </c>
      <c r="E81" s="10" t="s">
        <v>96</v>
      </c>
      <c r="F81" s="10" t="s">
        <v>16</v>
      </c>
      <c r="G81" s="13" t="s">
        <v>110</v>
      </c>
      <c r="H81" s="13" t="s">
        <v>15</v>
      </c>
      <c r="I81" s="14" t="s">
        <v>121</v>
      </c>
      <c r="J81" s="15">
        <v>0.75</v>
      </c>
      <c r="K81" s="15">
        <v>0.75</v>
      </c>
      <c r="L81" s="13" t="s">
        <v>99</v>
      </c>
      <c r="M81" s="13" t="s">
        <v>100</v>
      </c>
      <c r="N81" s="16">
        <v>187.5</v>
      </c>
    </row>
    <row r="82" spans="1:14" ht="73.5" customHeight="1" x14ac:dyDescent="0.25">
      <c r="A82" s="22" t="s">
        <v>122</v>
      </c>
      <c r="B82" s="3" t="s">
        <v>54</v>
      </c>
      <c r="C82" s="3" t="s">
        <v>54</v>
      </c>
      <c r="D82" s="3" t="s">
        <v>54</v>
      </c>
      <c r="E82" s="3" t="s">
        <v>54</v>
      </c>
      <c r="F82" s="3" t="s">
        <v>54</v>
      </c>
      <c r="G82" s="3" t="s">
        <v>54</v>
      </c>
      <c r="H82" s="3" t="s">
        <v>54</v>
      </c>
      <c r="I82" s="23">
        <v>0.75</v>
      </c>
      <c r="J82" s="23">
        <v>0.75</v>
      </c>
      <c r="K82" s="6" t="s">
        <v>54</v>
      </c>
      <c r="L82" s="2" t="s">
        <v>54</v>
      </c>
      <c r="M82" s="24">
        <v>187.5</v>
      </c>
    </row>
    <row r="83" spans="1:14" ht="45" x14ac:dyDescent="0.25">
      <c r="A83" s="10" t="s">
        <v>123</v>
      </c>
      <c r="B83" s="12">
        <v>45238</v>
      </c>
      <c r="C83" s="12">
        <v>45243</v>
      </c>
      <c r="D83" s="25">
        <v>1040</v>
      </c>
      <c r="E83" s="10" t="s">
        <v>104</v>
      </c>
      <c r="F83" s="10" t="s">
        <v>16</v>
      </c>
      <c r="G83" s="13" t="s">
        <v>117</v>
      </c>
      <c r="H83" s="13" t="s">
        <v>15</v>
      </c>
      <c r="I83" s="14" t="s">
        <v>124</v>
      </c>
      <c r="J83" s="15">
        <v>0.5</v>
      </c>
      <c r="K83" s="15">
        <v>0.5</v>
      </c>
      <c r="L83" s="13" t="s">
        <v>99</v>
      </c>
      <c r="M83" s="13" t="s">
        <v>100</v>
      </c>
      <c r="N83" s="16">
        <v>125</v>
      </c>
    </row>
    <row r="84" spans="1:14" ht="45" x14ac:dyDescent="0.25">
      <c r="A84" s="1" t="s">
        <v>123</v>
      </c>
      <c r="B84" s="18">
        <v>45244</v>
      </c>
      <c r="C84" s="18">
        <v>45246</v>
      </c>
      <c r="D84" s="26">
        <v>1040</v>
      </c>
      <c r="E84" s="1" t="s">
        <v>104</v>
      </c>
      <c r="F84" s="1" t="s">
        <v>16</v>
      </c>
      <c r="G84" s="5" t="s">
        <v>105</v>
      </c>
      <c r="H84" s="5" t="s">
        <v>15</v>
      </c>
      <c r="I84" s="19" t="s">
        <v>125</v>
      </c>
      <c r="J84" s="20">
        <v>0.75</v>
      </c>
      <c r="K84" s="20">
        <v>0.75</v>
      </c>
      <c r="L84" s="5" t="s">
        <v>99</v>
      </c>
      <c r="M84" s="5" t="s">
        <v>100</v>
      </c>
      <c r="N84" s="21">
        <v>187.5</v>
      </c>
    </row>
    <row r="85" spans="1:14" ht="19.899999999999999" customHeight="1" x14ac:dyDescent="0.25">
      <c r="A85" s="10" t="s">
        <v>123</v>
      </c>
      <c r="B85" s="12">
        <v>45268</v>
      </c>
      <c r="C85" s="12">
        <v>45268</v>
      </c>
      <c r="D85" s="25">
        <v>1040</v>
      </c>
      <c r="E85" s="10" t="s">
        <v>104</v>
      </c>
      <c r="F85" s="10" t="s">
        <v>16</v>
      </c>
      <c r="G85" s="13" t="s">
        <v>117</v>
      </c>
      <c r="H85" s="13" t="s">
        <v>15</v>
      </c>
      <c r="I85" s="10" t="s">
        <v>126</v>
      </c>
      <c r="J85" s="15">
        <v>1.5</v>
      </c>
      <c r="K85" s="15">
        <v>1.5</v>
      </c>
      <c r="L85" s="13" t="s">
        <v>99</v>
      </c>
      <c r="M85" s="13" t="s">
        <v>100</v>
      </c>
      <c r="N85" s="16">
        <v>375</v>
      </c>
    </row>
    <row r="86" spans="1:14" ht="46.7" customHeight="1" x14ac:dyDescent="0.25">
      <c r="A86" s="22" t="s">
        <v>127</v>
      </c>
      <c r="B86" s="3" t="s">
        <v>54</v>
      </c>
      <c r="C86" s="3" t="s">
        <v>54</v>
      </c>
      <c r="D86" s="3" t="s">
        <v>54</v>
      </c>
      <c r="E86" s="3" t="s">
        <v>54</v>
      </c>
      <c r="F86" s="3" t="s">
        <v>54</v>
      </c>
      <c r="G86" s="3" t="s">
        <v>54</v>
      </c>
      <c r="H86" s="3" t="s">
        <v>54</v>
      </c>
      <c r="I86" s="23">
        <v>2.75</v>
      </c>
      <c r="J86" s="23">
        <v>2.75</v>
      </c>
      <c r="K86" s="6" t="s">
        <v>54</v>
      </c>
      <c r="L86" s="2" t="s">
        <v>54</v>
      </c>
      <c r="M86" s="24">
        <v>687.5</v>
      </c>
    </row>
    <row r="87" spans="1:14" ht="19.899999999999999" customHeight="1" x14ac:dyDescent="0.25">
      <c r="A87" s="10" t="s">
        <v>128</v>
      </c>
      <c r="B87" s="12">
        <v>45251</v>
      </c>
      <c r="C87" s="12">
        <v>45257</v>
      </c>
      <c r="D87" s="10" t="s">
        <v>96</v>
      </c>
      <c r="E87" s="10" t="s">
        <v>96</v>
      </c>
      <c r="F87" s="10" t="s">
        <v>16</v>
      </c>
      <c r="G87" s="13" t="s">
        <v>129</v>
      </c>
      <c r="H87" s="13" t="s">
        <v>15</v>
      </c>
      <c r="I87" s="10" t="s">
        <v>130</v>
      </c>
      <c r="J87" s="15">
        <v>1.5</v>
      </c>
      <c r="K87" s="15">
        <v>1.5</v>
      </c>
      <c r="L87" s="13" t="s">
        <v>99</v>
      </c>
      <c r="M87" s="13" t="s">
        <v>100</v>
      </c>
      <c r="N87" s="16">
        <v>375</v>
      </c>
    </row>
    <row r="88" spans="1:14" ht="60" customHeight="1" x14ac:dyDescent="0.25">
      <c r="A88" s="22" t="s">
        <v>131</v>
      </c>
      <c r="B88" s="3" t="s">
        <v>54</v>
      </c>
      <c r="C88" s="3" t="s">
        <v>54</v>
      </c>
      <c r="D88" s="3" t="s">
        <v>54</v>
      </c>
      <c r="E88" s="3" t="s">
        <v>54</v>
      </c>
      <c r="F88" s="3" t="s">
        <v>54</v>
      </c>
      <c r="G88" s="3" t="s">
        <v>54</v>
      </c>
      <c r="H88" s="3" t="s">
        <v>54</v>
      </c>
      <c r="I88" s="23">
        <v>1.5</v>
      </c>
      <c r="J88" s="23">
        <v>1.5</v>
      </c>
      <c r="K88" s="6" t="s">
        <v>54</v>
      </c>
      <c r="L88" s="2" t="s">
        <v>54</v>
      </c>
      <c r="M88" s="24">
        <v>375</v>
      </c>
    </row>
    <row r="89" spans="1:14" ht="19.899999999999999" customHeight="1" x14ac:dyDescent="0.25">
      <c r="A89" s="10" t="s">
        <v>132</v>
      </c>
      <c r="B89" s="12">
        <v>45244</v>
      </c>
      <c r="C89" s="12">
        <v>45246</v>
      </c>
      <c r="D89" s="25">
        <v>1040</v>
      </c>
      <c r="E89" s="10" t="s">
        <v>104</v>
      </c>
      <c r="F89" s="10" t="s">
        <v>16</v>
      </c>
      <c r="G89" s="13" t="s">
        <v>133</v>
      </c>
      <c r="H89" s="13" t="s">
        <v>15</v>
      </c>
      <c r="I89" s="10" t="s">
        <v>134</v>
      </c>
      <c r="J89" s="15">
        <v>0.5</v>
      </c>
      <c r="K89" s="15">
        <v>0.5</v>
      </c>
      <c r="L89" s="13" t="s">
        <v>99</v>
      </c>
      <c r="M89" s="13" t="s">
        <v>100</v>
      </c>
      <c r="N89" s="16">
        <v>125</v>
      </c>
    </row>
    <row r="90" spans="1:14" ht="30" x14ac:dyDescent="0.25">
      <c r="A90" s="1" t="s">
        <v>132</v>
      </c>
      <c r="B90" s="18">
        <v>45246</v>
      </c>
      <c r="C90" s="18">
        <v>45250</v>
      </c>
      <c r="D90" s="1" t="s">
        <v>96</v>
      </c>
      <c r="E90" s="1" t="s">
        <v>96</v>
      </c>
      <c r="F90" s="1" t="s">
        <v>16</v>
      </c>
      <c r="G90" s="5" t="s">
        <v>133</v>
      </c>
      <c r="H90" s="5" t="s">
        <v>15</v>
      </c>
      <c r="I90" s="19" t="s">
        <v>135</v>
      </c>
      <c r="J90" s="20">
        <v>0.5</v>
      </c>
      <c r="K90" s="20">
        <v>0.5</v>
      </c>
      <c r="L90" s="5" t="s">
        <v>99</v>
      </c>
      <c r="M90" s="5" t="s">
        <v>100</v>
      </c>
      <c r="N90" s="21">
        <v>125</v>
      </c>
    </row>
    <row r="91" spans="1:14" ht="30" x14ac:dyDescent="0.25">
      <c r="A91" s="10" t="s">
        <v>132</v>
      </c>
      <c r="B91" s="12">
        <v>45258</v>
      </c>
      <c r="C91" s="12">
        <v>45260</v>
      </c>
      <c r="D91" s="25">
        <v>1040</v>
      </c>
      <c r="E91" s="10" t="s">
        <v>104</v>
      </c>
      <c r="F91" s="10" t="s">
        <v>16</v>
      </c>
      <c r="G91" s="13" t="s">
        <v>136</v>
      </c>
      <c r="H91" s="13" t="s">
        <v>15</v>
      </c>
      <c r="I91" s="14" t="s">
        <v>137</v>
      </c>
      <c r="J91" s="15">
        <v>0.25</v>
      </c>
      <c r="K91" s="15">
        <v>0.25</v>
      </c>
      <c r="L91" s="13" t="s">
        <v>99</v>
      </c>
      <c r="M91" s="13" t="s">
        <v>100</v>
      </c>
      <c r="N91" s="16">
        <v>62.5</v>
      </c>
    </row>
    <row r="92" spans="1:14" ht="19.899999999999999" customHeight="1" x14ac:dyDescent="0.25">
      <c r="A92" s="1" t="s">
        <v>132</v>
      </c>
      <c r="B92" s="18">
        <v>45267</v>
      </c>
      <c r="C92" s="18">
        <v>45268</v>
      </c>
      <c r="D92" s="26">
        <v>1040</v>
      </c>
      <c r="E92" s="1" t="s">
        <v>104</v>
      </c>
      <c r="F92" s="1" t="s">
        <v>16</v>
      </c>
      <c r="G92" s="5" t="s">
        <v>133</v>
      </c>
      <c r="H92" s="5" t="s">
        <v>15</v>
      </c>
      <c r="I92" s="1" t="s">
        <v>138</v>
      </c>
      <c r="J92" s="20">
        <v>1.75</v>
      </c>
      <c r="K92" s="20">
        <v>1.75</v>
      </c>
      <c r="L92" s="5" t="s">
        <v>99</v>
      </c>
      <c r="M92" s="5" t="s">
        <v>100</v>
      </c>
      <c r="N92" s="21">
        <v>437.5</v>
      </c>
    </row>
    <row r="93" spans="1:14" ht="19.899999999999999" customHeight="1" x14ac:dyDescent="0.25">
      <c r="A93" s="10" t="s">
        <v>132</v>
      </c>
      <c r="B93" s="12">
        <v>45272</v>
      </c>
      <c r="C93" s="12">
        <v>45274</v>
      </c>
      <c r="D93" s="10" t="s">
        <v>96</v>
      </c>
      <c r="E93" s="10" t="s">
        <v>96</v>
      </c>
      <c r="F93" s="10" t="s">
        <v>16</v>
      </c>
      <c r="G93" s="13" t="s">
        <v>133</v>
      </c>
      <c r="H93" s="13" t="s">
        <v>15</v>
      </c>
      <c r="I93" s="10" t="s">
        <v>139</v>
      </c>
      <c r="J93" s="15">
        <v>1</v>
      </c>
      <c r="K93" s="15">
        <v>1</v>
      </c>
      <c r="L93" s="13" t="s">
        <v>99</v>
      </c>
      <c r="M93" s="13" t="s">
        <v>100</v>
      </c>
      <c r="N93" s="16">
        <v>250</v>
      </c>
    </row>
    <row r="94" spans="1:14" ht="60" customHeight="1" x14ac:dyDescent="0.25">
      <c r="A94" s="22" t="s">
        <v>140</v>
      </c>
      <c r="B94" s="3" t="s">
        <v>54</v>
      </c>
      <c r="C94" s="3" t="s">
        <v>54</v>
      </c>
      <c r="D94" s="3" t="s">
        <v>54</v>
      </c>
      <c r="E94" s="3" t="s">
        <v>54</v>
      </c>
      <c r="F94" s="3" t="s">
        <v>54</v>
      </c>
      <c r="G94" s="3" t="s">
        <v>54</v>
      </c>
      <c r="H94" s="3" t="s">
        <v>54</v>
      </c>
      <c r="I94" s="23">
        <v>4</v>
      </c>
      <c r="J94" s="23">
        <v>4</v>
      </c>
      <c r="K94" s="6" t="s">
        <v>54</v>
      </c>
      <c r="L94" s="2" t="s">
        <v>54</v>
      </c>
      <c r="M94" s="24">
        <v>1000</v>
      </c>
    </row>
    <row r="95" spans="1:14" ht="30" x14ac:dyDescent="0.25">
      <c r="A95" s="10" t="s">
        <v>141</v>
      </c>
      <c r="B95" s="12">
        <v>45250</v>
      </c>
      <c r="C95" s="12">
        <v>45257</v>
      </c>
      <c r="D95" s="10" t="s">
        <v>96</v>
      </c>
      <c r="E95" s="10" t="s">
        <v>96</v>
      </c>
      <c r="F95" s="10" t="s">
        <v>16</v>
      </c>
      <c r="G95" s="13" t="s">
        <v>129</v>
      </c>
      <c r="H95" s="13" t="s">
        <v>15</v>
      </c>
      <c r="I95" s="14" t="s">
        <v>142</v>
      </c>
      <c r="J95" s="15">
        <v>0.5</v>
      </c>
      <c r="K95" s="15">
        <v>0.5</v>
      </c>
      <c r="L95" s="13" t="s">
        <v>99</v>
      </c>
      <c r="M95" s="13" t="s">
        <v>100</v>
      </c>
      <c r="N95" s="16">
        <v>125</v>
      </c>
    </row>
    <row r="96" spans="1:14" ht="30" x14ac:dyDescent="0.25">
      <c r="A96" s="1" t="s">
        <v>141</v>
      </c>
      <c r="B96" s="18">
        <v>45261</v>
      </c>
      <c r="C96" s="18">
        <v>45264</v>
      </c>
      <c r="D96" s="26">
        <v>1040</v>
      </c>
      <c r="E96" s="1" t="s">
        <v>104</v>
      </c>
      <c r="F96" s="1" t="s">
        <v>16</v>
      </c>
      <c r="G96" s="5" t="s">
        <v>143</v>
      </c>
      <c r="H96" s="5" t="s">
        <v>15</v>
      </c>
      <c r="I96" s="19" t="s">
        <v>144</v>
      </c>
      <c r="J96" s="20">
        <v>0.5</v>
      </c>
      <c r="K96" s="20">
        <v>0.5</v>
      </c>
      <c r="L96" s="5" t="s">
        <v>99</v>
      </c>
      <c r="M96" s="5" t="s">
        <v>100</v>
      </c>
      <c r="N96" s="21">
        <v>125</v>
      </c>
    </row>
    <row r="97" spans="1:14" ht="46.7" customHeight="1" x14ac:dyDescent="0.25">
      <c r="A97" s="22" t="s">
        <v>145</v>
      </c>
      <c r="B97" s="3" t="s">
        <v>54</v>
      </c>
      <c r="C97" s="3" t="s">
        <v>54</v>
      </c>
      <c r="D97" s="3" t="s">
        <v>54</v>
      </c>
      <c r="E97" s="3" t="s">
        <v>54</v>
      </c>
      <c r="F97" s="3" t="s">
        <v>54</v>
      </c>
      <c r="G97" s="3" t="s">
        <v>54</v>
      </c>
      <c r="H97" s="3" t="s">
        <v>54</v>
      </c>
      <c r="I97" s="23">
        <v>1</v>
      </c>
      <c r="J97" s="23">
        <v>1</v>
      </c>
      <c r="K97" s="6" t="s">
        <v>54</v>
      </c>
      <c r="L97" s="2" t="s">
        <v>54</v>
      </c>
      <c r="M97" s="24">
        <v>250</v>
      </c>
    </row>
    <row r="98" spans="1:14" ht="30" x14ac:dyDescent="0.25">
      <c r="A98" s="10" t="s">
        <v>146</v>
      </c>
      <c r="B98" s="12">
        <v>45250</v>
      </c>
      <c r="C98" s="12">
        <v>45257</v>
      </c>
      <c r="D98" s="25">
        <v>1040</v>
      </c>
      <c r="E98" s="10" t="s">
        <v>104</v>
      </c>
      <c r="F98" s="10" t="s">
        <v>16</v>
      </c>
      <c r="G98" s="13" t="s">
        <v>129</v>
      </c>
      <c r="H98" s="13" t="s">
        <v>15</v>
      </c>
      <c r="I98" s="14" t="s">
        <v>142</v>
      </c>
      <c r="J98" s="15">
        <v>0.5</v>
      </c>
      <c r="K98" s="15">
        <v>0.5</v>
      </c>
      <c r="L98" s="13" t="s">
        <v>99</v>
      </c>
      <c r="M98" s="13" t="s">
        <v>100</v>
      </c>
      <c r="N98" s="16">
        <v>125</v>
      </c>
    </row>
    <row r="99" spans="1:14" ht="30" x14ac:dyDescent="0.25">
      <c r="A99" s="1" t="s">
        <v>146</v>
      </c>
      <c r="B99" s="18">
        <v>45250</v>
      </c>
      <c r="C99" s="18">
        <v>45257</v>
      </c>
      <c r="D99" s="26">
        <v>1040</v>
      </c>
      <c r="E99" s="1" t="s">
        <v>104</v>
      </c>
      <c r="F99" s="1" t="s">
        <v>16</v>
      </c>
      <c r="G99" s="5" t="s">
        <v>136</v>
      </c>
      <c r="H99" s="5" t="s">
        <v>15</v>
      </c>
      <c r="I99" s="19" t="s">
        <v>142</v>
      </c>
      <c r="J99" s="20">
        <v>0.5</v>
      </c>
      <c r="K99" s="20">
        <v>0.5</v>
      </c>
      <c r="L99" s="5" t="s">
        <v>99</v>
      </c>
      <c r="M99" s="5" t="s">
        <v>100</v>
      </c>
      <c r="N99" s="21">
        <v>125</v>
      </c>
    </row>
    <row r="100" spans="1:14" ht="46.7" customHeight="1" x14ac:dyDescent="0.25">
      <c r="A100" s="22" t="s">
        <v>147</v>
      </c>
      <c r="B100" s="3" t="s">
        <v>54</v>
      </c>
      <c r="C100" s="3" t="s">
        <v>54</v>
      </c>
      <c r="D100" s="3" t="s">
        <v>54</v>
      </c>
      <c r="E100" s="3" t="s">
        <v>54</v>
      </c>
      <c r="F100" s="3" t="s">
        <v>54</v>
      </c>
      <c r="G100" s="3" t="s">
        <v>54</v>
      </c>
      <c r="H100" s="3" t="s">
        <v>54</v>
      </c>
      <c r="I100" s="23">
        <v>1</v>
      </c>
      <c r="J100" s="23">
        <v>1</v>
      </c>
      <c r="K100" s="6" t="s">
        <v>54</v>
      </c>
      <c r="L100" s="2" t="s">
        <v>54</v>
      </c>
      <c r="M100" s="24">
        <v>250</v>
      </c>
    </row>
    <row r="101" spans="1:14" ht="19.899999999999999" customHeight="1" x14ac:dyDescent="0.25">
      <c r="A101" s="10" t="s">
        <v>148</v>
      </c>
      <c r="B101" s="12">
        <v>45239</v>
      </c>
      <c r="C101" s="12">
        <v>45240</v>
      </c>
      <c r="D101" s="25">
        <v>1040</v>
      </c>
      <c r="E101" s="10" t="s">
        <v>104</v>
      </c>
      <c r="F101" s="10" t="s">
        <v>16</v>
      </c>
      <c r="G101" s="13" t="s">
        <v>129</v>
      </c>
      <c r="H101" s="13" t="s">
        <v>15</v>
      </c>
      <c r="I101" s="10" t="s">
        <v>149</v>
      </c>
      <c r="J101" s="15">
        <v>1</v>
      </c>
      <c r="K101" s="15">
        <v>1</v>
      </c>
      <c r="L101" s="13" t="s">
        <v>99</v>
      </c>
      <c r="M101" s="13" t="s">
        <v>100</v>
      </c>
      <c r="N101" s="16">
        <v>250</v>
      </c>
    </row>
    <row r="102" spans="1:14" x14ac:dyDescent="0.25">
      <c r="A102" s="1" t="s">
        <v>148</v>
      </c>
      <c r="B102" s="18">
        <v>45239</v>
      </c>
      <c r="C102" s="18">
        <v>45240</v>
      </c>
      <c r="D102" s="26">
        <v>1040</v>
      </c>
      <c r="E102" s="1" t="s">
        <v>104</v>
      </c>
      <c r="F102" s="1" t="s">
        <v>16</v>
      </c>
      <c r="G102" s="5" t="s">
        <v>97</v>
      </c>
      <c r="H102" s="5" t="s">
        <v>15</v>
      </c>
      <c r="I102" s="19" t="s">
        <v>150</v>
      </c>
      <c r="J102" s="20">
        <v>1.75</v>
      </c>
      <c r="K102" s="20">
        <v>1.75</v>
      </c>
      <c r="L102" s="5" t="s">
        <v>99</v>
      </c>
      <c r="M102" s="5" t="s">
        <v>100</v>
      </c>
      <c r="N102" s="21">
        <v>437.5</v>
      </c>
    </row>
    <row r="103" spans="1:14" ht="30" x14ac:dyDescent="0.25">
      <c r="A103" s="10" t="s">
        <v>148</v>
      </c>
      <c r="B103" s="12">
        <v>45247</v>
      </c>
      <c r="C103" s="12">
        <v>45250</v>
      </c>
      <c r="D103" s="10" t="s">
        <v>96</v>
      </c>
      <c r="E103" s="10" t="s">
        <v>96</v>
      </c>
      <c r="F103" s="10" t="s">
        <v>16</v>
      </c>
      <c r="G103" s="13" t="s">
        <v>129</v>
      </c>
      <c r="H103" s="13" t="s">
        <v>15</v>
      </c>
      <c r="I103" s="14" t="s">
        <v>151</v>
      </c>
      <c r="J103" s="15">
        <v>1</v>
      </c>
      <c r="K103" s="15">
        <v>1</v>
      </c>
      <c r="L103" s="13" t="s">
        <v>99</v>
      </c>
      <c r="M103" s="13" t="s">
        <v>100</v>
      </c>
      <c r="N103" s="16">
        <v>250</v>
      </c>
    </row>
    <row r="104" spans="1:14" ht="45" x14ac:dyDescent="0.25">
      <c r="A104" s="1" t="s">
        <v>148</v>
      </c>
      <c r="B104" s="18">
        <v>45259</v>
      </c>
      <c r="C104" s="18">
        <v>45260</v>
      </c>
      <c r="D104" s="26">
        <v>1040</v>
      </c>
      <c r="E104" s="1" t="s">
        <v>104</v>
      </c>
      <c r="F104" s="1" t="s">
        <v>16</v>
      </c>
      <c r="G104" s="5" t="s">
        <v>117</v>
      </c>
      <c r="H104" s="5" t="s">
        <v>15</v>
      </c>
      <c r="I104" s="19" t="s">
        <v>152</v>
      </c>
      <c r="J104" s="20">
        <v>1</v>
      </c>
      <c r="K104" s="20">
        <v>1</v>
      </c>
      <c r="L104" s="5" t="s">
        <v>99</v>
      </c>
      <c r="M104" s="5" t="s">
        <v>100</v>
      </c>
      <c r="N104" s="21">
        <v>250</v>
      </c>
    </row>
    <row r="105" spans="1:14" ht="30" x14ac:dyDescent="0.25">
      <c r="A105" s="10" t="s">
        <v>148</v>
      </c>
      <c r="B105" s="12">
        <v>45261</v>
      </c>
      <c r="C105" s="12">
        <v>45264</v>
      </c>
      <c r="D105" s="25">
        <v>1040</v>
      </c>
      <c r="E105" s="10" t="s">
        <v>104</v>
      </c>
      <c r="F105" s="10" t="s">
        <v>16</v>
      </c>
      <c r="G105" s="13" t="s">
        <v>97</v>
      </c>
      <c r="H105" s="13" t="s">
        <v>15</v>
      </c>
      <c r="I105" s="14" t="s">
        <v>153</v>
      </c>
      <c r="J105" s="15">
        <v>2.5</v>
      </c>
      <c r="K105" s="15">
        <v>2.5</v>
      </c>
      <c r="L105" s="13" t="s">
        <v>99</v>
      </c>
      <c r="M105" s="13" t="s">
        <v>100</v>
      </c>
      <c r="N105" s="16">
        <v>625</v>
      </c>
    </row>
    <row r="106" spans="1:14" ht="30" x14ac:dyDescent="0.25">
      <c r="A106" s="1" t="s">
        <v>148</v>
      </c>
      <c r="B106" s="18">
        <v>45264</v>
      </c>
      <c r="C106" s="18">
        <v>45268</v>
      </c>
      <c r="D106" s="1" t="s">
        <v>96</v>
      </c>
      <c r="E106" s="1" t="s">
        <v>96</v>
      </c>
      <c r="F106" s="1" t="s">
        <v>16</v>
      </c>
      <c r="G106" s="5" t="s">
        <v>97</v>
      </c>
      <c r="H106" s="5" t="s">
        <v>15</v>
      </c>
      <c r="I106" s="19" t="s">
        <v>154</v>
      </c>
      <c r="J106" s="20">
        <v>1</v>
      </c>
      <c r="K106" s="20">
        <v>1</v>
      </c>
      <c r="L106" s="5" t="s">
        <v>99</v>
      </c>
      <c r="M106" s="5" t="s">
        <v>100</v>
      </c>
      <c r="N106" s="21">
        <v>250</v>
      </c>
    </row>
    <row r="107" spans="1:14" ht="73.5" customHeight="1" x14ac:dyDescent="0.25">
      <c r="A107" s="22" t="s">
        <v>155</v>
      </c>
      <c r="B107" s="3" t="s">
        <v>54</v>
      </c>
      <c r="C107" s="3" t="s">
        <v>54</v>
      </c>
      <c r="D107" s="3" t="s">
        <v>54</v>
      </c>
      <c r="E107" s="3" t="s">
        <v>54</v>
      </c>
      <c r="F107" s="3" t="s">
        <v>54</v>
      </c>
      <c r="G107" s="3" t="s">
        <v>54</v>
      </c>
      <c r="H107" s="3" t="s">
        <v>54</v>
      </c>
      <c r="I107" s="23">
        <v>8.25</v>
      </c>
      <c r="J107" s="23">
        <v>8.25</v>
      </c>
      <c r="K107" s="6" t="s">
        <v>54</v>
      </c>
      <c r="L107" s="2" t="s">
        <v>54</v>
      </c>
      <c r="M107" s="24">
        <v>2062.5</v>
      </c>
    </row>
    <row r="108" spans="1:14" ht="30" x14ac:dyDescent="0.25">
      <c r="A108" s="10" t="s">
        <v>156</v>
      </c>
      <c r="B108" s="12">
        <v>45261</v>
      </c>
      <c r="C108" s="12">
        <v>45264</v>
      </c>
      <c r="D108" s="25">
        <v>1040</v>
      </c>
      <c r="E108" s="10" t="s">
        <v>104</v>
      </c>
      <c r="F108" s="10" t="s">
        <v>16</v>
      </c>
      <c r="G108" s="13" t="s">
        <v>105</v>
      </c>
      <c r="H108" s="13" t="s">
        <v>15</v>
      </c>
      <c r="I108" s="14" t="s">
        <v>157</v>
      </c>
      <c r="J108" s="15">
        <v>0.75</v>
      </c>
      <c r="K108" s="15">
        <v>0.75</v>
      </c>
      <c r="L108" s="13" t="s">
        <v>99</v>
      </c>
      <c r="M108" s="13" t="s">
        <v>100</v>
      </c>
      <c r="N108" s="16">
        <v>187.5</v>
      </c>
    </row>
    <row r="109" spans="1:14" ht="60" customHeight="1" x14ac:dyDescent="0.25">
      <c r="A109" s="22" t="s">
        <v>158</v>
      </c>
      <c r="B109" s="3" t="s">
        <v>54</v>
      </c>
      <c r="C109" s="3" t="s">
        <v>54</v>
      </c>
      <c r="D109" s="3" t="s">
        <v>54</v>
      </c>
      <c r="E109" s="3" t="s">
        <v>54</v>
      </c>
      <c r="F109" s="3" t="s">
        <v>54</v>
      </c>
      <c r="G109" s="3" t="s">
        <v>54</v>
      </c>
      <c r="H109" s="3" t="s">
        <v>54</v>
      </c>
      <c r="I109" s="23">
        <v>0.75</v>
      </c>
      <c r="J109" s="23">
        <v>0.75</v>
      </c>
      <c r="K109" s="6" t="s">
        <v>54</v>
      </c>
      <c r="L109" s="2" t="s">
        <v>54</v>
      </c>
      <c r="M109" s="24">
        <v>187.5</v>
      </c>
    </row>
    <row r="110" spans="1:14" ht="30" x14ac:dyDescent="0.25">
      <c r="A110" s="10" t="s">
        <v>159</v>
      </c>
      <c r="B110" s="12">
        <v>45251</v>
      </c>
      <c r="C110" s="12">
        <v>45258</v>
      </c>
      <c r="D110" s="10" t="s">
        <v>96</v>
      </c>
      <c r="E110" s="10" t="s">
        <v>96</v>
      </c>
      <c r="F110" s="10" t="s">
        <v>16</v>
      </c>
      <c r="G110" s="13" t="s">
        <v>160</v>
      </c>
      <c r="H110" s="13" t="s">
        <v>15</v>
      </c>
      <c r="I110" s="14" t="s">
        <v>161</v>
      </c>
      <c r="J110" s="15">
        <v>0.75</v>
      </c>
      <c r="K110" s="15">
        <v>0.75</v>
      </c>
      <c r="L110" s="13" t="s">
        <v>99</v>
      </c>
      <c r="M110" s="13" t="s">
        <v>100</v>
      </c>
      <c r="N110" s="16">
        <v>187.5</v>
      </c>
    </row>
    <row r="111" spans="1:14" ht="30" x14ac:dyDescent="0.25">
      <c r="A111" s="1" t="s">
        <v>159</v>
      </c>
      <c r="B111" s="18">
        <v>45266</v>
      </c>
      <c r="C111" s="18">
        <v>45268</v>
      </c>
      <c r="D111" s="26">
        <v>1040</v>
      </c>
      <c r="E111" s="1" t="s">
        <v>104</v>
      </c>
      <c r="F111" s="1" t="s">
        <v>16</v>
      </c>
      <c r="G111" s="5" t="s">
        <v>136</v>
      </c>
      <c r="H111" s="5" t="s">
        <v>15</v>
      </c>
      <c r="I111" s="19" t="s">
        <v>162</v>
      </c>
      <c r="J111" s="20">
        <v>0.5</v>
      </c>
      <c r="K111" s="20">
        <v>0.5</v>
      </c>
      <c r="L111" s="5" t="s">
        <v>99</v>
      </c>
      <c r="M111" s="5" t="s">
        <v>100</v>
      </c>
      <c r="N111" s="21">
        <v>125</v>
      </c>
    </row>
    <row r="112" spans="1:14" ht="30" x14ac:dyDescent="0.25">
      <c r="A112" s="10" t="s">
        <v>159</v>
      </c>
      <c r="B112" s="12">
        <v>45273</v>
      </c>
      <c r="C112" s="12">
        <v>45274</v>
      </c>
      <c r="D112" s="10" t="s">
        <v>96</v>
      </c>
      <c r="E112" s="10" t="s">
        <v>96</v>
      </c>
      <c r="F112" s="10" t="s">
        <v>16</v>
      </c>
      <c r="G112" s="13" t="s">
        <v>133</v>
      </c>
      <c r="H112" s="13" t="s">
        <v>15</v>
      </c>
      <c r="I112" s="14" t="s">
        <v>163</v>
      </c>
      <c r="J112" s="15">
        <v>1</v>
      </c>
      <c r="K112" s="15">
        <v>1</v>
      </c>
      <c r="L112" s="13" t="s">
        <v>99</v>
      </c>
      <c r="M112" s="13" t="s">
        <v>100</v>
      </c>
      <c r="N112" s="16">
        <v>250</v>
      </c>
    </row>
    <row r="113" spans="1:14" ht="19.899999999999999" customHeight="1" x14ac:dyDescent="0.25">
      <c r="A113" s="1" t="s">
        <v>159</v>
      </c>
      <c r="B113" s="18">
        <v>45275</v>
      </c>
      <c r="C113" s="18">
        <v>45279</v>
      </c>
      <c r="D113" s="1" t="s">
        <v>96</v>
      </c>
      <c r="E113" s="1" t="s">
        <v>96</v>
      </c>
      <c r="F113" s="1" t="s">
        <v>16</v>
      </c>
      <c r="G113" s="5" t="s">
        <v>110</v>
      </c>
      <c r="H113" s="5" t="s">
        <v>15</v>
      </c>
      <c r="I113" s="1" t="s">
        <v>164</v>
      </c>
      <c r="J113" s="20">
        <v>1.5</v>
      </c>
      <c r="K113" s="20">
        <v>1.5</v>
      </c>
      <c r="L113" s="5" t="s">
        <v>99</v>
      </c>
      <c r="M113" s="5" t="s">
        <v>100</v>
      </c>
      <c r="N113" s="21">
        <v>375</v>
      </c>
    </row>
    <row r="114" spans="1:14" ht="60" customHeight="1" x14ac:dyDescent="0.25">
      <c r="A114" s="22" t="s">
        <v>165</v>
      </c>
      <c r="B114" s="3" t="s">
        <v>54</v>
      </c>
      <c r="C114" s="3" t="s">
        <v>54</v>
      </c>
      <c r="D114" s="3" t="s">
        <v>54</v>
      </c>
      <c r="E114" s="3" t="s">
        <v>54</v>
      </c>
      <c r="F114" s="3" t="s">
        <v>54</v>
      </c>
      <c r="G114" s="3" t="s">
        <v>54</v>
      </c>
      <c r="H114" s="3" t="s">
        <v>54</v>
      </c>
      <c r="I114" s="23">
        <v>3.75</v>
      </c>
      <c r="J114" s="23">
        <v>3.75</v>
      </c>
      <c r="K114" s="6" t="s">
        <v>54</v>
      </c>
      <c r="L114" s="2" t="s">
        <v>54</v>
      </c>
      <c r="M114" s="24">
        <v>937.5</v>
      </c>
    </row>
    <row r="115" spans="1:14" ht="19.899999999999999" customHeight="1" x14ac:dyDescent="0.25">
      <c r="A115" s="10" t="s">
        <v>166</v>
      </c>
      <c r="B115" s="12">
        <v>45244</v>
      </c>
      <c r="C115" s="12">
        <v>45246</v>
      </c>
      <c r="D115" s="25">
        <v>1040</v>
      </c>
      <c r="E115" s="10" t="s">
        <v>104</v>
      </c>
      <c r="F115" s="10" t="s">
        <v>16</v>
      </c>
      <c r="G115" s="13" t="s">
        <v>133</v>
      </c>
      <c r="H115" s="13" t="s">
        <v>15</v>
      </c>
      <c r="I115" s="10" t="s">
        <v>167</v>
      </c>
      <c r="J115" s="15">
        <v>1.25</v>
      </c>
      <c r="K115" s="15">
        <v>1.25</v>
      </c>
      <c r="L115" s="13" t="s">
        <v>99</v>
      </c>
      <c r="M115" s="13" t="s">
        <v>100</v>
      </c>
      <c r="N115" s="16">
        <v>312.5</v>
      </c>
    </row>
    <row r="116" spans="1:14" ht="30" x14ac:dyDescent="0.25">
      <c r="A116" s="1" t="s">
        <v>166</v>
      </c>
      <c r="B116" s="18">
        <v>45271</v>
      </c>
      <c r="C116" s="18">
        <v>45274</v>
      </c>
      <c r="D116" s="1" t="s">
        <v>96</v>
      </c>
      <c r="E116" s="1" t="s">
        <v>96</v>
      </c>
      <c r="F116" s="1" t="s">
        <v>16</v>
      </c>
      <c r="G116" s="5" t="s">
        <v>133</v>
      </c>
      <c r="H116" s="5" t="s">
        <v>15</v>
      </c>
      <c r="I116" s="19" t="s">
        <v>168</v>
      </c>
      <c r="J116" s="20">
        <v>1.25</v>
      </c>
      <c r="K116" s="20">
        <v>1.25</v>
      </c>
      <c r="L116" s="5" t="s">
        <v>99</v>
      </c>
      <c r="M116" s="5" t="s">
        <v>100</v>
      </c>
      <c r="N116" s="21">
        <v>312.5</v>
      </c>
    </row>
    <row r="117" spans="1:14" ht="30" x14ac:dyDescent="0.25">
      <c r="A117" s="10" t="s">
        <v>166</v>
      </c>
      <c r="B117" s="12">
        <v>45275</v>
      </c>
      <c r="C117" s="12">
        <v>45279</v>
      </c>
      <c r="D117" s="10" t="s">
        <v>96</v>
      </c>
      <c r="E117" s="10" t="s">
        <v>96</v>
      </c>
      <c r="F117" s="10" t="s">
        <v>16</v>
      </c>
      <c r="G117" s="13" t="s">
        <v>110</v>
      </c>
      <c r="H117" s="13" t="s">
        <v>15</v>
      </c>
      <c r="I117" s="14" t="s">
        <v>169</v>
      </c>
      <c r="J117" s="15">
        <v>0.75</v>
      </c>
      <c r="K117" s="15">
        <v>0.75</v>
      </c>
      <c r="L117" s="13" t="s">
        <v>99</v>
      </c>
      <c r="M117" s="13" t="s">
        <v>100</v>
      </c>
      <c r="N117" s="16">
        <v>187.5</v>
      </c>
    </row>
    <row r="118" spans="1:14" ht="19.899999999999999" customHeight="1" x14ac:dyDescent="0.25">
      <c r="A118" s="1" t="s">
        <v>166</v>
      </c>
      <c r="B118" s="18">
        <v>45280</v>
      </c>
      <c r="C118" s="18">
        <v>45295</v>
      </c>
      <c r="D118" s="26">
        <v>1040</v>
      </c>
      <c r="E118" s="1" t="s">
        <v>104</v>
      </c>
      <c r="F118" s="1" t="s">
        <v>16</v>
      </c>
      <c r="G118" s="5" t="s">
        <v>133</v>
      </c>
      <c r="H118" s="5" t="s">
        <v>15</v>
      </c>
      <c r="I118" s="1" t="s">
        <v>170</v>
      </c>
      <c r="J118" s="20">
        <v>0.75</v>
      </c>
      <c r="K118" s="20">
        <v>0.75</v>
      </c>
      <c r="L118" s="5" t="s">
        <v>99</v>
      </c>
      <c r="M118" s="5" t="s">
        <v>100</v>
      </c>
      <c r="N118" s="21">
        <v>187.5</v>
      </c>
    </row>
    <row r="119" spans="1:14" ht="60" customHeight="1" x14ac:dyDescent="0.25">
      <c r="A119" s="22" t="s">
        <v>171</v>
      </c>
      <c r="B119" s="3" t="s">
        <v>54</v>
      </c>
      <c r="C119" s="3" t="s">
        <v>54</v>
      </c>
      <c r="D119" s="3" t="s">
        <v>54</v>
      </c>
      <c r="E119" s="3" t="s">
        <v>54</v>
      </c>
      <c r="F119" s="3" t="s">
        <v>54</v>
      </c>
      <c r="G119" s="3" t="s">
        <v>54</v>
      </c>
      <c r="H119" s="3" t="s">
        <v>54</v>
      </c>
      <c r="I119" s="23">
        <v>4</v>
      </c>
      <c r="J119" s="23">
        <v>4</v>
      </c>
      <c r="K119" s="6" t="s">
        <v>54</v>
      </c>
      <c r="L119" s="2" t="s">
        <v>54</v>
      </c>
      <c r="M119" s="24">
        <v>1000</v>
      </c>
    </row>
    <row r="120" spans="1:14" ht="30" x14ac:dyDescent="0.25">
      <c r="A120" s="10" t="s">
        <v>172</v>
      </c>
      <c r="B120" s="12">
        <v>45267</v>
      </c>
      <c r="C120" s="12">
        <v>45268</v>
      </c>
      <c r="D120" s="10" t="s">
        <v>96</v>
      </c>
      <c r="E120" s="10" t="s">
        <v>96</v>
      </c>
      <c r="F120" s="10" t="s">
        <v>16</v>
      </c>
      <c r="G120" s="13" t="s">
        <v>136</v>
      </c>
      <c r="H120" s="13" t="s">
        <v>15</v>
      </c>
      <c r="I120" s="14" t="s">
        <v>173</v>
      </c>
      <c r="J120" s="15">
        <v>0.5</v>
      </c>
      <c r="K120" s="15">
        <v>0.5</v>
      </c>
      <c r="L120" s="13" t="s">
        <v>99</v>
      </c>
      <c r="M120" s="13" t="s">
        <v>100</v>
      </c>
      <c r="N120" s="16">
        <v>125</v>
      </c>
    </row>
    <row r="121" spans="1:14" ht="60" customHeight="1" x14ac:dyDescent="0.25">
      <c r="A121" s="22" t="s">
        <v>174</v>
      </c>
      <c r="B121" s="3" t="s">
        <v>54</v>
      </c>
      <c r="C121" s="3" t="s">
        <v>54</v>
      </c>
      <c r="D121" s="3" t="s">
        <v>54</v>
      </c>
      <c r="E121" s="3" t="s">
        <v>54</v>
      </c>
      <c r="F121" s="3" t="s">
        <v>54</v>
      </c>
      <c r="G121" s="3" t="s">
        <v>54</v>
      </c>
      <c r="H121" s="3" t="s">
        <v>54</v>
      </c>
      <c r="I121" s="23">
        <v>0.5</v>
      </c>
      <c r="J121" s="23">
        <v>0.5</v>
      </c>
      <c r="K121" s="6" t="s">
        <v>54</v>
      </c>
      <c r="L121" s="2" t="s">
        <v>54</v>
      </c>
      <c r="M121" s="24">
        <v>125</v>
      </c>
    </row>
    <row r="122" spans="1:14" ht="30" x14ac:dyDescent="0.25">
      <c r="A122" s="10" t="s">
        <v>175</v>
      </c>
      <c r="B122" s="12">
        <v>45232</v>
      </c>
      <c r="C122" s="12">
        <v>45236</v>
      </c>
      <c r="D122" s="10" t="s">
        <v>109</v>
      </c>
      <c r="E122" s="10" t="s">
        <v>104</v>
      </c>
      <c r="F122" s="10" t="s">
        <v>16</v>
      </c>
      <c r="G122" s="13" t="s">
        <v>129</v>
      </c>
      <c r="H122" s="13" t="s">
        <v>15</v>
      </c>
      <c r="I122" s="14" t="s">
        <v>176</v>
      </c>
      <c r="J122" s="15">
        <v>1</v>
      </c>
      <c r="K122" s="15">
        <v>1</v>
      </c>
      <c r="L122" s="13" t="s">
        <v>99</v>
      </c>
      <c r="M122" s="13" t="s">
        <v>100</v>
      </c>
      <c r="N122" s="16">
        <v>134.26</v>
      </c>
    </row>
    <row r="123" spans="1:14" ht="19.899999999999999" customHeight="1" x14ac:dyDescent="0.25">
      <c r="A123" s="1" t="s">
        <v>175</v>
      </c>
      <c r="B123" s="18">
        <v>45240</v>
      </c>
      <c r="C123" s="18">
        <v>45243</v>
      </c>
      <c r="D123" s="1" t="s">
        <v>109</v>
      </c>
      <c r="E123" s="1" t="s">
        <v>104</v>
      </c>
      <c r="F123" s="1" t="s">
        <v>16</v>
      </c>
      <c r="G123" s="5" t="s">
        <v>110</v>
      </c>
      <c r="H123" s="5" t="s">
        <v>15</v>
      </c>
      <c r="I123" s="1" t="s">
        <v>177</v>
      </c>
      <c r="J123" s="20">
        <v>1.25</v>
      </c>
      <c r="K123" s="20">
        <v>1.25</v>
      </c>
      <c r="L123" s="5" t="s">
        <v>99</v>
      </c>
      <c r="M123" s="5" t="s">
        <v>100</v>
      </c>
      <c r="N123" s="21">
        <v>167.82</v>
      </c>
    </row>
    <row r="124" spans="1:14" ht="19.899999999999999" customHeight="1" x14ac:dyDescent="0.25">
      <c r="A124" s="10" t="s">
        <v>175</v>
      </c>
      <c r="B124" s="12">
        <v>45243</v>
      </c>
      <c r="C124" s="12">
        <v>45244</v>
      </c>
      <c r="D124" s="10" t="s">
        <v>109</v>
      </c>
      <c r="E124" s="10" t="s">
        <v>104</v>
      </c>
      <c r="F124" s="10" t="s">
        <v>16</v>
      </c>
      <c r="G124" s="13" t="s">
        <v>110</v>
      </c>
      <c r="H124" s="13" t="s">
        <v>15</v>
      </c>
      <c r="I124" s="10" t="s">
        <v>178</v>
      </c>
      <c r="J124" s="15">
        <v>0.75</v>
      </c>
      <c r="K124" s="15">
        <v>0.75</v>
      </c>
      <c r="L124" s="13" t="s">
        <v>99</v>
      </c>
      <c r="M124" s="13" t="s">
        <v>100</v>
      </c>
      <c r="N124" s="16">
        <v>100.69</v>
      </c>
    </row>
    <row r="125" spans="1:14" ht="60" customHeight="1" x14ac:dyDescent="0.25">
      <c r="A125" s="22" t="s">
        <v>179</v>
      </c>
      <c r="B125" s="3" t="s">
        <v>54</v>
      </c>
      <c r="C125" s="3" t="s">
        <v>54</v>
      </c>
      <c r="D125" s="3" t="s">
        <v>54</v>
      </c>
      <c r="E125" s="3" t="s">
        <v>54</v>
      </c>
      <c r="F125" s="3" t="s">
        <v>54</v>
      </c>
      <c r="G125" s="3" t="s">
        <v>54</v>
      </c>
      <c r="H125" s="3" t="s">
        <v>54</v>
      </c>
      <c r="I125" s="23">
        <v>3</v>
      </c>
      <c r="J125" s="23">
        <v>3</v>
      </c>
      <c r="K125" s="6" t="s">
        <v>54</v>
      </c>
      <c r="L125" s="2" t="s">
        <v>54</v>
      </c>
      <c r="M125" s="24">
        <v>402.77</v>
      </c>
    </row>
    <row r="126" spans="1:14" ht="30" x14ac:dyDescent="0.25">
      <c r="A126" s="10" t="s">
        <v>180</v>
      </c>
      <c r="B126" s="12">
        <v>45231</v>
      </c>
      <c r="C126" s="12">
        <v>45236</v>
      </c>
      <c r="D126" s="25">
        <v>1040</v>
      </c>
      <c r="E126" s="10" t="s">
        <v>104</v>
      </c>
      <c r="F126" s="10" t="s">
        <v>16</v>
      </c>
      <c r="G126" s="13" t="s">
        <v>117</v>
      </c>
      <c r="H126" s="13" t="s">
        <v>15</v>
      </c>
      <c r="I126" s="14" t="s">
        <v>181</v>
      </c>
      <c r="J126" s="15">
        <v>1.5</v>
      </c>
      <c r="K126" s="15">
        <v>1.5</v>
      </c>
      <c r="L126" s="13" t="s">
        <v>99</v>
      </c>
      <c r="M126" s="13" t="s">
        <v>100</v>
      </c>
      <c r="N126" s="16">
        <v>200.53</v>
      </c>
    </row>
    <row r="127" spans="1:14" ht="46.7" customHeight="1" x14ac:dyDescent="0.25">
      <c r="A127" s="22" t="s">
        <v>182</v>
      </c>
      <c r="B127" s="3" t="s">
        <v>54</v>
      </c>
      <c r="C127" s="3" t="s">
        <v>54</v>
      </c>
      <c r="D127" s="3" t="s">
        <v>54</v>
      </c>
      <c r="E127" s="3" t="s">
        <v>54</v>
      </c>
      <c r="F127" s="3" t="s">
        <v>54</v>
      </c>
      <c r="G127" s="3" t="s">
        <v>54</v>
      </c>
      <c r="H127" s="3" t="s">
        <v>54</v>
      </c>
      <c r="I127" s="23">
        <v>1.5</v>
      </c>
      <c r="J127" s="23">
        <v>1.5</v>
      </c>
      <c r="K127" s="6" t="s">
        <v>54</v>
      </c>
      <c r="L127" s="2" t="s">
        <v>54</v>
      </c>
      <c r="M127" s="24">
        <v>200.53</v>
      </c>
    </row>
    <row r="128" spans="1:14" ht="19.899999999999999" customHeight="1" x14ac:dyDescent="0.25">
      <c r="A128" s="10" t="s">
        <v>183</v>
      </c>
      <c r="B128" s="12">
        <v>45236</v>
      </c>
      <c r="C128" s="12">
        <v>45238</v>
      </c>
      <c r="D128" s="10" t="s">
        <v>96</v>
      </c>
      <c r="E128" s="10" t="s">
        <v>96</v>
      </c>
      <c r="F128" s="10" t="s">
        <v>16</v>
      </c>
      <c r="G128" s="13" t="s">
        <v>136</v>
      </c>
      <c r="H128" s="13" t="s">
        <v>15</v>
      </c>
      <c r="I128" s="10" t="s">
        <v>184</v>
      </c>
      <c r="J128" s="15">
        <v>0.5</v>
      </c>
      <c r="K128" s="15">
        <v>0.5</v>
      </c>
      <c r="L128" s="13" t="s">
        <v>99</v>
      </c>
      <c r="M128" s="13" t="s">
        <v>100</v>
      </c>
      <c r="N128" s="16">
        <v>125</v>
      </c>
    </row>
    <row r="129" spans="1:14" ht="60" customHeight="1" x14ac:dyDescent="0.25">
      <c r="A129" s="22" t="s">
        <v>185</v>
      </c>
      <c r="B129" s="3" t="s">
        <v>54</v>
      </c>
      <c r="C129" s="3" t="s">
        <v>54</v>
      </c>
      <c r="D129" s="3" t="s">
        <v>54</v>
      </c>
      <c r="E129" s="3" t="s">
        <v>54</v>
      </c>
      <c r="F129" s="3" t="s">
        <v>54</v>
      </c>
      <c r="G129" s="3" t="s">
        <v>54</v>
      </c>
      <c r="H129" s="3" t="s">
        <v>54</v>
      </c>
      <c r="I129" s="23">
        <v>0.5</v>
      </c>
      <c r="J129" s="23">
        <v>0.5</v>
      </c>
      <c r="K129" s="6" t="s">
        <v>54</v>
      </c>
      <c r="L129" s="2" t="s">
        <v>54</v>
      </c>
      <c r="M129" s="24">
        <v>125</v>
      </c>
    </row>
    <row r="130" spans="1:14" ht="19.899999999999999" customHeight="1" x14ac:dyDescent="0.25">
      <c r="A130" s="10" t="s">
        <v>186</v>
      </c>
      <c r="B130" s="12">
        <v>45239</v>
      </c>
      <c r="C130" s="12">
        <v>45243</v>
      </c>
      <c r="D130" s="10" t="s">
        <v>187</v>
      </c>
      <c r="E130" s="10" t="s">
        <v>104</v>
      </c>
      <c r="F130" s="10" t="s">
        <v>16</v>
      </c>
      <c r="G130" s="13" t="s">
        <v>105</v>
      </c>
      <c r="H130" s="13" t="s">
        <v>15</v>
      </c>
      <c r="I130" s="10" t="s">
        <v>188</v>
      </c>
      <c r="J130" s="15">
        <v>0.25</v>
      </c>
      <c r="K130" s="15">
        <v>0.25</v>
      </c>
      <c r="L130" s="13" t="s">
        <v>99</v>
      </c>
      <c r="M130" s="13" t="s">
        <v>100</v>
      </c>
      <c r="N130" s="16">
        <v>62.5</v>
      </c>
    </row>
    <row r="131" spans="1:14" ht="60" customHeight="1" x14ac:dyDescent="0.25">
      <c r="A131" s="22" t="s">
        <v>189</v>
      </c>
      <c r="B131" s="3" t="s">
        <v>54</v>
      </c>
      <c r="C131" s="3" t="s">
        <v>54</v>
      </c>
      <c r="D131" s="3" t="s">
        <v>54</v>
      </c>
      <c r="E131" s="3" t="s">
        <v>54</v>
      </c>
      <c r="F131" s="3" t="s">
        <v>54</v>
      </c>
      <c r="G131" s="3" t="s">
        <v>54</v>
      </c>
      <c r="H131" s="3" t="s">
        <v>54</v>
      </c>
      <c r="I131" s="23">
        <v>0.25</v>
      </c>
      <c r="J131" s="23">
        <v>0.25</v>
      </c>
      <c r="K131" s="6" t="s">
        <v>54</v>
      </c>
      <c r="L131" s="2" t="s">
        <v>54</v>
      </c>
      <c r="M131" s="24">
        <v>62.5</v>
      </c>
    </row>
    <row r="132" spans="1:14" ht="19.899999999999999" customHeight="1" x14ac:dyDescent="0.25">
      <c r="A132" s="10" t="s">
        <v>190</v>
      </c>
      <c r="B132" s="12">
        <v>45244</v>
      </c>
      <c r="C132" s="12">
        <v>45246</v>
      </c>
      <c r="D132" s="25">
        <v>1120</v>
      </c>
      <c r="E132" s="10" t="s">
        <v>104</v>
      </c>
      <c r="F132" s="10" t="s">
        <v>16</v>
      </c>
      <c r="G132" s="13" t="s">
        <v>129</v>
      </c>
      <c r="H132" s="13" t="s">
        <v>15</v>
      </c>
      <c r="I132" s="10" t="s">
        <v>191</v>
      </c>
      <c r="J132" s="15">
        <v>0.5</v>
      </c>
      <c r="K132" s="15">
        <v>0.5</v>
      </c>
      <c r="L132" s="13" t="s">
        <v>99</v>
      </c>
      <c r="M132" s="13" t="s">
        <v>100</v>
      </c>
      <c r="N132" s="16">
        <v>125</v>
      </c>
    </row>
    <row r="133" spans="1:14" ht="19.899999999999999" customHeight="1" x14ac:dyDescent="0.25">
      <c r="A133" s="1" t="s">
        <v>190</v>
      </c>
      <c r="B133" s="18">
        <v>45245</v>
      </c>
      <c r="C133" s="18">
        <v>45246</v>
      </c>
      <c r="D133" s="1" t="s">
        <v>109</v>
      </c>
      <c r="E133" s="1" t="s">
        <v>104</v>
      </c>
      <c r="F133" s="1" t="s">
        <v>16</v>
      </c>
      <c r="G133" s="5" t="s">
        <v>110</v>
      </c>
      <c r="H133" s="5" t="s">
        <v>15</v>
      </c>
      <c r="I133" s="1" t="s">
        <v>192</v>
      </c>
      <c r="J133" s="20">
        <v>0.5</v>
      </c>
      <c r="K133" s="20">
        <v>0.5</v>
      </c>
      <c r="L133" s="5" t="s">
        <v>99</v>
      </c>
      <c r="M133" s="5" t="s">
        <v>100</v>
      </c>
      <c r="N133" s="21">
        <v>125</v>
      </c>
    </row>
    <row r="134" spans="1:14" ht="60" customHeight="1" x14ac:dyDescent="0.25">
      <c r="A134" s="22" t="s">
        <v>193</v>
      </c>
      <c r="B134" s="3" t="s">
        <v>54</v>
      </c>
      <c r="C134" s="3" t="s">
        <v>54</v>
      </c>
      <c r="D134" s="3" t="s">
        <v>54</v>
      </c>
      <c r="E134" s="3" t="s">
        <v>54</v>
      </c>
      <c r="F134" s="3" t="s">
        <v>54</v>
      </c>
      <c r="G134" s="3" t="s">
        <v>54</v>
      </c>
      <c r="H134" s="3" t="s">
        <v>54</v>
      </c>
      <c r="I134" s="23">
        <v>1</v>
      </c>
      <c r="J134" s="23">
        <v>1</v>
      </c>
      <c r="K134" s="6" t="s">
        <v>54</v>
      </c>
      <c r="L134" s="2" t="s">
        <v>54</v>
      </c>
      <c r="M134" s="24">
        <v>250</v>
      </c>
    </row>
    <row r="135" spans="1:14" ht="30" x14ac:dyDescent="0.25">
      <c r="A135" s="10" t="s">
        <v>194</v>
      </c>
      <c r="B135" s="12">
        <v>45243</v>
      </c>
      <c r="C135" s="12">
        <v>45244</v>
      </c>
      <c r="D135" s="25">
        <v>1040</v>
      </c>
      <c r="E135" s="10" t="s">
        <v>104</v>
      </c>
      <c r="F135" s="10" t="s">
        <v>16</v>
      </c>
      <c r="G135" s="13" t="s">
        <v>129</v>
      </c>
      <c r="H135" s="13" t="s">
        <v>15</v>
      </c>
      <c r="I135" s="14" t="s">
        <v>195</v>
      </c>
      <c r="J135" s="15">
        <v>2.25</v>
      </c>
      <c r="K135" s="15">
        <v>2.25</v>
      </c>
      <c r="L135" s="13" t="s">
        <v>99</v>
      </c>
      <c r="M135" s="13" t="s">
        <v>100</v>
      </c>
      <c r="N135" s="16">
        <v>562.5</v>
      </c>
    </row>
    <row r="136" spans="1:14" ht="30" x14ac:dyDescent="0.25">
      <c r="A136" s="1" t="s">
        <v>194</v>
      </c>
      <c r="B136" s="18">
        <v>45251</v>
      </c>
      <c r="C136" s="18">
        <v>45257</v>
      </c>
      <c r="D136" s="26">
        <v>1040</v>
      </c>
      <c r="E136" s="1" t="s">
        <v>104</v>
      </c>
      <c r="F136" s="1" t="s">
        <v>16</v>
      </c>
      <c r="G136" s="5" t="s">
        <v>117</v>
      </c>
      <c r="H136" s="5" t="s">
        <v>15</v>
      </c>
      <c r="I136" s="19" t="s">
        <v>196</v>
      </c>
      <c r="J136" s="20">
        <v>1.5</v>
      </c>
      <c r="K136" s="20">
        <v>1.5</v>
      </c>
      <c r="L136" s="5" t="s">
        <v>99</v>
      </c>
      <c r="M136" s="5" t="s">
        <v>100</v>
      </c>
      <c r="N136" s="21">
        <v>375</v>
      </c>
    </row>
    <row r="137" spans="1:14" ht="30" x14ac:dyDescent="0.25">
      <c r="A137" s="10" t="s">
        <v>194</v>
      </c>
      <c r="B137" s="12">
        <v>45272</v>
      </c>
      <c r="C137" s="12">
        <v>45279</v>
      </c>
      <c r="D137" s="25">
        <v>1040</v>
      </c>
      <c r="E137" s="10" t="s">
        <v>104</v>
      </c>
      <c r="F137" s="10" t="s">
        <v>16</v>
      </c>
      <c r="G137" s="13" t="s">
        <v>110</v>
      </c>
      <c r="H137" s="13" t="s">
        <v>15</v>
      </c>
      <c r="I137" s="14" t="s">
        <v>197</v>
      </c>
      <c r="J137" s="15">
        <v>0.5</v>
      </c>
      <c r="K137" s="15">
        <v>0.5</v>
      </c>
      <c r="L137" s="13" t="s">
        <v>99</v>
      </c>
      <c r="M137" s="13" t="s">
        <v>100</v>
      </c>
      <c r="N137" s="16">
        <v>125</v>
      </c>
    </row>
    <row r="138" spans="1:14" ht="60" customHeight="1" x14ac:dyDescent="0.25">
      <c r="A138" s="22" t="s">
        <v>198</v>
      </c>
      <c r="B138" s="3" t="s">
        <v>54</v>
      </c>
      <c r="C138" s="3" t="s">
        <v>54</v>
      </c>
      <c r="D138" s="3" t="s">
        <v>54</v>
      </c>
      <c r="E138" s="3" t="s">
        <v>54</v>
      </c>
      <c r="F138" s="3" t="s">
        <v>54</v>
      </c>
      <c r="G138" s="3" t="s">
        <v>54</v>
      </c>
      <c r="H138" s="3" t="s">
        <v>54</v>
      </c>
      <c r="I138" s="23">
        <v>4.25</v>
      </c>
      <c r="J138" s="23">
        <v>4.25</v>
      </c>
      <c r="K138" s="6" t="s">
        <v>54</v>
      </c>
      <c r="L138" s="2" t="s">
        <v>54</v>
      </c>
      <c r="M138" s="24">
        <v>1062.5</v>
      </c>
    </row>
    <row r="139" spans="1:14" ht="45" x14ac:dyDescent="0.25">
      <c r="A139" s="10" t="s">
        <v>199</v>
      </c>
      <c r="B139" s="12">
        <v>45232</v>
      </c>
      <c r="C139" s="12">
        <v>45236</v>
      </c>
      <c r="D139" s="10" t="s">
        <v>96</v>
      </c>
      <c r="E139" s="10" t="s">
        <v>96</v>
      </c>
      <c r="F139" s="10" t="s">
        <v>16</v>
      </c>
      <c r="G139" s="13" t="s">
        <v>110</v>
      </c>
      <c r="H139" s="13" t="s">
        <v>15</v>
      </c>
      <c r="I139" s="14" t="s">
        <v>200</v>
      </c>
      <c r="J139" s="15">
        <v>1.25</v>
      </c>
      <c r="K139" s="15">
        <v>1.25</v>
      </c>
      <c r="L139" s="13" t="s">
        <v>99</v>
      </c>
      <c r="M139" s="13" t="s">
        <v>100</v>
      </c>
      <c r="N139" s="16">
        <v>312.5</v>
      </c>
    </row>
    <row r="140" spans="1:14" ht="30" x14ac:dyDescent="0.25">
      <c r="A140" s="1" t="s">
        <v>199</v>
      </c>
      <c r="B140" s="18">
        <v>45236</v>
      </c>
      <c r="C140" s="18">
        <v>45238</v>
      </c>
      <c r="D140" s="1" t="s">
        <v>96</v>
      </c>
      <c r="E140" s="1" t="s">
        <v>96</v>
      </c>
      <c r="F140" s="1" t="s">
        <v>16</v>
      </c>
      <c r="G140" s="5" t="s">
        <v>110</v>
      </c>
      <c r="H140" s="5" t="s">
        <v>15</v>
      </c>
      <c r="I140" s="19" t="s">
        <v>201</v>
      </c>
      <c r="J140" s="20">
        <v>1.75</v>
      </c>
      <c r="K140" s="20">
        <v>1.75</v>
      </c>
      <c r="L140" s="5" t="s">
        <v>99</v>
      </c>
      <c r="M140" s="5" t="s">
        <v>100</v>
      </c>
      <c r="N140" s="21">
        <v>437.5</v>
      </c>
    </row>
    <row r="141" spans="1:14" ht="73.5" customHeight="1" x14ac:dyDescent="0.25">
      <c r="A141" s="22" t="s">
        <v>202</v>
      </c>
      <c r="B141" s="3" t="s">
        <v>54</v>
      </c>
      <c r="C141" s="3" t="s">
        <v>54</v>
      </c>
      <c r="D141" s="3" t="s">
        <v>54</v>
      </c>
      <c r="E141" s="3" t="s">
        <v>54</v>
      </c>
      <c r="F141" s="3" t="s">
        <v>54</v>
      </c>
      <c r="G141" s="3" t="s">
        <v>54</v>
      </c>
      <c r="H141" s="3" t="s">
        <v>54</v>
      </c>
      <c r="I141" s="23">
        <v>3</v>
      </c>
      <c r="J141" s="23">
        <v>3</v>
      </c>
      <c r="K141" s="6" t="s">
        <v>54</v>
      </c>
      <c r="L141" s="2" t="s">
        <v>54</v>
      </c>
      <c r="M141" s="24">
        <v>750</v>
      </c>
    </row>
    <row r="142" spans="1:14" ht="45" x14ac:dyDescent="0.25">
      <c r="A142" s="10" t="s">
        <v>203</v>
      </c>
      <c r="B142" s="12">
        <v>45271</v>
      </c>
      <c r="C142" s="12">
        <v>45279</v>
      </c>
      <c r="D142" s="10" t="s">
        <v>96</v>
      </c>
      <c r="E142" s="10" t="s">
        <v>96</v>
      </c>
      <c r="F142" s="10" t="s">
        <v>16</v>
      </c>
      <c r="G142" s="13" t="s">
        <v>133</v>
      </c>
      <c r="H142" s="13" t="s">
        <v>15</v>
      </c>
      <c r="I142" s="14" t="s">
        <v>204</v>
      </c>
      <c r="J142" s="15">
        <v>0.75</v>
      </c>
      <c r="K142" s="15">
        <v>0.75</v>
      </c>
      <c r="L142" s="13" t="s">
        <v>99</v>
      </c>
      <c r="M142" s="13" t="s">
        <v>100</v>
      </c>
      <c r="N142" s="16">
        <v>187.5</v>
      </c>
    </row>
    <row r="143" spans="1:14" ht="30" x14ac:dyDescent="0.25">
      <c r="A143" s="1" t="s">
        <v>203</v>
      </c>
      <c r="B143" s="18">
        <v>45282</v>
      </c>
      <c r="C143" s="18">
        <v>45287</v>
      </c>
      <c r="D143" s="1" t="s">
        <v>96</v>
      </c>
      <c r="E143" s="1" t="s">
        <v>96</v>
      </c>
      <c r="F143" s="1" t="s">
        <v>16</v>
      </c>
      <c r="G143" s="5" t="s">
        <v>105</v>
      </c>
      <c r="H143" s="5" t="s">
        <v>15</v>
      </c>
      <c r="I143" s="19" t="s">
        <v>205</v>
      </c>
      <c r="J143" s="20">
        <v>1.25</v>
      </c>
      <c r="K143" s="20">
        <v>1.25</v>
      </c>
      <c r="L143" s="5" t="s">
        <v>99</v>
      </c>
      <c r="M143" s="5" t="s">
        <v>100</v>
      </c>
      <c r="N143" s="21">
        <v>312.5</v>
      </c>
    </row>
    <row r="144" spans="1:14" ht="30" x14ac:dyDescent="0.25">
      <c r="A144" s="10" t="s">
        <v>203</v>
      </c>
      <c r="B144" s="12">
        <v>45279</v>
      </c>
      <c r="C144" s="12">
        <v>45295</v>
      </c>
      <c r="D144" s="10" t="s">
        <v>96</v>
      </c>
      <c r="E144" s="10" t="s">
        <v>96</v>
      </c>
      <c r="F144" s="10" t="s">
        <v>16</v>
      </c>
      <c r="G144" s="13" t="s">
        <v>105</v>
      </c>
      <c r="H144" s="13" t="s">
        <v>15</v>
      </c>
      <c r="I144" s="14" t="s">
        <v>206</v>
      </c>
      <c r="J144" s="15">
        <v>1</v>
      </c>
      <c r="K144" s="15">
        <v>1</v>
      </c>
      <c r="L144" s="13" t="s">
        <v>99</v>
      </c>
      <c r="M144" s="13" t="s">
        <v>100</v>
      </c>
      <c r="N144" s="16">
        <v>250</v>
      </c>
    </row>
    <row r="145" spans="1:14" ht="73.5" customHeight="1" x14ac:dyDescent="0.25">
      <c r="A145" s="22" t="s">
        <v>207</v>
      </c>
      <c r="B145" s="3" t="s">
        <v>54</v>
      </c>
      <c r="C145" s="3" t="s">
        <v>54</v>
      </c>
      <c r="D145" s="3" t="s">
        <v>54</v>
      </c>
      <c r="E145" s="3" t="s">
        <v>54</v>
      </c>
      <c r="F145" s="3" t="s">
        <v>54</v>
      </c>
      <c r="G145" s="3" t="s">
        <v>54</v>
      </c>
      <c r="H145" s="3" t="s">
        <v>54</v>
      </c>
      <c r="I145" s="23">
        <v>3</v>
      </c>
      <c r="J145" s="23">
        <v>3</v>
      </c>
      <c r="K145" s="6" t="s">
        <v>54</v>
      </c>
      <c r="L145" s="2" t="s">
        <v>54</v>
      </c>
      <c r="M145" s="24">
        <v>750</v>
      </c>
    </row>
    <row r="146" spans="1:14" ht="30" x14ac:dyDescent="0.25">
      <c r="A146" s="10" t="s">
        <v>208</v>
      </c>
      <c r="B146" s="12">
        <v>45233</v>
      </c>
      <c r="C146" s="12">
        <v>45236</v>
      </c>
      <c r="D146" s="10" t="s">
        <v>187</v>
      </c>
      <c r="E146" s="10" t="s">
        <v>104</v>
      </c>
      <c r="F146" s="10" t="s">
        <v>16</v>
      </c>
      <c r="G146" s="13" t="s">
        <v>97</v>
      </c>
      <c r="H146" s="13" t="s">
        <v>15</v>
      </c>
      <c r="I146" s="14" t="s">
        <v>209</v>
      </c>
      <c r="J146" s="15">
        <v>0.75</v>
      </c>
      <c r="K146" s="15">
        <v>0.75</v>
      </c>
      <c r="L146" s="13" t="s">
        <v>99</v>
      </c>
      <c r="M146" s="13" t="s">
        <v>100</v>
      </c>
      <c r="N146" s="16">
        <v>187.5</v>
      </c>
    </row>
    <row r="147" spans="1:14" ht="19.899999999999999" customHeight="1" x14ac:dyDescent="0.25">
      <c r="A147" s="1" t="s">
        <v>208</v>
      </c>
      <c r="B147" s="18">
        <v>45231</v>
      </c>
      <c r="C147" s="18">
        <v>45236</v>
      </c>
      <c r="D147" s="1" t="s">
        <v>96</v>
      </c>
      <c r="E147" s="1" t="s">
        <v>96</v>
      </c>
      <c r="F147" s="1" t="s">
        <v>16</v>
      </c>
      <c r="G147" s="5" t="s">
        <v>105</v>
      </c>
      <c r="H147" s="5" t="s">
        <v>15</v>
      </c>
      <c r="I147" s="1" t="s">
        <v>210</v>
      </c>
      <c r="J147" s="20">
        <v>0.5</v>
      </c>
      <c r="K147" s="20">
        <v>0.5</v>
      </c>
      <c r="L147" s="5" t="s">
        <v>99</v>
      </c>
      <c r="M147" s="5" t="s">
        <v>100</v>
      </c>
      <c r="N147" s="21">
        <v>125</v>
      </c>
    </row>
    <row r="148" spans="1:14" ht="30" x14ac:dyDescent="0.25">
      <c r="A148" s="10" t="s">
        <v>208</v>
      </c>
      <c r="B148" s="12">
        <v>45233</v>
      </c>
      <c r="C148" s="12">
        <v>45236</v>
      </c>
      <c r="D148" s="10" t="s">
        <v>96</v>
      </c>
      <c r="E148" s="10" t="s">
        <v>96</v>
      </c>
      <c r="F148" s="10" t="s">
        <v>16</v>
      </c>
      <c r="G148" s="13" t="s">
        <v>129</v>
      </c>
      <c r="H148" s="13" t="s">
        <v>15</v>
      </c>
      <c r="I148" s="14" t="s">
        <v>211</v>
      </c>
      <c r="J148" s="15">
        <v>1</v>
      </c>
      <c r="K148" s="15">
        <v>1</v>
      </c>
      <c r="L148" s="13" t="s">
        <v>99</v>
      </c>
      <c r="M148" s="13" t="s">
        <v>100</v>
      </c>
      <c r="N148" s="16">
        <v>250</v>
      </c>
    </row>
    <row r="149" spans="1:14" x14ac:dyDescent="0.25">
      <c r="A149" s="1" t="s">
        <v>208</v>
      </c>
      <c r="B149" s="18">
        <v>45236</v>
      </c>
      <c r="C149" s="18">
        <v>45238</v>
      </c>
      <c r="D149" s="1" t="s">
        <v>96</v>
      </c>
      <c r="E149" s="1" t="s">
        <v>96</v>
      </c>
      <c r="F149" s="1" t="s">
        <v>16</v>
      </c>
      <c r="G149" s="5" t="s">
        <v>105</v>
      </c>
      <c r="H149" s="5" t="s">
        <v>15</v>
      </c>
      <c r="I149" s="19" t="s">
        <v>212</v>
      </c>
      <c r="J149" s="20">
        <v>1</v>
      </c>
      <c r="K149" s="20">
        <v>1</v>
      </c>
      <c r="L149" s="5" t="s">
        <v>99</v>
      </c>
      <c r="M149" s="5" t="s">
        <v>100</v>
      </c>
      <c r="N149" s="21">
        <v>250</v>
      </c>
    </row>
    <row r="150" spans="1:14" ht="19.899999999999999" customHeight="1" x14ac:dyDescent="0.25">
      <c r="A150" s="10" t="s">
        <v>208</v>
      </c>
      <c r="B150" s="12">
        <v>45236</v>
      </c>
      <c r="C150" s="12">
        <v>45238</v>
      </c>
      <c r="D150" s="10" t="s">
        <v>96</v>
      </c>
      <c r="E150" s="10" t="s">
        <v>96</v>
      </c>
      <c r="F150" s="10" t="s">
        <v>16</v>
      </c>
      <c r="G150" s="13" t="s">
        <v>105</v>
      </c>
      <c r="H150" s="13" t="s">
        <v>15</v>
      </c>
      <c r="I150" s="10" t="s">
        <v>213</v>
      </c>
      <c r="J150" s="15">
        <v>0.75</v>
      </c>
      <c r="K150" s="15">
        <v>0.75</v>
      </c>
      <c r="L150" s="13" t="s">
        <v>99</v>
      </c>
      <c r="M150" s="13" t="s">
        <v>100</v>
      </c>
      <c r="N150" s="16">
        <v>187.5</v>
      </c>
    </row>
    <row r="151" spans="1:14" ht="19.899999999999999" customHeight="1" x14ac:dyDescent="0.25">
      <c r="A151" s="1" t="s">
        <v>208</v>
      </c>
      <c r="B151" s="18">
        <v>45240</v>
      </c>
      <c r="C151" s="18">
        <v>45243</v>
      </c>
      <c r="D151" s="1" t="s">
        <v>96</v>
      </c>
      <c r="E151" s="1" t="s">
        <v>96</v>
      </c>
      <c r="F151" s="1" t="s">
        <v>16</v>
      </c>
      <c r="G151" s="5" t="s">
        <v>110</v>
      </c>
      <c r="H151" s="5" t="s">
        <v>15</v>
      </c>
      <c r="I151" s="1" t="s">
        <v>214</v>
      </c>
      <c r="J151" s="20">
        <v>0.5</v>
      </c>
      <c r="K151" s="20">
        <v>0.5</v>
      </c>
      <c r="L151" s="5" t="s">
        <v>99</v>
      </c>
      <c r="M151" s="5" t="s">
        <v>100</v>
      </c>
      <c r="N151" s="21">
        <v>125</v>
      </c>
    </row>
    <row r="152" spans="1:14" ht="30" x14ac:dyDescent="0.25">
      <c r="A152" s="10" t="s">
        <v>208</v>
      </c>
      <c r="B152" s="12">
        <v>45240</v>
      </c>
      <c r="C152" s="12">
        <v>45243</v>
      </c>
      <c r="D152" s="10" t="s">
        <v>96</v>
      </c>
      <c r="E152" s="10" t="s">
        <v>96</v>
      </c>
      <c r="F152" s="10" t="s">
        <v>16</v>
      </c>
      <c r="G152" s="13" t="s">
        <v>110</v>
      </c>
      <c r="H152" s="13" t="s">
        <v>15</v>
      </c>
      <c r="I152" s="14" t="s">
        <v>215</v>
      </c>
      <c r="J152" s="15">
        <v>0.5</v>
      </c>
      <c r="K152" s="15">
        <v>0.5</v>
      </c>
      <c r="L152" s="13" t="s">
        <v>99</v>
      </c>
      <c r="M152" s="13" t="s">
        <v>100</v>
      </c>
      <c r="N152" s="16">
        <v>125</v>
      </c>
    </row>
    <row r="153" spans="1:14" ht="45" x14ac:dyDescent="0.25">
      <c r="A153" s="1" t="s">
        <v>208</v>
      </c>
      <c r="B153" s="18">
        <v>45238</v>
      </c>
      <c r="C153" s="18">
        <v>45243</v>
      </c>
      <c r="D153" s="1" t="s">
        <v>96</v>
      </c>
      <c r="E153" s="1" t="s">
        <v>96</v>
      </c>
      <c r="F153" s="1" t="s">
        <v>16</v>
      </c>
      <c r="G153" s="5" t="s">
        <v>117</v>
      </c>
      <c r="H153" s="5" t="s">
        <v>15</v>
      </c>
      <c r="I153" s="19" t="s">
        <v>216</v>
      </c>
      <c r="J153" s="20">
        <v>0.5</v>
      </c>
      <c r="K153" s="20">
        <v>0.5</v>
      </c>
      <c r="L153" s="5" t="s">
        <v>99</v>
      </c>
      <c r="M153" s="5" t="s">
        <v>100</v>
      </c>
      <c r="N153" s="21">
        <v>125</v>
      </c>
    </row>
    <row r="154" spans="1:14" ht="19.899999999999999" customHeight="1" x14ac:dyDescent="0.25">
      <c r="A154" s="10" t="s">
        <v>208</v>
      </c>
      <c r="B154" s="12">
        <v>45243</v>
      </c>
      <c r="C154" s="12">
        <v>45244</v>
      </c>
      <c r="D154" s="10" t="s">
        <v>96</v>
      </c>
      <c r="E154" s="10" t="s">
        <v>96</v>
      </c>
      <c r="F154" s="10" t="s">
        <v>16</v>
      </c>
      <c r="G154" s="13" t="s">
        <v>97</v>
      </c>
      <c r="H154" s="13" t="s">
        <v>15</v>
      </c>
      <c r="I154" s="10" t="s">
        <v>217</v>
      </c>
      <c r="J154" s="15">
        <v>0.5</v>
      </c>
      <c r="K154" s="15">
        <v>0.5</v>
      </c>
      <c r="L154" s="13" t="s">
        <v>99</v>
      </c>
      <c r="M154" s="13" t="s">
        <v>100</v>
      </c>
      <c r="N154" s="16">
        <v>125</v>
      </c>
    </row>
    <row r="155" spans="1:14" ht="30" x14ac:dyDescent="0.25">
      <c r="A155" s="1" t="s">
        <v>208</v>
      </c>
      <c r="B155" s="18">
        <v>45239</v>
      </c>
      <c r="C155" s="18">
        <v>45244</v>
      </c>
      <c r="D155" s="1" t="s">
        <v>96</v>
      </c>
      <c r="E155" s="1" t="s">
        <v>96</v>
      </c>
      <c r="F155" s="1" t="s">
        <v>16</v>
      </c>
      <c r="G155" s="5" t="s">
        <v>136</v>
      </c>
      <c r="H155" s="5" t="s">
        <v>15</v>
      </c>
      <c r="I155" s="19" t="s">
        <v>218</v>
      </c>
      <c r="J155" s="20">
        <v>0.5</v>
      </c>
      <c r="K155" s="20">
        <v>0.5</v>
      </c>
      <c r="L155" s="5" t="s">
        <v>99</v>
      </c>
      <c r="M155" s="5" t="s">
        <v>100</v>
      </c>
      <c r="N155" s="21">
        <v>125</v>
      </c>
    </row>
    <row r="156" spans="1:14" ht="30" x14ac:dyDescent="0.25">
      <c r="A156" s="10" t="s">
        <v>208</v>
      </c>
      <c r="B156" s="12">
        <v>45237</v>
      </c>
      <c r="C156" s="12">
        <v>45244</v>
      </c>
      <c r="D156" s="10" t="s">
        <v>96</v>
      </c>
      <c r="E156" s="10" t="s">
        <v>96</v>
      </c>
      <c r="F156" s="10" t="s">
        <v>16</v>
      </c>
      <c r="G156" s="13" t="s">
        <v>133</v>
      </c>
      <c r="H156" s="13" t="s">
        <v>15</v>
      </c>
      <c r="I156" s="14" t="s">
        <v>219</v>
      </c>
      <c r="J156" s="15">
        <v>1.5</v>
      </c>
      <c r="K156" s="15">
        <v>1.5</v>
      </c>
      <c r="L156" s="13" t="s">
        <v>99</v>
      </c>
      <c r="M156" s="13" t="s">
        <v>100</v>
      </c>
      <c r="N156" s="16">
        <v>375</v>
      </c>
    </row>
    <row r="157" spans="1:14" ht="30" x14ac:dyDescent="0.25">
      <c r="A157" s="1" t="s">
        <v>208</v>
      </c>
      <c r="B157" s="18">
        <v>45238</v>
      </c>
      <c r="C157" s="18">
        <v>45244</v>
      </c>
      <c r="D157" s="1" t="s">
        <v>96</v>
      </c>
      <c r="E157" s="1" t="s">
        <v>96</v>
      </c>
      <c r="F157" s="1" t="s">
        <v>16</v>
      </c>
      <c r="G157" s="5" t="s">
        <v>105</v>
      </c>
      <c r="H157" s="5" t="s">
        <v>15</v>
      </c>
      <c r="I157" s="19" t="s">
        <v>220</v>
      </c>
      <c r="J157" s="20">
        <v>1</v>
      </c>
      <c r="K157" s="20">
        <v>1</v>
      </c>
      <c r="L157" s="5" t="s">
        <v>99</v>
      </c>
      <c r="M157" s="5" t="s">
        <v>100</v>
      </c>
      <c r="N157" s="21">
        <v>250</v>
      </c>
    </row>
    <row r="158" spans="1:14" x14ac:dyDescent="0.25">
      <c r="A158" s="10" t="s">
        <v>208</v>
      </c>
      <c r="B158" s="12">
        <v>45244</v>
      </c>
      <c r="C158" s="12">
        <v>45246</v>
      </c>
      <c r="D158" s="10" t="s">
        <v>96</v>
      </c>
      <c r="E158" s="10" t="s">
        <v>96</v>
      </c>
      <c r="F158" s="10" t="s">
        <v>16</v>
      </c>
      <c r="G158" s="13" t="s">
        <v>136</v>
      </c>
      <c r="H158" s="13" t="s">
        <v>15</v>
      </c>
      <c r="I158" s="14" t="s">
        <v>221</v>
      </c>
      <c r="J158" s="15">
        <v>0.5</v>
      </c>
      <c r="K158" s="15">
        <v>0.5</v>
      </c>
      <c r="L158" s="13" t="s">
        <v>99</v>
      </c>
      <c r="M158" s="13" t="s">
        <v>100</v>
      </c>
      <c r="N158" s="16">
        <v>125</v>
      </c>
    </row>
    <row r="159" spans="1:14" ht="30" x14ac:dyDescent="0.25">
      <c r="A159" s="1" t="s">
        <v>208</v>
      </c>
      <c r="B159" s="18">
        <v>45245</v>
      </c>
      <c r="C159" s="18">
        <v>45246</v>
      </c>
      <c r="D159" s="1" t="s">
        <v>96</v>
      </c>
      <c r="E159" s="1" t="s">
        <v>96</v>
      </c>
      <c r="F159" s="1" t="s">
        <v>16</v>
      </c>
      <c r="G159" s="5" t="s">
        <v>105</v>
      </c>
      <c r="H159" s="5" t="s">
        <v>15</v>
      </c>
      <c r="I159" s="19" t="s">
        <v>222</v>
      </c>
      <c r="J159" s="20">
        <v>0.75</v>
      </c>
      <c r="K159" s="20">
        <v>0.75</v>
      </c>
      <c r="L159" s="5" t="s">
        <v>99</v>
      </c>
      <c r="M159" s="5" t="s">
        <v>100</v>
      </c>
      <c r="N159" s="21">
        <v>187.5</v>
      </c>
    </row>
    <row r="160" spans="1:14" ht="30" x14ac:dyDescent="0.25">
      <c r="A160" s="10" t="s">
        <v>208</v>
      </c>
      <c r="B160" s="12">
        <v>45247</v>
      </c>
      <c r="C160" s="12">
        <v>45250</v>
      </c>
      <c r="D160" s="10" t="s">
        <v>96</v>
      </c>
      <c r="E160" s="10" t="s">
        <v>96</v>
      </c>
      <c r="F160" s="10" t="s">
        <v>16</v>
      </c>
      <c r="G160" s="13" t="s">
        <v>110</v>
      </c>
      <c r="H160" s="13" t="s">
        <v>15</v>
      </c>
      <c r="I160" s="14" t="s">
        <v>223</v>
      </c>
      <c r="J160" s="15">
        <v>4.25</v>
      </c>
      <c r="K160" s="15">
        <v>4.25</v>
      </c>
      <c r="L160" s="13" t="s">
        <v>99</v>
      </c>
      <c r="M160" s="13" t="s">
        <v>100</v>
      </c>
      <c r="N160" s="16">
        <v>1062.5</v>
      </c>
    </row>
    <row r="161" spans="1:14" x14ac:dyDescent="0.25">
      <c r="A161" s="1" t="s">
        <v>208</v>
      </c>
      <c r="B161" s="18">
        <v>45248</v>
      </c>
      <c r="C161" s="18">
        <v>45250</v>
      </c>
      <c r="D161" s="1" t="s">
        <v>96</v>
      </c>
      <c r="E161" s="1" t="s">
        <v>96</v>
      </c>
      <c r="F161" s="1" t="s">
        <v>16</v>
      </c>
      <c r="G161" s="5" t="s">
        <v>110</v>
      </c>
      <c r="H161" s="5" t="s">
        <v>15</v>
      </c>
      <c r="I161" s="19" t="s">
        <v>224</v>
      </c>
      <c r="J161" s="20">
        <v>1.5</v>
      </c>
      <c r="K161" s="20">
        <v>1.5</v>
      </c>
      <c r="L161" s="5" t="s">
        <v>99</v>
      </c>
      <c r="M161" s="5" t="s">
        <v>100</v>
      </c>
      <c r="N161" s="21">
        <v>375</v>
      </c>
    </row>
    <row r="162" spans="1:14" ht="19.899999999999999" customHeight="1" x14ac:dyDescent="0.25">
      <c r="A162" s="10" t="s">
        <v>208</v>
      </c>
      <c r="B162" s="12">
        <v>45247</v>
      </c>
      <c r="C162" s="12">
        <v>45250</v>
      </c>
      <c r="D162" s="10" t="s">
        <v>96</v>
      </c>
      <c r="E162" s="10" t="s">
        <v>96</v>
      </c>
      <c r="F162" s="10" t="s">
        <v>16</v>
      </c>
      <c r="G162" s="13" t="s">
        <v>105</v>
      </c>
      <c r="H162" s="13" t="s">
        <v>15</v>
      </c>
      <c r="I162" s="10" t="s">
        <v>225</v>
      </c>
      <c r="J162" s="15">
        <v>0.5</v>
      </c>
      <c r="K162" s="15">
        <v>0.5</v>
      </c>
      <c r="L162" s="13" t="s">
        <v>99</v>
      </c>
      <c r="M162" s="13" t="s">
        <v>100</v>
      </c>
      <c r="N162" s="16">
        <v>125</v>
      </c>
    </row>
    <row r="163" spans="1:14" x14ac:dyDescent="0.25">
      <c r="A163" s="1" t="s">
        <v>208</v>
      </c>
      <c r="B163" s="18">
        <v>45246</v>
      </c>
      <c r="C163" s="18">
        <v>45250</v>
      </c>
      <c r="D163" s="1" t="s">
        <v>96</v>
      </c>
      <c r="E163" s="1" t="s">
        <v>96</v>
      </c>
      <c r="F163" s="1" t="s">
        <v>16</v>
      </c>
      <c r="G163" s="5" t="s">
        <v>105</v>
      </c>
      <c r="H163" s="5" t="s">
        <v>15</v>
      </c>
      <c r="I163" s="19" t="s">
        <v>226</v>
      </c>
      <c r="J163" s="20">
        <v>0.5</v>
      </c>
      <c r="K163" s="20">
        <v>0.5</v>
      </c>
      <c r="L163" s="5" t="s">
        <v>99</v>
      </c>
      <c r="M163" s="5" t="s">
        <v>100</v>
      </c>
      <c r="N163" s="21">
        <v>125</v>
      </c>
    </row>
    <row r="164" spans="1:14" ht="30" x14ac:dyDescent="0.25">
      <c r="A164" s="10" t="s">
        <v>208</v>
      </c>
      <c r="B164" s="12">
        <v>45250</v>
      </c>
      <c r="C164" s="12">
        <v>45257</v>
      </c>
      <c r="D164" s="10" t="s">
        <v>96</v>
      </c>
      <c r="E164" s="10" t="s">
        <v>96</v>
      </c>
      <c r="F164" s="10" t="s">
        <v>16</v>
      </c>
      <c r="G164" s="13" t="s">
        <v>97</v>
      </c>
      <c r="H164" s="13" t="s">
        <v>15</v>
      </c>
      <c r="I164" s="14" t="s">
        <v>227</v>
      </c>
      <c r="J164" s="15">
        <v>1.5</v>
      </c>
      <c r="K164" s="15">
        <v>1.5</v>
      </c>
      <c r="L164" s="13" t="s">
        <v>99</v>
      </c>
      <c r="M164" s="13" t="s">
        <v>100</v>
      </c>
      <c r="N164" s="16">
        <v>375</v>
      </c>
    </row>
    <row r="165" spans="1:14" ht="19.899999999999999" customHeight="1" x14ac:dyDescent="0.25">
      <c r="A165" s="1" t="s">
        <v>208</v>
      </c>
      <c r="B165" s="18">
        <v>45258</v>
      </c>
      <c r="C165" s="18">
        <v>45260</v>
      </c>
      <c r="D165" s="1" t="s">
        <v>96</v>
      </c>
      <c r="E165" s="1" t="s">
        <v>96</v>
      </c>
      <c r="F165" s="1" t="s">
        <v>16</v>
      </c>
      <c r="G165" s="5" t="s">
        <v>105</v>
      </c>
      <c r="H165" s="5" t="s">
        <v>15</v>
      </c>
      <c r="I165" s="1" t="s">
        <v>228</v>
      </c>
      <c r="J165" s="20">
        <v>0.75</v>
      </c>
      <c r="K165" s="20">
        <v>0.75</v>
      </c>
      <c r="L165" s="5" t="s">
        <v>99</v>
      </c>
      <c r="M165" s="5" t="s">
        <v>100</v>
      </c>
      <c r="N165" s="21">
        <v>187.5</v>
      </c>
    </row>
    <row r="166" spans="1:14" ht="30" x14ac:dyDescent="0.25">
      <c r="A166" s="10" t="s">
        <v>208</v>
      </c>
      <c r="B166" s="12">
        <v>45258</v>
      </c>
      <c r="C166" s="12">
        <v>45260</v>
      </c>
      <c r="D166" s="10" t="s">
        <v>96</v>
      </c>
      <c r="E166" s="10" t="s">
        <v>96</v>
      </c>
      <c r="F166" s="10" t="s">
        <v>16</v>
      </c>
      <c r="G166" s="13" t="s">
        <v>97</v>
      </c>
      <c r="H166" s="13" t="s">
        <v>15</v>
      </c>
      <c r="I166" s="14" t="s">
        <v>229</v>
      </c>
      <c r="J166" s="15">
        <v>2</v>
      </c>
      <c r="K166" s="15">
        <v>2</v>
      </c>
      <c r="L166" s="13" t="s">
        <v>99</v>
      </c>
      <c r="M166" s="13" t="s">
        <v>100</v>
      </c>
      <c r="N166" s="16">
        <v>500</v>
      </c>
    </row>
    <row r="167" spans="1:14" ht="30" x14ac:dyDescent="0.25">
      <c r="A167" s="1" t="s">
        <v>208</v>
      </c>
      <c r="B167" s="18">
        <v>45257</v>
      </c>
      <c r="C167" s="18">
        <v>45260</v>
      </c>
      <c r="D167" s="1" t="s">
        <v>96</v>
      </c>
      <c r="E167" s="1" t="s">
        <v>96</v>
      </c>
      <c r="F167" s="1" t="s">
        <v>16</v>
      </c>
      <c r="G167" s="5" t="s">
        <v>105</v>
      </c>
      <c r="H167" s="5" t="s">
        <v>15</v>
      </c>
      <c r="I167" s="19" t="s">
        <v>230</v>
      </c>
      <c r="J167" s="20">
        <v>0.5</v>
      </c>
      <c r="K167" s="20">
        <v>0.5</v>
      </c>
      <c r="L167" s="5" t="s">
        <v>99</v>
      </c>
      <c r="M167" s="5" t="s">
        <v>100</v>
      </c>
      <c r="N167" s="21">
        <v>125</v>
      </c>
    </row>
    <row r="168" spans="1:14" ht="30" x14ac:dyDescent="0.25">
      <c r="A168" s="10" t="s">
        <v>208</v>
      </c>
      <c r="B168" s="12">
        <v>45258</v>
      </c>
      <c r="C168" s="12">
        <v>45260</v>
      </c>
      <c r="D168" s="10" t="s">
        <v>96</v>
      </c>
      <c r="E168" s="10" t="s">
        <v>96</v>
      </c>
      <c r="F168" s="10" t="s">
        <v>16</v>
      </c>
      <c r="G168" s="13" t="s">
        <v>133</v>
      </c>
      <c r="H168" s="13" t="s">
        <v>15</v>
      </c>
      <c r="I168" s="14" t="s">
        <v>231</v>
      </c>
      <c r="J168" s="15">
        <v>0.5</v>
      </c>
      <c r="K168" s="15">
        <v>0.5</v>
      </c>
      <c r="L168" s="13" t="s">
        <v>99</v>
      </c>
      <c r="M168" s="13" t="s">
        <v>100</v>
      </c>
      <c r="N168" s="16">
        <v>125</v>
      </c>
    </row>
    <row r="169" spans="1:14" ht="30" x14ac:dyDescent="0.25">
      <c r="A169" s="1" t="s">
        <v>208</v>
      </c>
      <c r="B169" s="18">
        <v>45259</v>
      </c>
      <c r="C169" s="18">
        <v>45264</v>
      </c>
      <c r="D169" s="1" t="s">
        <v>96</v>
      </c>
      <c r="E169" s="1" t="s">
        <v>96</v>
      </c>
      <c r="F169" s="1" t="s">
        <v>16</v>
      </c>
      <c r="G169" s="5" t="s">
        <v>105</v>
      </c>
      <c r="H169" s="5" t="s">
        <v>15</v>
      </c>
      <c r="I169" s="19" t="s">
        <v>232</v>
      </c>
      <c r="J169" s="20">
        <v>0.5</v>
      </c>
      <c r="K169" s="20">
        <v>0.5</v>
      </c>
      <c r="L169" s="5" t="s">
        <v>99</v>
      </c>
      <c r="M169" s="5" t="s">
        <v>100</v>
      </c>
      <c r="N169" s="21">
        <v>125</v>
      </c>
    </row>
    <row r="170" spans="1:14" x14ac:dyDescent="0.25">
      <c r="A170" s="10" t="s">
        <v>208</v>
      </c>
      <c r="B170" s="12">
        <v>45260</v>
      </c>
      <c r="C170" s="12">
        <v>45264</v>
      </c>
      <c r="D170" s="10" t="s">
        <v>96</v>
      </c>
      <c r="E170" s="10" t="s">
        <v>96</v>
      </c>
      <c r="F170" s="10" t="s">
        <v>16</v>
      </c>
      <c r="G170" s="13" t="s">
        <v>136</v>
      </c>
      <c r="H170" s="13" t="s">
        <v>15</v>
      </c>
      <c r="I170" s="14" t="s">
        <v>233</v>
      </c>
      <c r="J170" s="15">
        <v>0.5</v>
      </c>
      <c r="K170" s="15">
        <v>0.5</v>
      </c>
      <c r="L170" s="13" t="s">
        <v>99</v>
      </c>
      <c r="M170" s="13" t="s">
        <v>100</v>
      </c>
      <c r="N170" s="16">
        <v>125</v>
      </c>
    </row>
    <row r="171" spans="1:14" ht="30" x14ac:dyDescent="0.25">
      <c r="A171" s="1" t="s">
        <v>208</v>
      </c>
      <c r="B171" s="18">
        <v>45267</v>
      </c>
      <c r="C171" s="18">
        <v>45268</v>
      </c>
      <c r="D171" s="1" t="s">
        <v>96</v>
      </c>
      <c r="E171" s="1" t="s">
        <v>96</v>
      </c>
      <c r="F171" s="1" t="s">
        <v>16</v>
      </c>
      <c r="G171" s="5" t="s">
        <v>97</v>
      </c>
      <c r="H171" s="5" t="s">
        <v>15</v>
      </c>
      <c r="I171" s="19" t="s">
        <v>234</v>
      </c>
      <c r="J171" s="20">
        <v>0.75</v>
      </c>
      <c r="K171" s="20">
        <v>0.75</v>
      </c>
      <c r="L171" s="5" t="s">
        <v>99</v>
      </c>
      <c r="M171" s="5" t="s">
        <v>100</v>
      </c>
      <c r="N171" s="21">
        <v>187.5</v>
      </c>
    </row>
    <row r="172" spans="1:14" ht="30" x14ac:dyDescent="0.25">
      <c r="A172" s="10" t="s">
        <v>208</v>
      </c>
      <c r="B172" s="12">
        <v>45267</v>
      </c>
      <c r="C172" s="12">
        <v>45268</v>
      </c>
      <c r="D172" s="10" t="s">
        <v>96</v>
      </c>
      <c r="E172" s="10" t="s">
        <v>96</v>
      </c>
      <c r="F172" s="10" t="s">
        <v>16</v>
      </c>
      <c r="G172" s="13" t="s">
        <v>105</v>
      </c>
      <c r="H172" s="13" t="s">
        <v>15</v>
      </c>
      <c r="I172" s="14" t="s">
        <v>235</v>
      </c>
      <c r="J172" s="15">
        <v>2.25</v>
      </c>
      <c r="K172" s="15">
        <v>2.25</v>
      </c>
      <c r="L172" s="13" t="s">
        <v>99</v>
      </c>
      <c r="M172" s="13" t="s">
        <v>100</v>
      </c>
      <c r="N172" s="16">
        <v>562.5</v>
      </c>
    </row>
    <row r="173" spans="1:14" ht="30" x14ac:dyDescent="0.25">
      <c r="A173" s="1" t="s">
        <v>208</v>
      </c>
      <c r="B173" s="18">
        <v>45264</v>
      </c>
      <c r="C173" s="18">
        <v>45268</v>
      </c>
      <c r="D173" s="1" t="s">
        <v>96</v>
      </c>
      <c r="E173" s="1" t="s">
        <v>96</v>
      </c>
      <c r="F173" s="1" t="s">
        <v>16</v>
      </c>
      <c r="G173" s="5" t="s">
        <v>110</v>
      </c>
      <c r="H173" s="5" t="s">
        <v>15</v>
      </c>
      <c r="I173" s="19" t="s">
        <v>236</v>
      </c>
      <c r="J173" s="20">
        <v>1</v>
      </c>
      <c r="K173" s="20">
        <v>1</v>
      </c>
      <c r="L173" s="5" t="s">
        <v>99</v>
      </c>
      <c r="M173" s="5" t="s">
        <v>100</v>
      </c>
      <c r="N173" s="21">
        <v>250</v>
      </c>
    </row>
    <row r="174" spans="1:14" ht="30" x14ac:dyDescent="0.25">
      <c r="A174" s="10" t="s">
        <v>208</v>
      </c>
      <c r="B174" s="12">
        <v>45265</v>
      </c>
      <c r="C174" s="12">
        <v>45268</v>
      </c>
      <c r="D174" s="10" t="s">
        <v>96</v>
      </c>
      <c r="E174" s="10" t="s">
        <v>96</v>
      </c>
      <c r="F174" s="10" t="s">
        <v>16</v>
      </c>
      <c r="G174" s="13" t="s">
        <v>105</v>
      </c>
      <c r="H174" s="13" t="s">
        <v>15</v>
      </c>
      <c r="I174" s="14" t="s">
        <v>237</v>
      </c>
      <c r="J174" s="15">
        <v>0.75</v>
      </c>
      <c r="K174" s="15">
        <v>0.75</v>
      </c>
      <c r="L174" s="13" t="s">
        <v>99</v>
      </c>
      <c r="M174" s="13" t="s">
        <v>100</v>
      </c>
      <c r="N174" s="16">
        <v>187.5</v>
      </c>
    </row>
    <row r="175" spans="1:14" ht="45" x14ac:dyDescent="0.25">
      <c r="A175" s="1" t="s">
        <v>208</v>
      </c>
      <c r="B175" s="18">
        <v>45265</v>
      </c>
      <c r="C175" s="18">
        <v>45268</v>
      </c>
      <c r="D175" s="1" t="s">
        <v>96</v>
      </c>
      <c r="E175" s="1" t="s">
        <v>96</v>
      </c>
      <c r="F175" s="1" t="s">
        <v>16</v>
      </c>
      <c r="G175" s="5" t="s">
        <v>110</v>
      </c>
      <c r="H175" s="5" t="s">
        <v>15</v>
      </c>
      <c r="I175" s="19" t="s">
        <v>238</v>
      </c>
      <c r="J175" s="20">
        <v>1</v>
      </c>
      <c r="K175" s="20">
        <v>1</v>
      </c>
      <c r="L175" s="5" t="s">
        <v>99</v>
      </c>
      <c r="M175" s="5" t="s">
        <v>100</v>
      </c>
      <c r="N175" s="21">
        <v>250</v>
      </c>
    </row>
    <row r="176" spans="1:14" ht="19.899999999999999" customHeight="1" x14ac:dyDescent="0.25">
      <c r="A176" s="10" t="s">
        <v>208</v>
      </c>
      <c r="B176" s="12">
        <v>45268</v>
      </c>
      <c r="C176" s="12">
        <v>45271</v>
      </c>
      <c r="D176" s="10" t="s">
        <v>96</v>
      </c>
      <c r="E176" s="10" t="s">
        <v>96</v>
      </c>
      <c r="F176" s="10" t="s">
        <v>16</v>
      </c>
      <c r="G176" s="13" t="s">
        <v>110</v>
      </c>
      <c r="H176" s="13" t="s">
        <v>15</v>
      </c>
      <c r="I176" s="10" t="s">
        <v>239</v>
      </c>
      <c r="J176" s="15">
        <v>0.75</v>
      </c>
      <c r="K176" s="15">
        <v>0.75</v>
      </c>
      <c r="L176" s="13" t="s">
        <v>99</v>
      </c>
      <c r="M176" s="13" t="s">
        <v>100</v>
      </c>
      <c r="N176" s="16">
        <v>187.5</v>
      </c>
    </row>
    <row r="177" spans="1:14" ht="19.899999999999999" customHeight="1" x14ac:dyDescent="0.25">
      <c r="A177" s="1" t="s">
        <v>208</v>
      </c>
      <c r="B177" s="18">
        <v>45268</v>
      </c>
      <c r="C177" s="18">
        <v>45272</v>
      </c>
      <c r="D177" s="1" t="s">
        <v>96</v>
      </c>
      <c r="E177" s="1" t="s">
        <v>96</v>
      </c>
      <c r="F177" s="1" t="s">
        <v>16</v>
      </c>
      <c r="G177" s="5" t="s">
        <v>105</v>
      </c>
      <c r="H177" s="5" t="s">
        <v>15</v>
      </c>
      <c r="I177" s="1" t="s">
        <v>240</v>
      </c>
      <c r="J177" s="20">
        <v>0.5</v>
      </c>
      <c r="K177" s="20">
        <v>0.5</v>
      </c>
      <c r="L177" s="5" t="s">
        <v>99</v>
      </c>
      <c r="M177" s="5" t="s">
        <v>100</v>
      </c>
      <c r="N177" s="21">
        <v>125</v>
      </c>
    </row>
    <row r="178" spans="1:14" ht="45" x14ac:dyDescent="0.25">
      <c r="A178" s="10" t="s">
        <v>208</v>
      </c>
      <c r="B178" s="12">
        <v>45273</v>
      </c>
      <c r="C178" s="12">
        <v>45274</v>
      </c>
      <c r="D178" s="10" t="s">
        <v>96</v>
      </c>
      <c r="E178" s="10" t="s">
        <v>96</v>
      </c>
      <c r="F178" s="10" t="s">
        <v>16</v>
      </c>
      <c r="G178" s="13" t="s">
        <v>97</v>
      </c>
      <c r="H178" s="13" t="s">
        <v>15</v>
      </c>
      <c r="I178" s="14" t="s">
        <v>241</v>
      </c>
      <c r="J178" s="15">
        <v>2</v>
      </c>
      <c r="K178" s="15">
        <v>2</v>
      </c>
      <c r="L178" s="13" t="s">
        <v>99</v>
      </c>
      <c r="M178" s="13" t="s">
        <v>100</v>
      </c>
      <c r="N178" s="16">
        <v>500</v>
      </c>
    </row>
    <row r="179" spans="1:14" x14ac:dyDescent="0.25">
      <c r="A179" s="1" t="s">
        <v>208</v>
      </c>
      <c r="B179" s="18">
        <v>45273</v>
      </c>
      <c r="C179" s="18">
        <v>45274</v>
      </c>
      <c r="D179" s="1" t="s">
        <v>187</v>
      </c>
      <c r="E179" s="1" t="s">
        <v>104</v>
      </c>
      <c r="F179" s="1" t="s">
        <v>16</v>
      </c>
      <c r="G179" s="5" t="s">
        <v>117</v>
      </c>
      <c r="H179" s="5" t="s">
        <v>15</v>
      </c>
      <c r="I179" s="19" t="s">
        <v>242</v>
      </c>
      <c r="J179" s="20">
        <v>1.5</v>
      </c>
      <c r="K179" s="20">
        <v>1.5</v>
      </c>
      <c r="L179" s="5" t="s">
        <v>99</v>
      </c>
      <c r="M179" s="5" t="s">
        <v>100</v>
      </c>
      <c r="N179" s="21">
        <v>375</v>
      </c>
    </row>
    <row r="180" spans="1:14" ht="30" x14ac:dyDescent="0.25">
      <c r="A180" s="10" t="s">
        <v>208</v>
      </c>
      <c r="B180" s="12">
        <v>45272</v>
      </c>
      <c r="C180" s="12">
        <v>45274</v>
      </c>
      <c r="D180" s="10" t="s">
        <v>96</v>
      </c>
      <c r="E180" s="10" t="s">
        <v>96</v>
      </c>
      <c r="F180" s="10" t="s">
        <v>16</v>
      </c>
      <c r="G180" s="13" t="s">
        <v>117</v>
      </c>
      <c r="H180" s="13" t="s">
        <v>15</v>
      </c>
      <c r="I180" s="14" t="s">
        <v>243</v>
      </c>
      <c r="J180" s="15">
        <v>1.25</v>
      </c>
      <c r="K180" s="15">
        <v>1.25</v>
      </c>
      <c r="L180" s="13" t="s">
        <v>99</v>
      </c>
      <c r="M180" s="13" t="s">
        <v>100</v>
      </c>
      <c r="N180" s="16">
        <v>312.5</v>
      </c>
    </row>
    <row r="181" spans="1:14" ht="30" x14ac:dyDescent="0.25">
      <c r="A181" s="1" t="s">
        <v>208</v>
      </c>
      <c r="B181" s="18">
        <v>45275</v>
      </c>
      <c r="C181" s="18">
        <v>45279</v>
      </c>
      <c r="D181" s="1" t="s">
        <v>96</v>
      </c>
      <c r="E181" s="1" t="s">
        <v>96</v>
      </c>
      <c r="F181" s="1" t="s">
        <v>16</v>
      </c>
      <c r="G181" s="5" t="s">
        <v>97</v>
      </c>
      <c r="H181" s="5" t="s">
        <v>15</v>
      </c>
      <c r="I181" s="19" t="s">
        <v>244</v>
      </c>
      <c r="J181" s="20">
        <v>2</v>
      </c>
      <c r="K181" s="20">
        <v>2</v>
      </c>
      <c r="L181" s="5" t="s">
        <v>99</v>
      </c>
      <c r="M181" s="5" t="s">
        <v>100</v>
      </c>
      <c r="N181" s="21">
        <v>500</v>
      </c>
    </row>
    <row r="182" spans="1:14" ht="60" x14ac:dyDescent="0.25">
      <c r="A182" s="10" t="s">
        <v>208</v>
      </c>
      <c r="B182" s="12">
        <v>45274</v>
      </c>
      <c r="C182" s="12">
        <v>45279</v>
      </c>
      <c r="D182" s="10" t="s">
        <v>96</v>
      </c>
      <c r="E182" s="10" t="s">
        <v>96</v>
      </c>
      <c r="F182" s="10" t="s">
        <v>16</v>
      </c>
      <c r="G182" s="13" t="s">
        <v>105</v>
      </c>
      <c r="H182" s="13" t="s">
        <v>15</v>
      </c>
      <c r="I182" s="14" t="s">
        <v>245</v>
      </c>
      <c r="J182" s="15">
        <v>2</v>
      </c>
      <c r="K182" s="15">
        <v>2</v>
      </c>
      <c r="L182" s="13" t="s">
        <v>99</v>
      </c>
      <c r="M182" s="13" t="s">
        <v>100</v>
      </c>
      <c r="N182" s="16">
        <v>500</v>
      </c>
    </row>
    <row r="183" spans="1:14" ht="19.899999999999999" customHeight="1" x14ac:dyDescent="0.25">
      <c r="A183" s="1" t="s">
        <v>208</v>
      </c>
      <c r="B183" s="18">
        <v>45272</v>
      </c>
      <c r="C183" s="18">
        <v>45279</v>
      </c>
      <c r="D183" s="1" t="s">
        <v>96</v>
      </c>
      <c r="E183" s="1" t="s">
        <v>96</v>
      </c>
      <c r="F183" s="1" t="s">
        <v>16</v>
      </c>
      <c r="G183" s="5" t="s">
        <v>105</v>
      </c>
      <c r="H183" s="5" t="s">
        <v>15</v>
      </c>
      <c r="I183" s="1" t="s">
        <v>246</v>
      </c>
      <c r="J183" s="20">
        <v>2</v>
      </c>
      <c r="K183" s="20">
        <v>2</v>
      </c>
      <c r="L183" s="5" t="s">
        <v>99</v>
      </c>
      <c r="M183" s="5" t="s">
        <v>100</v>
      </c>
      <c r="N183" s="21">
        <v>500</v>
      </c>
    </row>
    <row r="184" spans="1:14" ht="19.899999999999999" customHeight="1" x14ac:dyDescent="0.25">
      <c r="A184" s="10" t="s">
        <v>208</v>
      </c>
      <c r="B184" s="12">
        <v>45287</v>
      </c>
      <c r="C184" s="12">
        <v>45287</v>
      </c>
      <c r="D184" s="10" t="s">
        <v>187</v>
      </c>
      <c r="E184" s="10" t="s">
        <v>104</v>
      </c>
      <c r="F184" s="10" t="s">
        <v>16</v>
      </c>
      <c r="G184" s="13" t="s">
        <v>129</v>
      </c>
      <c r="H184" s="13" t="s">
        <v>15</v>
      </c>
      <c r="I184" s="10" t="s">
        <v>247</v>
      </c>
      <c r="J184" s="15">
        <v>3</v>
      </c>
      <c r="K184" s="15">
        <v>3</v>
      </c>
      <c r="L184" s="13" t="s">
        <v>99</v>
      </c>
      <c r="M184" s="13" t="s">
        <v>100</v>
      </c>
      <c r="N184" s="16">
        <v>750</v>
      </c>
    </row>
    <row r="185" spans="1:14" ht="19.899999999999999" customHeight="1" x14ac:dyDescent="0.25">
      <c r="A185" s="1" t="s">
        <v>208</v>
      </c>
      <c r="B185" s="18">
        <v>45279</v>
      </c>
      <c r="C185" s="18">
        <v>45295</v>
      </c>
      <c r="D185" s="1" t="s">
        <v>96</v>
      </c>
      <c r="E185" s="1" t="s">
        <v>96</v>
      </c>
      <c r="F185" s="1" t="s">
        <v>16</v>
      </c>
      <c r="G185" s="5" t="s">
        <v>105</v>
      </c>
      <c r="H185" s="5" t="s">
        <v>15</v>
      </c>
      <c r="I185" s="1" t="s">
        <v>248</v>
      </c>
      <c r="J185" s="20">
        <v>0.5</v>
      </c>
      <c r="K185" s="20">
        <v>0.5</v>
      </c>
      <c r="L185" s="5" t="s">
        <v>99</v>
      </c>
      <c r="M185" s="5" t="s">
        <v>100</v>
      </c>
      <c r="N185" s="21">
        <v>125</v>
      </c>
    </row>
    <row r="186" spans="1:14" ht="46.7" customHeight="1" x14ac:dyDescent="0.25">
      <c r="A186" s="22" t="s">
        <v>249</v>
      </c>
      <c r="B186" s="3" t="s">
        <v>54</v>
      </c>
      <c r="C186" s="3" t="s">
        <v>54</v>
      </c>
      <c r="D186" s="3" t="s">
        <v>54</v>
      </c>
      <c r="E186" s="3" t="s">
        <v>54</v>
      </c>
      <c r="F186" s="3" t="s">
        <v>54</v>
      </c>
      <c r="G186" s="3" t="s">
        <v>54</v>
      </c>
      <c r="H186" s="3" t="s">
        <v>54</v>
      </c>
      <c r="I186" s="23">
        <v>44.5</v>
      </c>
      <c r="J186" s="23">
        <v>44.5</v>
      </c>
      <c r="K186" s="6" t="s">
        <v>54</v>
      </c>
      <c r="L186" s="2" t="s">
        <v>54</v>
      </c>
      <c r="M186" s="24">
        <v>11125</v>
      </c>
    </row>
    <row r="187" spans="1:14" x14ac:dyDescent="0.25">
      <c r="A187" s="10" t="s">
        <v>250</v>
      </c>
      <c r="B187" s="12">
        <v>45268</v>
      </c>
      <c r="C187" s="12">
        <v>45268</v>
      </c>
      <c r="D187" s="10" t="s">
        <v>96</v>
      </c>
      <c r="E187" s="10" t="s">
        <v>96</v>
      </c>
      <c r="F187" s="10" t="s">
        <v>16</v>
      </c>
      <c r="G187" s="13" t="s">
        <v>129</v>
      </c>
      <c r="H187" s="13" t="s">
        <v>15</v>
      </c>
      <c r="I187" s="14" t="s">
        <v>251</v>
      </c>
      <c r="J187" s="15">
        <v>1</v>
      </c>
      <c r="K187" s="15">
        <v>1</v>
      </c>
      <c r="L187" s="13" t="s">
        <v>99</v>
      </c>
      <c r="M187" s="13" t="s">
        <v>100</v>
      </c>
      <c r="N187" s="16">
        <v>250</v>
      </c>
    </row>
    <row r="188" spans="1:14" ht="30" x14ac:dyDescent="0.25">
      <c r="A188" s="1" t="s">
        <v>250</v>
      </c>
      <c r="B188" s="18">
        <v>45272</v>
      </c>
      <c r="C188" s="18">
        <v>45274</v>
      </c>
      <c r="D188" s="1" t="s">
        <v>96</v>
      </c>
      <c r="E188" s="1" t="s">
        <v>96</v>
      </c>
      <c r="F188" s="1" t="s">
        <v>16</v>
      </c>
      <c r="G188" s="5" t="s">
        <v>117</v>
      </c>
      <c r="H188" s="5" t="s">
        <v>15</v>
      </c>
      <c r="I188" s="19" t="s">
        <v>252</v>
      </c>
      <c r="J188" s="20">
        <v>1.5</v>
      </c>
      <c r="K188" s="20">
        <v>1.5</v>
      </c>
      <c r="L188" s="5" t="s">
        <v>99</v>
      </c>
      <c r="M188" s="5" t="s">
        <v>100</v>
      </c>
      <c r="N188" s="21">
        <v>375</v>
      </c>
    </row>
    <row r="189" spans="1:14" ht="30" x14ac:dyDescent="0.25">
      <c r="A189" s="10" t="s">
        <v>250</v>
      </c>
      <c r="B189" s="12">
        <v>45268</v>
      </c>
      <c r="C189" s="12">
        <v>45275</v>
      </c>
      <c r="D189" s="10" t="s">
        <v>96</v>
      </c>
      <c r="E189" s="10" t="s">
        <v>96</v>
      </c>
      <c r="F189" s="10" t="s">
        <v>16</v>
      </c>
      <c r="G189" s="13" t="s">
        <v>117</v>
      </c>
      <c r="H189" s="13" t="s">
        <v>15</v>
      </c>
      <c r="I189" s="14" t="s">
        <v>253</v>
      </c>
      <c r="J189" s="15">
        <v>0.75</v>
      </c>
      <c r="K189" s="15">
        <v>0.75</v>
      </c>
      <c r="L189" s="13" t="s">
        <v>99</v>
      </c>
      <c r="M189" s="13" t="s">
        <v>100</v>
      </c>
      <c r="N189" s="16">
        <v>187.5</v>
      </c>
    </row>
    <row r="190" spans="1:14" ht="45" x14ac:dyDescent="0.25">
      <c r="A190" s="1" t="s">
        <v>250</v>
      </c>
      <c r="B190" s="18">
        <v>45274</v>
      </c>
      <c r="C190" s="18">
        <v>45279</v>
      </c>
      <c r="D190" s="1" t="s">
        <v>96</v>
      </c>
      <c r="E190" s="1" t="s">
        <v>96</v>
      </c>
      <c r="F190" s="1" t="s">
        <v>16</v>
      </c>
      <c r="G190" s="5" t="s">
        <v>97</v>
      </c>
      <c r="H190" s="5" t="s">
        <v>15</v>
      </c>
      <c r="I190" s="19" t="s">
        <v>254</v>
      </c>
      <c r="J190" s="20">
        <v>1.5</v>
      </c>
      <c r="K190" s="20">
        <v>1.5</v>
      </c>
      <c r="L190" s="5" t="s">
        <v>99</v>
      </c>
      <c r="M190" s="5" t="s">
        <v>100</v>
      </c>
      <c r="N190" s="21">
        <v>375</v>
      </c>
    </row>
    <row r="191" spans="1:14" ht="46.7" customHeight="1" x14ac:dyDescent="0.25">
      <c r="A191" s="22" t="s">
        <v>255</v>
      </c>
      <c r="B191" s="3" t="s">
        <v>54</v>
      </c>
      <c r="C191" s="3" t="s">
        <v>54</v>
      </c>
      <c r="D191" s="3" t="s">
        <v>54</v>
      </c>
      <c r="E191" s="3" t="s">
        <v>54</v>
      </c>
      <c r="F191" s="3" t="s">
        <v>54</v>
      </c>
      <c r="G191" s="3" t="s">
        <v>54</v>
      </c>
      <c r="H191" s="3" t="s">
        <v>54</v>
      </c>
      <c r="I191" s="23">
        <v>4.75</v>
      </c>
      <c r="J191" s="23">
        <v>4.75</v>
      </c>
      <c r="K191" s="6" t="s">
        <v>54</v>
      </c>
      <c r="L191" s="2" t="s">
        <v>54</v>
      </c>
      <c r="M191" s="24">
        <v>1187.5</v>
      </c>
    </row>
    <row r="192" spans="1:14" ht="30" x14ac:dyDescent="0.25">
      <c r="A192" s="10" t="s">
        <v>256</v>
      </c>
      <c r="B192" s="12">
        <v>45237</v>
      </c>
      <c r="C192" s="12">
        <v>45238</v>
      </c>
      <c r="D192" s="10" t="s">
        <v>96</v>
      </c>
      <c r="E192" s="10" t="s">
        <v>96</v>
      </c>
      <c r="F192" s="10" t="s">
        <v>16</v>
      </c>
      <c r="G192" s="13" t="s">
        <v>97</v>
      </c>
      <c r="H192" s="13" t="s">
        <v>15</v>
      </c>
      <c r="I192" s="14" t="s">
        <v>257</v>
      </c>
      <c r="J192" s="15">
        <v>2</v>
      </c>
      <c r="K192" s="15">
        <v>2</v>
      </c>
      <c r="L192" s="13" t="s">
        <v>99</v>
      </c>
      <c r="M192" s="13" t="s">
        <v>100</v>
      </c>
      <c r="N192" s="16">
        <v>500</v>
      </c>
    </row>
    <row r="193" spans="1:14" ht="73.5" customHeight="1" x14ac:dyDescent="0.25">
      <c r="A193" s="22" t="s">
        <v>258</v>
      </c>
      <c r="B193" s="3" t="s">
        <v>54</v>
      </c>
      <c r="C193" s="3" t="s">
        <v>54</v>
      </c>
      <c r="D193" s="3" t="s">
        <v>54</v>
      </c>
      <c r="E193" s="3" t="s">
        <v>54</v>
      </c>
      <c r="F193" s="3" t="s">
        <v>54</v>
      </c>
      <c r="G193" s="3" t="s">
        <v>54</v>
      </c>
      <c r="H193" s="3" t="s">
        <v>54</v>
      </c>
      <c r="I193" s="23">
        <v>2</v>
      </c>
      <c r="J193" s="23">
        <v>2</v>
      </c>
      <c r="K193" s="6" t="s">
        <v>54</v>
      </c>
      <c r="L193" s="2" t="s">
        <v>54</v>
      </c>
      <c r="M193" s="24">
        <v>500</v>
      </c>
    </row>
    <row r="194" spans="1:14" ht="30" x14ac:dyDescent="0.25">
      <c r="A194" s="10" t="s">
        <v>259</v>
      </c>
      <c r="B194" s="12">
        <v>45237</v>
      </c>
      <c r="C194" s="12">
        <v>45243</v>
      </c>
      <c r="D194" s="25">
        <v>1040</v>
      </c>
      <c r="E194" s="10" t="s">
        <v>104</v>
      </c>
      <c r="F194" s="10" t="s">
        <v>16</v>
      </c>
      <c r="G194" s="13" t="s">
        <v>133</v>
      </c>
      <c r="H194" s="13" t="s">
        <v>15</v>
      </c>
      <c r="I194" s="14" t="s">
        <v>260</v>
      </c>
      <c r="J194" s="15">
        <v>0.5</v>
      </c>
      <c r="K194" s="15">
        <v>0.5</v>
      </c>
      <c r="L194" s="13" t="s">
        <v>99</v>
      </c>
      <c r="M194" s="13" t="s">
        <v>100</v>
      </c>
      <c r="N194" s="16">
        <v>125</v>
      </c>
    </row>
    <row r="195" spans="1:14" ht="30" x14ac:dyDescent="0.25">
      <c r="A195" s="1" t="s">
        <v>259</v>
      </c>
      <c r="B195" s="18">
        <v>45266</v>
      </c>
      <c r="C195" s="18">
        <v>45268</v>
      </c>
      <c r="D195" s="26">
        <v>1040</v>
      </c>
      <c r="E195" s="1" t="s">
        <v>104</v>
      </c>
      <c r="F195" s="1" t="s">
        <v>16</v>
      </c>
      <c r="G195" s="5" t="s">
        <v>136</v>
      </c>
      <c r="H195" s="5" t="s">
        <v>15</v>
      </c>
      <c r="I195" s="19" t="s">
        <v>261</v>
      </c>
      <c r="J195" s="20">
        <v>0.5</v>
      </c>
      <c r="K195" s="20">
        <v>0.5</v>
      </c>
      <c r="L195" s="5" t="s">
        <v>99</v>
      </c>
      <c r="M195" s="5" t="s">
        <v>100</v>
      </c>
      <c r="N195" s="21">
        <v>125</v>
      </c>
    </row>
    <row r="196" spans="1:14" ht="30" x14ac:dyDescent="0.25">
      <c r="A196" s="10" t="s">
        <v>259</v>
      </c>
      <c r="B196" s="12">
        <v>45278</v>
      </c>
      <c r="C196" s="12">
        <v>45287</v>
      </c>
      <c r="D196" s="25">
        <v>1040</v>
      </c>
      <c r="E196" s="10" t="s">
        <v>104</v>
      </c>
      <c r="F196" s="10" t="s">
        <v>16</v>
      </c>
      <c r="G196" s="13" t="s">
        <v>133</v>
      </c>
      <c r="H196" s="13" t="s">
        <v>15</v>
      </c>
      <c r="I196" s="14" t="s">
        <v>262</v>
      </c>
      <c r="J196" s="15">
        <v>0.5</v>
      </c>
      <c r="K196" s="15">
        <v>0.5</v>
      </c>
      <c r="L196" s="13" t="s">
        <v>99</v>
      </c>
      <c r="M196" s="13" t="s">
        <v>100</v>
      </c>
      <c r="N196" s="16">
        <v>125</v>
      </c>
    </row>
    <row r="197" spans="1:14" ht="60" customHeight="1" x14ac:dyDescent="0.25">
      <c r="A197" s="22" t="s">
        <v>263</v>
      </c>
      <c r="B197" s="3" t="s">
        <v>54</v>
      </c>
      <c r="C197" s="3" t="s">
        <v>54</v>
      </c>
      <c r="D197" s="3" t="s">
        <v>54</v>
      </c>
      <c r="E197" s="3" t="s">
        <v>54</v>
      </c>
      <c r="F197" s="3" t="s">
        <v>54</v>
      </c>
      <c r="G197" s="3" t="s">
        <v>54</v>
      </c>
      <c r="H197" s="3" t="s">
        <v>54</v>
      </c>
      <c r="I197" s="23">
        <v>1.5</v>
      </c>
      <c r="J197" s="23">
        <v>1.5</v>
      </c>
      <c r="K197" s="6" t="s">
        <v>54</v>
      </c>
      <c r="L197" s="2" t="s">
        <v>54</v>
      </c>
      <c r="M197" s="24">
        <v>375</v>
      </c>
    </row>
    <row r="198" spans="1:14" ht="19.899999999999999" customHeight="1" x14ac:dyDescent="0.25">
      <c r="A198" s="10" t="s">
        <v>264</v>
      </c>
      <c r="B198" s="12">
        <v>45243</v>
      </c>
      <c r="C198" s="12">
        <v>45244</v>
      </c>
      <c r="D198" s="10" t="s">
        <v>96</v>
      </c>
      <c r="E198" s="10" t="s">
        <v>96</v>
      </c>
      <c r="F198" s="10" t="s">
        <v>16</v>
      </c>
      <c r="G198" s="13" t="s">
        <v>143</v>
      </c>
      <c r="H198" s="13" t="s">
        <v>15</v>
      </c>
      <c r="I198" s="10" t="s">
        <v>265</v>
      </c>
      <c r="J198" s="15">
        <v>0.25</v>
      </c>
      <c r="K198" s="15">
        <v>0.25</v>
      </c>
      <c r="L198" s="13" t="s">
        <v>99</v>
      </c>
      <c r="M198" s="13" t="s">
        <v>100</v>
      </c>
      <c r="N198" s="16">
        <v>62.5</v>
      </c>
    </row>
    <row r="199" spans="1:14" ht="30" x14ac:dyDescent="0.25">
      <c r="A199" s="1" t="s">
        <v>264</v>
      </c>
      <c r="B199" s="18">
        <v>45265</v>
      </c>
      <c r="C199" s="18">
        <v>45268</v>
      </c>
      <c r="D199" s="1" t="s">
        <v>96</v>
      </c>
      <c r="E199" s="1" t="s">
        <v>96</v>
      </c>
      <c r="F199" s="1" t="s">
        <v>16</v>
      </c>
      <c r="G199" s="5" t="s">
        <v>133</v>
      </c>
      <c r="H199" s="5" t="s">
        <v>15</v>
      </c>
      <c r="I199" s="19" t="s">
        <v>266</v>
      </c>
      <c r="J199" s="20">
        <v>0.75</v>
      </c>
      <c r="K199" s="20">
        <v>0.75</v>
      </c>
      <c r="L199" s="5" t="s">
        <v>99</v>
      </c>
      <c r="M199" s="5" t="s">
        <v>100</v>
      </c>
      <c r="N199" s="21">
        <v>187.5</v>
      </c>
    </row>
    <row r="200" spans="1:14" ht="60" customHeight="1" x14ac:dyDescent="0.25">
      <c r="A200" s="22" t="s">
        <v>267</v>
      </c>
      <c r="B200" s="3" t="s">
        <v>54</v>
      </c>
      <c r="C200" s="3" t="s">
        <v>54</v>
      </c>
      <c r="D200" s="3" t="s">
        <v>54</v>
      </c>
      <c r="E200" s="3" t="s">
        <v>54</v>
      </c>
      <c r="F200" s="3" t="s">
        <v>54</v>
      </c>
      <c r="G200" s="3" t="s">
        <v>54</v>
      </c>
      <c r="H200" s="3" t="s">
        <v>54</v>
      </c>
      <c r="I200" s="23">
        <v>1</v>
      </c>
      <c r="J200" s="23">
        <v>1</v>
      </c>
      <c r="K200" s="6" t="s">
        <v>54</v>
      </c>
      <c r="L200" s="2" t="s">
        <v>54</v>
      </c>
      <c r="M200" s="24">
        <v>250</v>
      </c>
    </row>
    <row r="201" spans="1:14" ht="30" x14ac:dyDescent="0.25">
      <c r="A201" s="10" t="s">
        <v>268</v>
      </c>
      <c r="B201" s="12">
        <v>45243</v>
      </c>
      <c r="C201" s="12">
        <v>45244</v>
      </c>
      <c r="D201" s="10" t="s">
        <v>96</v>
      </c>
      <c r="E201" s="10" t="s">
        <v>96</v>
      </c>
      <c r="F201" s="10" t="s">
        <v>16</v>
      </c>
      <c r="G201" s="13" t="s">
        <v>129</v>
      </c>
      <c r="H201" s="13" t="s">
        <v>15</v>
      </c>
      <c r="I201" s="14" t="s">
        <v>269</v>
      </c>
      <c r="J201" s="15">
        <v>1.25</v>
      </c>
      <c r="K201" s="15">
        <v>1.25</v>
      </c>
      <c r="L201" s="13" t="s">
        <v>99</v>
      </c>
      <c r="M201" s="13" t="s">
        <v>100</v>
      </c>
      <c r="N201" s="16">
        <v>312.5</v>
      </c>
    </row>
    <row r="202" spans="1:14" ht="19.899999999999999" customHeight="1" x14ac:dyDescent="0.25">
      <c r="A202" s="1" t="s">
        <v>268</v>
      </c>
      <c r="B202" s="18">
        <v>45250</v>
      </c>
      <c r="C202" s="18">
        <v>45257</v>
      </c>
      <c r="D202" s="1" t="s">
        <v>96</v>
      </c>
      <c r="E202" s="1" t="s">
        <v>96</v>
      </c>
      <c r="F202" s="1" t="s">
        <v>16</v>
      </c>
      <c r="G202" s="5" t="s">
        <v>129</v>
      </c>
      <c r="H202" s="5" t="s">
        <v>15</v>
      </c>
      <c r="I202" s="1" t="s">
        <v>270</v>
      </c>
      <c r="J202" s="20">
        <v>0.5</v>
      </c>
      <c r="K202" s="20">
        <v>0.5</v>
      </c>
      <c r="L202" s="5" t="s">
        <v>99</v>
      </c>
      <c r="M202" s="5" t="s">
        <v>100</v>
      </c>
      <c r="N202" s="21">
        <v>125</v>
      </c>
    </row>
    <row r="203" spans="1:14" ht="33.200000000000003" customHeight="1" x14ac:dyDescent="0.25">
      <c r="A203" s="22" t="s">
        <v>271</v>
      </c>
      <c r="B203" s="3" t="s">
        <v>54</v>
      </c>
      <c r="C203" s="3" t="s">
        <v>54</v>
      </c>
      <c r="D203" s="3" t="s">
        <v>54</v>
      </c>
      <c r="E203" s="3" t="s">
        <v>54</v>
      </c>
      <c r="F203" s="3" t="s">
        <v>54</v>
      </c>
      <c r="G203" s="3" t="s">
        <v>54</v>
      </c>
      <c r="H203" s="3" t="s">
        <v>54</v>
      </c>
      <c r="I203" s="23">
        <v>1.75</v>
      </c>
      <c r="J203" s="23">
        <v>1.75</v>
      </c>
      <c r="K203" s="6" t="s">
        <v>54</v>
      </c>
      <c r="L203" s="2" t="s">
        <v>54</v>
      </c>
      <c r="M203" s="24">
        <v>437.5</v>
      </c>
    </row>
    <row r="204" spans="1:14" ht="30" x14ac:dyDescent="0.25">
      <c r="A204" s="10" t="s">
        <v>272</v>
      </c>
      <c r="B204" s="12">
        <v>45258</v>
      </c>
      <c r="C204" s="12">
        <v>45260</v>
      </c>
      <c r="D204" s="25">
        <v>1040</v>
      </c>
      <c r="E204" s="10" t="s">
        <v>104</v>
      </c>
      <c r="F204" s="10" t="s">
        <v>16</v>
      </c>
      <c r="G204" s="13" t="s">
        <v>133</v>
      </c>
      <c r="H204" s="13" t="s">
        <v>15</v>
      </c>
      <c r="I204" s="14" t="s">
        <v>273</v>
      </c>
      <c r="J204" s="15">
        <v>0.5</v>
      </c>
      <c r="K204" s="15">
        <v>0.5</v>
      </c>
      <c r="L204" s="13" t="s">
        <v>99</v>
      </c>
      <c r="M204" s="13" t="s">
        <v>100</v>
      </c>
      <c r="N204" s="16">
        <v>125</v>
      </c>
    </row>
    <row r="205" spans="1:14" ht="60" customHeight="1" x14ac:dyDescent="0.25">
      <c r="A205" s="22" t="s">
        <v>274</v>
      </c>
      <c r="B205" s="3" t="s">
        <v>54</v>
      </c>
      <c r="C205" s="3" t="s">
        <v>54</v>
      </c>
      <c r="D205" s="3" t="s">
        <v>54</v>
      </c>
      <c r="E205" s="3" t="s">
        <v>54</v>
      </c>
      <c r="F205" s="3" t="s">
        <v>54</v>
      </c>
      <c r="G205" s="3" t="s">
        <v>54</v>
      </c>
      <c r="H205" s="3" t="s">
        <v>54</v>
      </c>
      <c r="I205" s="23">
        <v>0.5</v>
      </c>
      <c r="J205" s="23">
        <v>0.5</v>
      </c>
      <c r="K205" s="6" t="s">
        <v>54</v>
      </c>
      <c r="L205" s="2" t="s">
        <v>54</v>
      </c>
      <c r="M205" s="24">
        <v>125</v>
      </c>
    </row>
    <row r="206" spans="1:14" ht="30" x14ac:dyDescent="0.25">
      <c r="A206" s="10" t="s">
        <v>275</v>
      </c>
      <c r="B206" s="12">
        <v>45246</v>
      </c>
      <c r="C206" s="12">
        <v>45250</v>
      </c>
      <c r="D206" s="10" t="s">
        <v>96</v>
      </c>
      <c r="E206" s="10" t="s">
        <v>96</v>
      </c>
      <c r="F206" s="10" t="s">
        <v>16</v>
      </c>
      <c r="G206" s="13" t="s">
        <v>97</v>
      </c>
      <c r="H206" s="13" t="s">
        <v>15</v>
      </c>
      <c r="I206" s="14" t="s">
        <v>276</v>
      </c>
      <c r="J206" s="15">
        <v>0.75</v>
      </c>
      <c r="K206" s="15">
        <v>0.75</v>
      </c>
      <c r="L206" s="13" t="s">
        <v>99</v>
      </c>
      <c r="M206" s="13" t="s">
        <v>100</v>
      </c>
      <c r="N206" s="16">
        <v>0</v>
      </c>
    </row>
    <row r="207" spans="1:14" ht="60" customHeight="1" x14ac:dyDescent="0.25">
      <c r="A207" s="22" t="s">
        <v>277</v>
      </c>
      <c r="B207" s="3" t="s">
        <v>54</v>
      </c>
      <c r="C207" s="3" t="s">
        <v>54</v>
      </c>
      <c r="D207" s="3" t="s">
        <v>54</v>
      </c>
      <c r="E207" s="3" t="s">
        <v>54</v>
      </c>
      <c r="F207" s="3" t="s">
        <v>54</v>
      </c>
      <c r="G207" s="3" t="s">
        <v>54</v>
      </c>
      <c r="H207" s="3" t="s">
        <v>54</v>
      </c>
      <c r="I207" s="23">
        <v>0.75</v>
      </c>
      <c r="J207" s="23">
        <v>0.75</v>
      </c>
      <c r="K207" s="6" t="s">
        <v>54</v>
      </c>
      <c r="L207" s="2" t="s">
        <v>54</v>
      </c>
      <c r="M207" s="24">
        <v>0</v>
      </c>
    </row>
    <row r="208" spans="1:14" ht="19.899999999999999" customHeight="1" x14ac:dyDescent="0.25">
      <c r="A208" s="10" t="s">
        <v>278</v>
      </c>
      <c r="B208" s="12">
        <v>45264</v>
      </c>
      <c r="C208" s="12">
        <v>45268</v>
      </c>
      <c r="D208" s="10" t="s">
        <v>96</v>
      </c>
      <c r="E208" s="10" t="s">
        <v>96</v>
      </c>
      <c r="F208" s="10" t="s">
        <v>16</v>
      </c>
      <c r="G208" s="13" t="s">
        <v>110</v>
      </c>
      <c r="H208" s="13" t="s">
        <v>15</v>
      </c>
      <c r="I208" s="10" t="s">
        <v>279</v>
      </c>
      <c r="J208" s="15">
        <v>0.5</v>
      </c>
      <c r="K208" s="15">
        <v>0.5</v>
      </c>
      <c r="L208" s="13" t="s">
        <v>99</v>
      </c>
      <c r="M208" s="13" t="s">
        <v>100</v>
      </c>
      <c r="N208" s="16">
        <v>93.28</v>
      </c>
    </row>
    <row r="209" spans="1:14" ht="86.85" customHeight="1" x14ac:dyDescent="0.25">
      <c r="A209" s="22" t="s">
        <v>280</v>
      </c>
      <c r="B209" s="3" t="s">
        <v>54</v>
      </c>
      <c r="C209" s="3" t="s">
        <v>54</v>
      </c>
      <c r="D209" s="3" t="s">
        <v>54</v>
      </c>
      <c r="E209" s="3" t="s">
        <v>54</v>
      </c>
      <c r="F209" s="3" t="s">
        <v>54</v>
      </c>
      <c r="G209" s="3" t="s">
        <v>54</v>
      </c>
      <c r="H209" s="3" t="s">
        <v>54</v>
      </c>
      <c r="I209" s="23">
        <v>0.5</v>
      </c>
      <c r="J209" s="23">
        <v>0.5</v>
      </c>
      <c r="K209" s="6" t="s">
        <v>54</v>
      </c>
      <c r="L209" s="2" t="s">
        <v>54</v>
      </c>
      <c r="M209" s="24">
        <v>93.28</v>
      </c>
    </row>
    <row r="210" spans="1:14" ht="19.899999999999999" customHeight="1" x14ac:dyDescent="0.25">
      <c r="A210" s="10" t="s">
        <v>281</v>
      </c>
      <c r="B210" s="12">
        <v>45238</v>
      </c>
      <c r="C210" s="12">
        <v>45243</v>
      </c>
      <c r="D210" s="10" t="s">
        <v>109</v>
      </c>
      <c r="E210" s="10" t="s">
        <v>104</v>
      </c>
      <c r="F210" s="10" t="s">
        <v>16</v>
      </c>
      <c r="G210" s="13" t="s">
        <v>160</v>
      </c>
      <c r="H210" s="13" t="s">
        <v>15</v>
      </c>
      <c r="I210" s="10" t="s">
        <v>282</v>
      </c>
      <c r="J210" s="15">
        <v>0.5</v>
      </c>
      <c r="K210" s="15">
        <v>0.5</v>
      </c>
      <c r="L210" s="13" t="s">
        <v>99</v>
      </c>
      <c r="M210" s="13" t="s">
        <v>100</v>
      </c>
      <c r="N210" s="16">
        <v>125</v>
      </c>
    </row>
    <row r="211" spans="1:14" ht="46.7" customHeight="1" x14ac:dyDescent="0.25">
      <c r="A211" s="22" t="s">
        <v>283</v>
      </c>
      <c r="B211" s="3" t="s">
        <v>54</v>
      </c>
      <c r="C211" s="3" t="s">
        <v>54</v>
      </c>
      <c r="D211" s="3" t="s">
        <v>54</v>
      </c>
      <c r="E211" s="3" t="s">
        <v>54</v>
      </c>
      <c r="F211" s="3" t="s">
        <v>54</v>
      </c>
      <c r="G211" s="3" t="s">
        <v>54</v>
      </c>
      <c r="H211" s="3" t="s">
        <v>54</v>
      </c>
      <c r="I211" s="23">
        <v>0.5</v>
      </c>
      <c r="J211" s="23">
        <v>0.5</v>
      </c>
      <c r="K211" s="6" t="s">
        <v>54</v>
      </c>
      <c r="L211" s="2" t="s">
        <v>54</v>
      </c>
      <c r="M211" s="24">
        <v>125</v>
      </c>
    </row>
    <row r="212" spans="1:14" ht="19.899999999999999" customHeight="1" x14ac:dyDescent="0.25">
      <c r="A212" s="39" t="s">
        <v>284</v>
      </c>
      <c r="B212" s="39"/>
      <c r="C212" s="39"/>
      <c r="D212" s="39"/>
      <c r="E212" s="39"/>
      <c r="F212" s="39"/>
      <c r="G212" s="39"/>
      <c r="H212" s="23">
        <v>109</v>
      </c>
      <c r="I212" s="23">
        <v>281.75</v>
      </c>
      <c r="J212" s="6" t="s">
        <v>54</v>
      </c>
      <c r="K212" s="2" t="s">
        <v>54</v>
      </c>
      <c r="L212" s="24">
        <v>26263.17</v>
      </c>
    </row>
  </sheetData>
  <mergeCells count="1">
    <mergeCell ref="A212:G2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D573-6F11-4366-827C-0BD0C8304F16}">
  <dimension ref="A1:B12"/>
  <sheetViews>
    <sheetView topLeftCell="A2" workbookViewId="0">
      <selection activeCell="A3" sqref="A3"/>
    </sheetView>
  </sheetViews>
  <sheetFormatPr defaultRowHeight="15" x14ac:dyDescent="0.25"/>
  <cols>
    <col min="1" max="1" width="17.140625" customWidth="1"/>
    <col min="2" max="2" width="12.7109375" style="27" bestFit="1" customWidth="1"/>
  </cols>
  <sheetData>
    <row r="1" spans="1:2" x14ac:dyDescent="0.25">
      <c r="A1" s="1" t="s">
        <v>285</v>
      </c>
      <c r="B1" s="28">
        <v>45231</v>
      </c>
    </row>
    <row r="2" spans="1:2" x14ac:dyDescent="0.25">
      <c r="A2" s="1" t="s">
        <v>286</v>
      </c>
      <c r="B2" s="28">
        <v>45291</v>
      </c>
    </row>
    <row r="3" spans="1:2" x14ac:dyDescent="0.25">
      <c r="A3" s="1" t="s">
        <v>287</v>
      </c>
    </row>
    <row r="4" spans="1:2" x14ac:dyDescent="0.25">
      <c r="A4" s="1" t="s">
        <v>288</v>
      </c>
      <c r="B4" s="27" t="s">
        <v>289</v>
      </c>
    </row>
    <row r="5" spans="1:2" x14ac:dyDescent="0.25">
      <c r="A5" s="1" t="s">
        <v>290</v>
      </c>
      <c r="B5" s="27" t="s">
        <v>291</v>
      </c>
    </row>
    <row r="6" spans="1:2" x14ac:dyDescent="0.25">
      <c r="A6" s="1" t="s">
        <v>292</v>
      </c>
      <c r="B6" s="27" t="s">
        <v>289</v>
      </c>
    </row>
    <row r="7" spans="1:2" x14ac:dyDescent="0.25">
      <c r="A7" s="1" t="s">
        <v>293</v>
      </c>
      <c r="B7" s="27" t="s">
        <v>289</v>
      </c>
    </row>
    <row r="8" spans="1:2" x14ac:dyDescent="0.25">
      <c r="A8" s="1" t="s">
        <v>294</v>
      </c>
      <c r="B8" s="27" t="s">
        <v>289</v>
      </c>
    </row>
    <row r="9" spans="1:2" x14ac:dyDescent="0.25">
      <c r="A9" s="1" t="s">
        <v>295</v>
      </c>
      <c r="B9" s="27" t="s">
        <v>289</v>
      </c>
    </row>
    <row r="10" spans="1:2" x14ac:dyDescent="0.25">
      <c r="A10" s="1" t="s">
        <v>296</v>
      </c>
      <c r="B10" s="27" t="s">
        <v>289</v>
      </c>
    </row>
    <row r="11" spans="1:2" x14ac:dyDescent="0.25">
      <c r="A11" s="1" t="s">
        <v>297</v>
      </c>
      <c r="B11" s="27" t="s">
        <v>0</v>
      </c>
    </row>
    <row r="12" spans="1:2" x14ac:dyDescent="0.25">
      <c r="A12"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E49F2BCB78A143B8E1A0574FB21BC2" ma:contentTypeVersion="4" ma:contentTypeDescription="Create a new document." ma:contentTypeScope="" ma:versionID="a97405f07967432f1b3cf6f8351a7f0a">
  <xsd:schema xmlns:xsd="http://www.w3.org/2001/XMLSchema" xmlns:xs="http://www.w3.org/2001/XMLSchema" xmlns:p="http://schemas.microsoft.com/office/2006/metadata/properties" xmlns:ns2="9515ff44-26ca-46dd-b4d8-0867f4757cbb" targetNamespace="http://schemas.microsoft.com/office/2006/metadata/properties" ma:root="true" ma:fieldsID="ef277113146a933c83dc3e8fca5f0b60" ns2:_="">
    <xsd:import namespace="9515ff44-26ca-46dd-b4d8-0867f4757c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5ff44-26ca-46dd-b4d8-0867f4757c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scriptIds xmlns="http://schemas.microsoft.com/office/extensibility/maker/v1.0" id="script-ids-node-id">
  <scriptId id="ms-officescript%3A%2F%2Fonedrive_business_itemlink%2F01CPLE5BQUAV65JQK6NRHYHQMVRECUJBIB:ms-officescript%3A%2F%2Fonedrive_business_sharinglink%2Fu!aHR0cHM6Ly9od21sbHAtbXkuc2hhcmVwb2ludC5jb20vOnU6L3Ava3lsZS9FUlFGZmRUQlhteFBnOEdWaVFWRWhRRUJaNVpNTmNOUHEyeDl5d3ljbWVqN2hB"/>
  <scriptId xmlns="" id="ms-officescript%3A%2F%2Fonedrive_business_itemlink%2F01CPLE5BQNIW7HOBDET5DJKVAI3N6J2UMZ:ms-officescript%3A%2F%2Fonedrive_business_sharinglink%2Fu!aHR0cHM6Ly9od21sbHAtbXkuc2hhcmVwb2ludC5jb20vOnU6L3Ava3lsZS9FUTFGdm5jRVpKOUdsVlFJMjN5ZFVaa0JoZVA4ME9QNEZWWEpwZXMwcXZ6SFhB"/>
  <scriptId xmlns="" id="ms-officescript%3A%2F%2Fonedrive_business_itemlink%2F01CPLE5BVMK2YEHLPS6FBIP7APUGWG6DBO:ms-officescript%3A%2F%2Fonedrive_business_sharinglink%2Fu!aHR0cHM6Ly9od21sbHAtbXkuc2hhcmVwb2ludC5jb20vOnU6L3Ava3lsZS9FYXhXc0VPdDh2RkNoX3dQb2F4dkRDNEJnSWtXeVVUY2NMZmxoS2kwRDZ5akFB"/>
  <scriptId xmlns="" id="ms-officescript%3A%2F%2Fonedrive_business_itemlink%2F01CPLE5BUHAUMK4VIWI5GKA435NJTAWIJR:ms-officescript%3A%2F%2Fonedrive_business_sharinglink%2Fu!aHR0cHM6Ly9od21sbHAtbXkuc2hhcmVwb2ludC5jb20vOnU6L3Ava3lsZS9FWWNGR0s1VkZrZE1vSE45YW1ZTElURUJ2QzRreUdxaElTT25RWUZ1LUh2NG5n"/>
  <scriptId xmlns="" id="ms-officescript%3A%2F%2Fonedrive_business_itemlink%2F01CPLE5BUF2XFAMOKGRNC2HWWEHH3WQK52:ms-officescript%3A%2F%2Fonedrive_business_sharinglink%2Fu!aHR0cHM6Ly9od21sbHAtbXkuc2hhcmVwb2ludC5jb20vOnU6L3Ava3lsZS9FWVhWeWdZNVJvdEZvOXJFT2Zkb0s3b0JsbmVoREJyTE5CbjMtUl9LMU1WWlpR"/>
</scriptIds>
</file>

<file path=customXml/itemProps1.xml><?xml version="1.0" encoding="utf-8"?>
<ds:datastoreItem xmlns:ds="http://schemas.openxmlformats.org/officeDocument/2006/customXml" ds:itemID="{B0AA6249-8A5E-47A7-8013-0D561D4EED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5ff44-26ca-46dd-b4d8-0867f4757c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083675-323B-4AB7-B5CB-05C031BC3D54}">
  <ds:schemaRefs>
    <ds:schemaRef ds:uri="http://schemas.microsoft.com/sharepoint/v3/contenttype/forms"/>
  </ds:schemaRefs>
</ds:datastoreItem>
</file>

<file path=customXml/itemProps3.xml><?xml version="1.0" encoding="utf-8"?>
<ds:datastoreItem xmlns:ds="http://schemas.openxmlformats.org/officeDocument/2006/customXml" ds:itemID="{A51BF8C8-1644-4C38-84E7-46F64C7ABCAF}">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26FD6B74-9F12-45CE-A2F1-4BC70B92430F}">
  <ds:schemaRefs>
    <ds:schemaRef ds:uri="http://schemas.microsoft.com/office/extensibility/maker/v1.0"/>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visual</vt:lpstr>
      <vt:lpstr>data_table</vt:lpstr>
      <vt:lpstr>records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Callaway</dc:creator>
  <cp:lastModifiedBy>TC05 Organization</cp:lastModifiedBy>
  <dcterms:created xsi:type="dcterms:W3CDTF">2024-01-05T02:25:04Z</dcterms:created>
  <dcterms:modified xsi:type="dcterms:W3CDTF">2025-03-25T22:18:58Z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0x01010072E49F2BCB78A143B8E1A0574FB21BC2</vt:lpwstr>
  </property>
</Properties>
</file>